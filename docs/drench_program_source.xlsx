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10.0.2.15\14_produccion\Vigentes\CAMPO\Datos\Fumigación\"/>
    </mc:Choice>
  </mc:AlternateContent>
  <xr:revisionPtr revIDLastSave="0" documentId="13_ncr:1_{1C5C8DEC-2E28-4A0C-92E0-859F5C0B7997}" xr6:coauthVersionLast="47" xr6:coauthVersionMax="47" xr10:uidLastSave="{00000000-0000-0000-0000-000000000000}"/>
  <bookViews>
    <workbookView xWindow="-120" yWindow="-120" windowWidth="24240" windowHeight="13020" tabRatio="839" firstSheet="3" activeTab="4" xr2:uid="{00000000-000D-0000-FFFF-FFFF00000000}"/>
  </bookViews>
  <sheets>
    <sheet name="PGR Drench 2045 Frio 14-42" sheetId="57" state="hidden" r:id="rId1"/>
    <sheet name="1643 Cal y Alcaplant" sheetId="50" state="hidden" r:id="rId2"/>
    <sheet name="Fusarium Nematodos 2008" sheetId="53" state="hidden" r:id="rId3"/>
    <sheet name="Programa Drench" sheetId="49" r:id="rId4"/>
    <sheet name="PROGRAMA DRENCH PASO 1" sheetId="32" r:id="rId5"/>
    <sheet name="CALCULO DRENCH EGRESO PASO 2" sheetId="21" r:id="rId6"/>
    <sheet name="RESUMEN DRENCH BODEGA 3" sheetId="52" r:id="rId7"/>
    <sheet name="CODIGOS D" sheetId="31" r:id="rId8"/>
    <sheet name="Inf Bloques" sheetId="48" r:id="rId9"/>
    <sheet name="CODIGOS no usamos" sheetId="55" state="hidden" r:id="rId10"/>
    <sheet name="Hoja1" sheetId="51" r:id="rId11"/>
    <sheet name="Hoja3" sheetId="61" r:id="rId12"/>
  </sheets>
  <externalReferences>
    <externalReference r:id="rId13"/>
    <externalReference r:id="rId14"/>
    <externalReference r:id="rId15"/>
  </externalReferences>
  <definedNames>
    <definedName name="_xlnm._FilterDatabase" localSheetId="5" hidden="1">'CALCULO DRENCH EGRESO PASO 2'!$A$2:$L$470</definedName>
    <definedName name="_xlnm._FilterDatabase" localSheetId="7" hidden="1">'CODIGOS D'!$A$2:$S$451</definedName>
    <definedName name="_xlnm._FilterDatabase" localSheetId="9" hidden="1">'CODIGOS no usamos'!$A$2:$F$404</definedName>
    <definedName name="_xlnm._FilterDatabase" localSheetId="10" hidden="1">Hoja1!$B$5:$S$58</definedName>
    <definedName name="_xlnm._FilterDatabase" localSheetId="8" hidden="1">'Inf Bloques'!$A$2:$K$292</definedName>
    <definedName name="_xlnm._FilterDatabase" localSheetId="0" hidden="1">'PGR Drench 2045 Frio 14-42'!$A$5:$AA$183</definedName>
    <definedName name="_xlnm._FilterDatabase" localSheetId="3" hidden="1">'Programa Drench'!$A$5:$AA$183</definedName>
    <definedName name="_xlnm._FilterDatabase" localSheetId="4" hidden="1">'PROGRAMA DRENCH PASO 1'!$A$2:$AI$161</definedName>
    <definedName name="_xlnm._FilterDatabase" hidden="1">#REF!</definedName>
    <definedName name="_xlnm.Print_Area" localSheetId="2">'Fusarium Nematodos 2008'!$A$1:$H$67</definedName>
    <definedName name="_xlnm.Print_Area" localSheetId="4">'PROGRAMA DRENCH PASO 1'!$A$1:$AH$161</definedName>
    <definedName name="ASTER">#REF!</definedName>
    <definedName name="Dia">#REF!</definedName>
    <definedName name="fg">#REF!</definedName>
    <definedName name="Productos">[1]Dosis!$A$1:$C$65536</definedName>
    <definedName name="Riego" hidden="1">#REF!</definedName>
    <definedName name="S">#REF!</definedName>
    <definedName name="SELEECION">#REF!</definedName>
  </definedNames>
  <calcPr calcId="191029"/>
  <pivotCaches>
    <pivotCache cacheId="1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2" l="1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G10" i="32"/>
  <c r="G9" i="32"/>
  <c r="G8" i="32"/>
  <c r="G7" i="32"/>
  <c r="G6" i="32"/>
  <c r="G5" i="32"/>
  <c r="G4" i="32"/>
  <c r="F122" i="48" l="1"/>
  <c r="H270" i="48"/>
  <c r="G270" i="48"/>
  <c r="H269" i="48"/>
  <c r="G269" i="48"/>
  <c r="H268" i="48"/>
  <c r="G268" i="48"/>
  <c r="H267" i="48"/>
  <c r="G267" i="48"/>
  <c r="H266" i="48"/>
  <c r="G266" i="48"/>
  <c r="H265" i="48"/>
  <c r="G265" i="48"/>
  <c r="H264" i="48"/>
  <c r="G264" i="48"/>
  <c r="H263" i="48"/>
  <c r="G263" i="48"/>
  <c r="H262" i="48"/>
  <c r="G262" i="48"/>
  <c r="H261" i="48"/>
  <c r="G261" i="48"/>
  <c r="H260" i="48"/>
  <c r="G260" i="48"/>
  <c r="H259" i="48"/>
  <c r="G259" i="48"/>
  <c r="H258" i="48"/>
  <c r="G258" i="48"/>
  <c r="H257" i="48"/>
  <c r="G257" i="48"/>
  <c r="H256" i="48"/>
  <c r="G256" i="48"/>
  <c r="H255" i="48"/>
  <c r="G255" i="48"/>
  <c r="H254" i="48"/>
  <c r="G254" i="48"/>
  <c r="H253" i="48"/>
  <c r="G253" i="48"/>
  <c r="H252" i="48"/>
  <c r="G252" i="48"/>
  <c r="H251" i="48"/>
  <c r="G251" i="48"/>
  <c r="H250" i="48"/>
  <c r="G250" i="48"/>
  <c r="H249" i="48"/>
  <c r="G249" i="48"/>
  <c r="H248" i="48"/>
  <c r="G248" i="48"/>
  <c r="H247" i="48"/>
  <c r="G247" i="48"/>
  <c r="H246" i="48"/>
  <c r="G246" i="48"/>
  <c r="H245" i="48"/>
  <c r="G245" i="48"/>
  <c r="H244" i="48"/>
  <c r="G244" i="48"/>
  <c r="H243" i="48"/>
  <c r="G243" i="48"/>
  <c r="H242" i="48"/>
  <c r="G242" i="48"/>
  <c r="H241" i="48"/>
  <c r="G241" i="48"/>
  <c r="H240" i="48"/>
  <c r="G240" i="48"/>
  <c r="H239" i="48"/>
  <c r="G239" i="48"/>
  <c r="H238" i="48"/>
  <c r="G238" i="48"/>
  <c r="H237" i="48"/>
  <c r="G237" i="48"/>
  <c r="H236" i="48"/>
  <c r="G236" i="48"/>
  <c r="H235" i="48"/>
  <c r="G235" i="48"/>
  <c r="H234" i="48"/>
  <c r="G234" i="48"/>
  <c r="H233" i="48"/>
  <c r="G233" i="48"/>
  <c r="H232" i="48"/>
  <c r="G232" i="48"/>
  <c r="H231" i="48"/>
  <c r="G231" i="48"/>
  <c r="H230" i="48"/>
  <c r="G230" i="48"/>
  <c r="H229" i="48"/>
  <c r="G229" i="48"/>
  <c r="H228" i="48"/>
  <c r="G228" i="48"/>
  <c r="H227" i="48"/>
  <c r="G227" i="48"/>
  <c r="H226" i="48"/>
  <c r="G226" i="48"/>
  <c r="H225" i="48"/>
  <c r="G225" i="48"/>
  <c r="H224" i="48"/>
  <c r="G224" i="48"/>
  <c r="H223" i="48"/>
  <c r="G223" i="48"/>
  <c r="H222" i="48"/>
  <c r="G222" i="48"/>
  <c r="H221" i="48"/>
  <c r="G221" i="48"/>
  <c r="H220" i="48"/>
  <c r="G220" i="48"/>
  <c r="H219" i="48"/>
  <c r="G219" i="48"/>
  <c r="H218" i="48"/>
  <c r="G218" i="48"/>
  <c r="H217" i="48"/>
  <c r="G217" i="48"/>
  <c r="H216" i="48"/>
  <c r="G216" i="48"/>
  <c r="H215" i="48"/>
  <c r="G215" i="48"/>
  <c r="H214" i="48"/>
  <c r="G214" i="48"/>
  <c r="H213" i="48"/>
  <c r="G213" i="48"/>
  <c r="H212" i="48"/>
  <c r="G212" i="48"/>
  <c r="H211" i="48"/>
  <c r="G211" i="48"/>
  <c r="H210" i="48"/>
  <c r="G210" i="48"/>
  <c r="H209" i="48"/>
  <c r="G209" i="48"/>
  <c r="H208" i="48"/>
  <c r="G208" i="48"/>
  <c r="H207" i="48"/>
  <c r="G207" i="48"/>
  <c r="H206" i="48"/>
  <c r="G206" i="48"/>
  <c r="H205" i="48"/>
  <c r="G205" i="48"/>
  <c r="H204" i="48"/>
  <c r="G204" i="48"/>
  <c r="H203" i="48"/>
  <c r="G203" i="48"/>
  <c r="H202" i="48"/>
  <c r="G202" i="48"/>
  <c r="H201" i="48"/>
  <c r="G201" i="48"/>
  <c r="H200" i="48"/>
  <c r="G200" i="48"/>
  <c r="H199" i="48"/>
  <c r="G199" i="48"/>
  <c r="H198" i="48"/>
  <c r="G198" i="48"/>
  <c r="H197" i="48"/>
  <c r="G197" i="48"/>
  <c r="H196" i="48"/>
  <c r="G196" i="48"/>
  <c r="H195" i="48"/>
  <c r="G195" i="48"/>
  <c r="H194" i="48"/>
  <c r="G194" i="48"/>
  <c r="H193" i="48"/>
  <c r="G193" i="48"/>
  <c r="H192" i="48"/>
  <c r="G192" i="48"/>
  <c r="H191" i="48"/>
  <c r="G191" i="48"/>
  <c r="H190" i="48"/>
  <c r="G190" i="48"/>
  <c r="H189" i="48"/>
  <c r="G189" i="48"/>
  <c r="H188" i="48"/>
  <c r="G188" i="48"/>
  <c r="H187" i="48"/>
  <c r="G187" i="48"/>
  <c r="H186" i="48"/>
  <c r="G186" i="48"/>
  <c r="H185" i="48"/>
  <c r="G185" i="48"/>
  <c r="H184" i="48"/>
  <c r="G184" i="48"/>
  <c r="H183" i="48"/>
  <c r="G183" i="48"/>
  <c r="H182" i="48"/>
  <c r="G182" i="48"/>
  <c r="H181" i="48"/>
  <c r="G181" i="48"/>
  <c r="H180" i="48"/>
  <c r="G180" i="48"/>
  <c r="H179" i="48"/>
  <c r="G179" i="48"/>
  <c r="H178" i="48"/>
  <c r="G178" i="48"/>
  <c r="H177" i="48"/>
  <c r="G177" i="48"/>
  <c r="H176" i="48"/>
  <c r="G176" i="48"/>
  <c r="H175" i="48"/>
  <c r="G175" i="48"/>
  <c r="H174" i="48"/>
  <c r="G174" i="48"/>
  <c r="H173" i="48"/>
  <c r="G173" i="48"/>
  <c r="H172" i="48"/>
  <c r="G172" i="48"/>
  <c r="H171" i="48"/>
  <c r="G171" i="48"/>
  <c r="H170" i="48"/>
  <c r="G170" i="48"/>
  <c r="H169" i="48"/>
  <c r="G169" i="48"/>
  <c r="H168" i="48"/>
  <c r="G168" i="48"/>
  <c r="H167" i="48"/>
  <c r="G167" i="48"/>
  <c r="H166" i="48"/>
  <c r="G166" i="48"/>
  <c r="H165" i="48"/>
  <c r="G165" i="48"/>
  <c r="H164" i="48"/>
  <c r="G164" i="48"/>
  <c r="H163" i="48"/>
  <c r="G163" i="48"/>
  <c r="H162" i="48"/>
  <c r="G162" i="48"/>
  <c r="H161" i="48"/>
  <c r="G161" i="48"/>
  <c r="H160" i="48"/>
  <c r="G160" i="48"/>
  <c r="H159" i="48"/>
  <c r="G159" i="48"/>
  <c r="H158" i="48"/>
  <c r="G158" i="48"/>
  <c r="H157" i="48"/>
  <c r="G157" i="48"/>
  <c r="H156" i="48"/>
  <c r="G156" i="48"/>
  <c r="H155" i="48"/>
  <c r="G155" i="48"/>
  <c r="H154" i="48"/>
  <c r="G154" i="48"/>
  <c r="H153" i="48"/>
  <c r="G153" i="48"/>
  <c r="H152" i="48"/>
  <c r="G152" i="48"/>
  <c r="H151" i="48"/>
  <c r="G151" i="48"/>
  <c r="H146" i="48"/>
  <c r="G146" i="48"/>
  <c r="H145" i="48"/>
  <c r="G145" i="48"/>
  <c r="H144" i="48"/>
  <c r="G144" i="48"/>
  <c r="H143" i="48"/>
  <c r="G143" i="48"/>
  <c r="H142" i="48"/>
  <c r="G142" i="48"/>
  <c r="H141" i="48"/>
  <c r="G141" i="48"/>
  <c r="H140" i="48"/>
  <c r="G140" i="48"/>
  <c r="H139" i="48"/>
  <c r="G139" i="48"/>
  <c r="H138" i="48"/>
  <c r="G138" i="48"/>
  <c r="H137" i="48"/>
  <c r="G137" i="48"/>
  <c r="H136" i="48"/>
  <c r="G136" i="48"/>
  <c r="H135" i="48"/>
  <c r="G135" i="48"/>
  <c r="H134" i="48"/>
  <c r="G134" i="48"/>
  <c r="H133" i="48"/>
  <c r="G133" i="48"/>
  <c r="H132" i="48"/>
  <c r="G132" i="48"/>
  <c r="H131" i="48"/>
  <c r="G131" i="48"/>
  <c r="H130" i="48"/>
  <c r="G130" i="48"/>
  <c r="H129" i="48"/>
  <c r="G129" i="48"/>
  <c r="H128" i="48"/>
  <c r="G128" i="48"/>
  <c r="H127" i="48"/>
  <c r="G127" i="48"/>
  <c r="H126" i="48"/>
  <c r="G126" i="48"/>
  <c r="H125" i="48"/>
  <c r="G125" i="48"/>
  <c r="H124" i="48"/>
  <c r="G124" i="48"/>
  <c r="H121" i="48"/>
  <c r="G121" i="48"/>
  <c r="H120" i="48"/>
  <c r="G120" i="48"/>
  <c r="H119" i="48"/>
  <c r="G119" i="48"/>
  <c r="H118" i="48"/>
  <c r="G118" i="48"/>
  <c r="H117" i="48"/>
  <c r="G117" i="48"/>
  <c r="H116" i="48"/>
  <c r="G116" i="48"/>
  <c r="H115" i="48"/>
  <c r="G115" i="48"/>
  <c r="H114" i="48"/>
  <c r="G114" i="48"/>
  <c r="H113" i="48"/>
  <c r="G113" i="48"/>
  <c r="H112" i="48"/>
  <c r="G112" i="48"/>
  <c r="H111" i="48"/>
  <c r="G111" i="48"/>
  <c r="H110" i="48"/>
  <c r="G110" i="48"/>
  <c r="H109" i="48"/>
  <c r="G109" i="48"/>
  <c r="H108" i="48"/>
  <c r="G108" i="48"/>
  <c r="H107" i="48"/>
  <c r="G107" i="48"/>
  <c r="H106" i="48"/>
  <c r="G106" i="48"/>
  <c r="H105" i="48"/>
  <c r="G105" i="48"/>
  <c r="H104" i="48"/>
  <c r="G104" i="48"/>
  <c r="H103" i="48"/>
  <c r="G103" i="48"/>
  <c r="H102" i="48"/>
  <c r="G102" i="48"/>
  <c r="H101" i="48"/>
  <c r="G101" i="48"/>
  <c r="H100" i="48"/>
  <c r="G100" i="48"/>
  <c r="H99" i="48"/>
  <c r="G99" i="48"/>
  <c r="H98" i="48"/>
  <c r="G98" i="48"/>
  <c r="H97" i="48"/>
  <c r="G97" i="48"/>
  <c r="H96" i="48"/>
  <c r="G96" i="48"/>
  <c r="H95" i="48"/>
  <c r="G95" i="48"/>
  <c r="H94" i="48"/>
  <c r="G94" i="48"/>
  <c r="H93" i="48"/>
  <c r="G93" i="48"/>
  <c r="H92" i="48"/>
  <c r="G92" i="48"/>
  <c r="H91" i="48"/>
  <c r="G91" i="48"/>
  <c r="H90" i="48"/>
  <c r="G90" i="48"/>
  <c r="H89" i="48"/>
  <c r="G89" i="48"/>
  <c r="H88" i="48"/>
  <c r="G88" i="48"/>
  <c r="H87" i="48"/>
  <c r="G87" i="48"/>
  <c r="H86" i="48"/>
  <c r="G86" i="48"/>
  <c r="H85" i="48"/>
  <c r="G85" i="48"/>
  <c r="H84" i="48"/>
  <c r="G84" i="48"/>
  <c r="H83" i="48"/>
  <c r="G83" i="48"/>
  <c r="H82" i="48"/>
  <c r="G82" i="48"/>
  <c r="H81" i="48"/>
  <c r="G81" i="48"/>
  <c r="H80" i="48"/>
  <c r="G80" i="48"/>
  <c r="H79" i="48"/>
  <c r="G79" i="48"/>
  <c r="H78" i="48"/>
  <c r="G78" i="48"/>
  <c r="H77" i="48"/>
  <c r="G77" i="48"/>
  <c r="H76" i="48"/>
  <c r="G76" i="48"/>
  <c r="H75" i="48"/>
  <c r="G75" i="48"/>
  <c r="H74" i="48"/>
  <c r="G74" i="48"/>
  <c r="H73" i="48"/>
  <c r="G73" i="48"/>
  <c r="H72" i="48"/>
  <c r="G72" i="48"/>
  <c r="H71" i="48"/>
  <c r="G71" i="48"/>
  <c r="H70" i="48"/>
  <c r="G70" i="48"/>
  <c r="H69" i="48"/>
  <c r="G69" i="48"/>
  <c r="H68" i="48"/>
  <c r="G68" i="48"/>
  <c r="H67" i="48"/>
  <c r="G67" i="48"/>
  <c r="H66" i="48"/>
  <c r="G66" i="48"/>
  <c r="H65" i="48"/>
  <c r="G65" i="48"/>
  <c r="H64" i="48"/>
  <c r="G64" i="48"/>
  <c r="H63" i="48"/>
  <c r="G63" i="48"/>
  <c r="H62" i="48"/>
  <c r="G62" i="48"/>
  <c r="H61" i="48"/>
  <c r="G61" i="48"/>
  <c r="H60" i="48"/>
  <c r="G60" i="48"/>
  <c r="H59" i="48"/>
  <c r="G59" i="48"/>
  <c r="H58" i="48"/>
  <c r="G58" i="48"/>
  <c r="H57" i="48"/>
  <c r="G57" i="48"/>
  <c r="H56" i="48"/>
  <c r="G56" i="48"/>
  <c r="H55" i="48"/>
  <c r="G55" i="48"/>
  <c r="H54" i="48"/>
  <c r="G54" i="48"/>
  <c r="H53" i="48"/>
  <c r="G53" i="48"/>
  <c r="H52" i="48"/>
  <c r="G52" i="48"/>
  <c r="H51" i="48"/>
  <c r="G51" i="48"/>
  <c r="H50" i="48"/>
  <c r="G50" i="48"/>
  <c r="H49" i="48"/>
  <c r="G49" i="48"/>
  <c r="H48" i="48"/>
  <c r="G48" i="48"/>
  <c r="H47" i="48"/>
  <c r="G47" i="48"/>
  <c r="H46" i="48"/>
  <c r="G46" i="48"/>
  <c r="H45" i="48"/>
  <c r="G45" i="48"/>
  <c r="H44" i="48"/>
  <c r="G44" i="48"/>
  <c r="H43" i="48"/>
  <c r="G43" i="48"/>
  <c r="H42" i="48"/>
  <c r="G42" i="48"/>
  <c r="H41" i="48"/>
  <c r="G41" i="48"/>
  <c r="H40" i="48"/>
  <c r="G40" i="48"/>
  <c r="H39" i="48"/>
  <c r="G39" i="48"/>
  <c r="H38" i="48"/>
  <c r="G38" i="48"/>
  <c r="H37" i="48"/>
  <c r="G37" i="48"/>
  <c r="H36" i="48"/>
  <c r="G36" i="48"/>
  <c r="H35" i="48"/>
  <c r="G35" i="48"/>
  <c r="H34" i="48"/>
  <c r="G34" i="48"/>
  <c r="H33" i="48"/>
  <c r="G33" i="48"/>
  <c r="H32" i="48"/>
  <c r="G32" i="48"/>
  <c r="H31" i="48"/>
  <c r="G31" i="48"/>
  <c r="H30" i="48"/>
  <c r="G30" i="48"/>
  <c r="H29" i="48"/>
  <c r="G29" i="48"/>
  <c r="H28" i="48"/>
  <c r="G28" i="48"/>
  <c r="H27" i="48"/>
  <c r="G27" i="48"/>
  <c r="H26" i="48"/>
  <c r="G26" i="48"/>
  <c r="H25" i="48"/>
  <c r="G25" i="48"/>
  <c r="H24" i="48"/>
  <c r="G24" i="48"/>
  <c r="H23" i="48"/>
  <c r="G23" i="48"/>
  <c r="H22" i="48"/>
  <c r="G22" i="48"/>
  <c r="H21" i="48"/>
  <c r="G21" i="48"/>
  <c r="H20" i="48"/>
  <c r="G20" i="48"/>
  <c r="H19" i="48"/>
  <c r="G19" i="48"/>
  <c r="H18" i="48"/>
  <c r="G18" i="48"/>
  <c r="H17" i="48"/>
  <c r="G17" i="48"/>
  <c r="H16" i="48"/>
  <c r="G16" i="48"/>
  <c r="H15" i="48"/>
  <c r="G15" i="48"/>
  <c r="H14" i="48"/>
  <c r="G14" i="48"/>
  <c r="H13" i="48"/>
  <c r="G13" i="48"/>
  <c r="H12" i="48"/>
  <c r="G12" i="48"/>
  <c r="H11" i="48"/>
  <c r="G11" i="48"/>
  <c r="H10" i="48"/>
  <c r="G10" i="48"/>
  <c r="H9" i="48"/>
  <c r="G9" i="48"/>
  <c r="H8" i="48"/>
  <c r="G8" i="48"/>
  <c r="H7" i="48"/>
  <c r="G7" i="48"/>
  <c r="H6" i="48"/>
  <c r="G6" i="48"/>
  <c r="H5" i="48"/>
  <c r="G5" i="48"/>
  <c r="H4" i="48"/>
  <c r="G4" i="48"/>
  <c r="E270" i="48"/>
  <c r="D270" i="48"/>
  <c r="C270" i="48"/>
  <c r="B270" i="48"/>
  <c r="E269" i="48"/>
  <c r="D269" i="48"/>
  <c r="C269" i="48"/>
  <c r="B269" i="48"/>
  <c r="E268" i="48"/>
  <c r="D268" i="48"/>
  <c r="C268" i="48"/>
  <c r="B268" i="48"/>
  <c r="E267" i="48"/>
  <c r="D267" i="48"/>
  <c r="C267" i="48"/>
  <c r="B267" i="48"/>
  <c r="E266" i="48"/>
  <c r="D266" i="48"/>
  <c r="C266" i="48"/>
  <c r="B266" i="48"/>
  <c r="E265" i="48"/>
  <c r="D265" i="48"/>
  <c r="C265" i="48"/>
  <c r="B265" i="48"/>
  <c r="E264" i="48"/>
  <c r="D264" i="48"/>
  <c r="C264" i="48"/>
  <c r="B264" i="48"/>
  <c r="E263" i="48"/>
  <c r="D263" i="48"/>
  <c r="C263" i="48"/>
  <c r="B263" i="48"/>
  <c r="E262" i="48"/>
  <c r="D262" i="48"/>
  <c r="C262" i="48"/>
  <c r="B262" i="48"/>
  <c r="E261" i="48"/>
  <c r="D261" i="48"/>
  <c r="C261" i="48"/>
  <c r="B261" i="48"/>
  <c r="E260" i="48"/>
  <c r="D260" i="48"/>
  <c r="C260" i="48"/>
  <c r="B260" i="48"/>
  <c r="E259" i="48"/>
  <c r="D259" i="48"/>
  <c r="C259" i="48"/>
  <c r="B259" i="48"/>
  <c r="E258" i="48"/>
  <c r="D258" i="48"/>
  <c r="C258" i="48"/>
  <c r="B258" i="48"/>
  <c r="E257" i="48"/>
  <c r="D257" i="48"/>
  <c r="C257" i="48"/>
  <c r="B257" i="48"/>
  <c r="E256" i="48"/>
  <c r="D256" i="48"/>
  <c r="C256" i="48"/>
  <c r="B256" i="48"/>
  <c r="E255" i="48"/>
  <c r="D255" i="48"/>
  <c r="C255" i="48"/>
  <c r="B255" i="48"/>
  <c r="E254" i="48"/>
  <c r="D254" i="48"/>
  <c r="C254" i="48"/>
  <c r="B254" i="48"/>
  <c r="E253" i="48"/>
  <c r="D253" i="48"/>
  <c r="C253" i="48"/>
  <c r="B253" i="48"/>
  <c r="E252" i="48"/>
  <c r="D252" i="48"/>
  <c r="C252" i="48"/>
  <c r="B252" i="48"/>
  <c r="E251" i="48"/>
  <c r="D251" i="48"/>
  <c r="C251" i="48"/>
  <c r="B251" i="48"/>
  <c r="E250" i="48"/>
  <c r="D250" i="48"/>
  <c r="C250" i="48"/>
  <c r="B250" i="48"/>
  <c r="E249" i="48"/>
  <c r="D249" i="48"/>
  <c r="C249" i="48"/>
  <c r="B249" i="48"/>
  <c r="E248" i="48"/>
  <c r="D248" i="48"/>
  <c r="C248" i="48"/>
  <c r="B248" i="48"/>
  <c r="E247" i="48"/>
  <c r="D247" i="48"/>
  <c r="C247" i="48"/>
  <c r="B247" i="48"/>
  <c r="E246" i="48"/>
  <c r="D246" i="48"/>
  <c r="C246" i="48"/>
  <c r="B246" i="48"/>
  <c r="E245" i="48"/>
  <c r="D245" i="48"/>
  <c r="C245" i="48"/>
  <c r="B245" i="48"/>
  <c r="E244" i="48"/>
  <c r="D244" i="48"/>
  <c r="C244" i="48"/>
  <c r="B244" i="48"/>
  <c r="E243" i="48"/>
  <c r="D243" i="48"/>
  <c r="C243" i="48"/>
  <c r="B243" i="48"/>
  <c r="E242" i="48"/>
  <c r="D242" i="48"/>
  <c r="C242" i="48"/>
  <c r="B242" i="48"/>
  <c r="E241" i="48"/>
  <c r="D241" i="48"/>
  <c r="C241" i="48"/>
  <c r="B241" i="48"/>
  <c r="E240" i="48"/>
  <c r="D240" i="48"/>
  <c r="C240" i="48"/>
  <c r="B240" i="48"/>
  <c r="E239" i="48"/>
  <c r="D239" i="48"/>
  <c r="C239" i="48"/>
  <c r="B239" i="48"/>
  <c r="E238" i="48"/>
  <c r="D238" i="48"/>
  <c r="C238" i="48"/>
  <c r="B238" i="48"/>
  <c r="E237" i="48"/>
  <c r="D237" i="48"/>
  <c r="C237" i="48"/>
  <c r="B237" i="48"/>
  <c r="E236" i="48"/>
  <c r="D236" i="48"/>
  <c r="C236" i="48"/>
  <c r="B236" i="48"/>
  <c r="E235" i="48"/>
  <c r="D235" i="48"/>
  <c r="C235" i="48"/>
  <c r="B235" i="48"/>
  <c r="E234" i="48"/>
  <c r="D234" i="48"/>
  <c r="C234" i="48"/>
  <c r="B234" i="48"/>
  <c r="E233" i="48"/>
  <c r="D233" i="48"/>
  <c r="C233" i="48"/>
  <c r="B233" i="48"/>
  <c r="E232" i="48"/>
  <c r="D232" i="48"/>
  <c r="C232" i="48"/>
  <c r="B232" i="48"/>
  <c r="E231" i="48"/>
  <c r="D231" i="48"/>
  <c r="C231" i="48"/>
  <c r="B231" i="48"/>
  <c r="E230" i="48"/>
  <c r="D230" i="48"/>
  <c r="C230" i="48"/>
  <c r="B230" i="48"/>
  <c r="E229" i="48"/>
  <c r="D229" i="48"/>
  <c r="C229" i="48"/>
  <c r="B229" i="48"/>
  <c r="E228" i="48"/>
  <c r="D228" i="48"/>
  <c r="C228" i="48"/>
  <c r="B228" i="48"/>
  <c r="E227" i="48"/>
  <c r="D227" i="48"/>
  <c r="C227" i="48"/>
  <c r="B227" i="48"/>
  <c r="E226" i="48"/>
  <c r="D226" i="48"/>
  <c r="C226" i="48"/>
  <c r="B226" i="48"/>
  <c r="E225" i="48"/>
  <c r="D225" i="48"/>
  <c r="C225" i="48"/>
  <c r="B225" i="48"/>
  <c r="E224" i="48"/>
  <c r="D224" i="48"/>
  <c r="C224" i="48"/>
  <c r="B224" i="48"/>
  <c r="E223" i="48"/>
  <c r="D223" i="48"/>
  <c r="C223" i="48"/>
  <c r="B223" i="48"/>
  <c r="E222" i="48"/>
  <c r="D222" i="48"/>
  <c r="C222" i="48"/>
  <c r="B222" i="48"/>
  <c r="E221" i="48"/>
  <c r="D221" i="48"/>
  <c r="C221" i="48"/>
  <c r="B221" i="48"/>
  <c r="E220" i="48"/>
  <c r="D220" i="48"/>
  <c r="C220" i="48"/>
  <c r="B220" i="48"/>
  <c r="E219" i="48"/>
  <c r="D219" i="48"/>
  <c r="C219" i="48"/>
  <c r="B219" i="48"/>
  <c r="E218" i="48"/>
  <c r="D218" i="48"/>
  <c r="C218" i="48"/>
  <c r="B218" i="48"/>
  <c r="E217" i="48"/>
  <c r="D217" i="48"/>
  <c r="C217" i="48"/>
  <c r="B217" i="48"/>
  <c r="E216" i="48"/>
  <c r="D216" i="48"/>
  <c r="C216" i="48"/>
  <c r="B216" i="48"/>
  <c r="E215" i="48"/>
  <c r="D215" i="48"/>
  <c r="C215" i="48"/>
  <c r="B215" i="48"/>
  <c r="E214" i="48"/>
  <c r="D214" i="48"/>
  <c r="C214" i="48"/>
  <c r="B214" i="48"/>
  <c r="E213" i="48"/>
  <c r="D213" i="48"/>
  <c r="C213" i="48"/>
  <c r="B213" i="48"/>
  <c r="E212" i="48"/>
  <c r="D212" i="48"/>
  <c r="C212" i="48"/>
  <c r="B212" i="48"/>
  <c r="E211" i="48"/>
  <c r="D211" i="48"/>
  <c r="C211" i="48"/>
  <c r="B211" i="48"/>
  <c r="E210" i="48"/>
  <c r="D210" i="48"/>
  <c r="C210" i="48"/>
  <c r="B210" i="48"/>
  <c r="E209" i="48"/>
  <c r="D209" i="48"/>
  <c r="C209" i="48"/>
  <c r="B209" i="48"/>
  <c r="E208" i="48"/>
  <c r="D208" i="48"/>
  <c r="C208" i="48"/>
  <c r="B208" i="48"/>
  <c r="E207" i="48"/>
  <c r="D207" i="48"/>
  <c r="C207" i="48"/>
  <c r="B207" i="48"/>
  <c r="E206" i="48"/>
  <c r="D206" i="48"/>
  <c r="C206" i="48"/>
  <c r="B206" i="48"/>
  <c r="E205" i="48"/>
  <c r="D205" i="48"/>
  <c r="C205" i="48"/>
  <c r="B205" i="48"/>
  <c r="E204" i="48"/>
  <c r="D204" i="48"/>
  <c r="C204" i="48"/>
  <c r="B204" i="48"/>
  <c r="E203" i="48"/>
  <c r="D203" i="48"/>
  <c r="C203" i="48"/>
  <c r="B203" i="48"/>
  <c r="E202" i="48"/>
  <c r="D202" i="48"/>
  <c r="C202" i="48"/>
  <c r="B202" i="48"/>
  <c r="E201" i="48"/>
  <c r="D201" i="48"/>
  <c r="C201" i="48"/>
  <c r="B201" i="48"/>
  <c r="E200" i="48"/>
  <c r="D200" i="48"/>
  <c r="C200" i="48"/>
  <c r="B200" i="48"/>
  <c r="E199" i="48"/>
  <c r="D199" i="48"/>
  <c r="C199" i="48"/>
  <c r="B199" i="48"/>
  <c r="E198" i="48"/>
  <c r="D198" i="48"/>
  <c r="C198" i="48"/>
  <c r="B198" i="48"/>
  <c r="E197" i="48"/>
  <c r="D197" i="48"/>
  <c r="C197" i="48"/>
  <c r="B197" i="48"/>
  <c r="E196" i="48"/>
  <c r="D196" i="48"/>
  <c r="C196" i="48"/>
  <c r="B196" i="48"/>
  <c r="E195" i="48"/>
  <c r="D195" i="48"/>
  <c r="C195" i="48"/>
  <c r="B195" i="48"/>
  <c r="E194" i="48"/>
  <c r="D194" i="48"/>
  <c r="C194" i="48"/>
  <c r="B194" i="48"/>
  <c r="E193" i="48"/>
  <c r="D193" i="48"/>
  <c r="C193" i="48"/>
  <c r="B193" i="48"/>
  <c r="E192" i="48"/>
  <c r="D192" i="48"/>
  <c r="C192" i="48"/>
  <c r="B192" i="48"/>
  <c r="E191" i="48"/>
  <c r="D191" i="48"/>
  <c r="C191" i="48"/>
  <c r="B191" i="48"/>
  <c r="E190" i="48"/>
  <c r="D190" i="48"/>
  <c r="C190" i="48"/>
  <c r="B190" i="48"/>
  <c r="E189" i="48"/>
  <c r="D189" i="48"/>
  <c r="C189" i="48"/>
  <c r="B189" i="48"/>
  <c r="E188" i="48"/>
  <c r="D188" i="48"/>
  <c r="C188" i="48"/>
  <c r="B188" i="48"/>
  <c r="E187" i="48"/>
  <c r="D187" i="48"/>
  <c r="C187" i="48"/>
  <c r="B187" i="48"/>
  <c r="E186" i="48"/>
  <c r="D186" i="48"/>
  <c r="C186" i="48"/>
  <c r="B186" i="48"/>
  <c r="E185" i="48"/>
  <c r="D185" i="48"/>
  <c r="C185" i="48"/>
  <c r="B185" i="48"/>
  <c r="E184" i="48"/>
  <c r="D184" i="48"/>
  <c r="C184" i="48"/>
  <c r="B184" i="48"/>
  <c r="E183" i="48"/>
  <c r="D183" i="48"/>
  <c r="C183" i="48"/>
  <c r="B183" i="48"/>
  <c r="E182" i="48"/>
  <c r="D182" i="48"/>
  <c r="C182" i="48"/>
  <c r="B182" i="48"/>
  <c r="E181" i="48"/>
  <c r="D181" i="48"/>
  <c r="C181" i="48"/>
  <c r="B181" i="48"/>
  <c r="E180" i="48"/>
  <c r="D180" i="48"/>
  <c r="C180" i="48"/>
  <c r="B180" i="48"/>
  <c r="E179" i="48"/>
  <c r="D179" i="48"/>
  <c r="C179" i="48"/>
  <c r="B179" i="48"/>
  <c r="E178" i="48"/>
  <c r="D178" i="48"/>
  <c r="C178" i="48"/>
  <c r="B178" i="48"/>
  <c r="E177" i="48"/>
  <c r="D177" i="48"/>
  <c r="C177" i="48"/>
  <c r="B177" i="48"/>
  <c r="E176" i="48"/>
  <c r="D176" i="48"/>
  <c r="C176" i="48"/>
  <c r="B176" i="48"/>
  <c r="E175" i="48"/>
  <c r="D175" i="48"/>
  <c r="C175" i="48"/>
  <c r="B175" i="48"/>
  <c r="E174" i="48"/>
  <c r="D174" i="48"/>
  <c r="C174" i="48"/>
  <c r="B174" i="48"/>
  <c r="E173" i="48"/>
  <c r="D173" i="48"/>
  <c r="C173" i="48"/>
  <c r="B173" i="48"/>
  <c r="E172" i="48"/>
  <c r="D172" i="48"/>
  <c r="C172" i="48"/>
  <c r="B172" i="48"/>
  <c r="E171" i="48"/>
  <c r="D171" i="48"/>
  <c r="C171" i="48"/>
  <c r="B171" i="48"/>
  <c r="E170" i="48"/>
  <c r="D170" i="48"/>
  <c r="C170" i="48"/>
  <c r="B170" i="48"/>
  <c r="E169" i="48"/>
  <c r="D169" i="48"/>
  <c r="C169" i="48"/>
  <c r="B169" i="48"/>
  <c r="E168" i="48"/>
  <c r="D168" i="48"/>
  <c r="C168" i="48"/>
  <c r="B168" i="48"/>
  <c r="E167" i="48"/>
  <c r="D167" i="48"/>
  <c r="C167" i="48"/>
  <c r="B167" i="48"/>
  <c r="E166" i="48"/>
  <c r="D166" i="48"/>
  <c r="C166" i="48"/>
  <c r="B166" i="48"/>
  <c r="E165" i="48"/>
  <c r="D165" i="48"/>
  <c r="C165" i="48"/>
  <c r="B165" i="48"/>
  <c r="E164" i="48"/>
  <c r="D164" i="48"/>
  <c r="C164" i="48"/>
  <c r="B164" i="48"/>
  <c r="E163" i="48"/>
  <c r="D163" i="48"/>
  <c r="C163" i="48"/>
  <c r="B163" i="48"/>
  <c r="E162" i="48"/>
  <c r="D162" i="48"/>
  <c r="C162" i="48"/>
  <c r="B162" i="48"/>
  <c r="E161" i="48"/>
  <c r="D161" i="48"/>
  <c r="C161" i="48"/>
  <c r="B161" i="48"/>
  <c r="E160" i="48"/>
  <c r="D160" i="48"/>
  <c r="C160" i="48"/>
  <c r="B160" i="48"/>
  <c r="E159" i="48"/>
  <c r="D159" i="48"/>
  <c r="C159" i="48"/>
  <c r="B159" i="48"/>
  <c r="E158" i="48"/>
  <c r="D158" i="48"/>
  <c r="C158" i="48"/>
  <c r="B158" i="48"/>
  <c r="E157" i="48"/>
  <c r="D157" i="48"/>
  <c r="C157" i="48"/>
  <c r="B157" i="48"/>
  <c r="E156" i="48"/>
  <c r="D156" i="48"/>
  <c r="C156" i="48"/>
  <c r="B156" i="48"/>
  <c r="E155" i="48"/>
  <c r="D155" i="48"/>
  <c r="C155" i="48"/>
  <c r="B155" i="48"/>
  <c r="E154" i="48"/>
  <c r="D154" i="48"/>
  <c r="C154" i="48"/>
  <c r="B154" i="48"/>
  <c r="E153" i="48"/>
  <c r="D153" i="48"/>
  <c r="C153" i="48"/>
  <c r="B153" i="48"/>
  <c r="E146" i="48"/>
  <c r="D146" i="48"/>
  <c r="C146" i="48"/>
  <c r="B146" i="48"/>
  <c r="E145" i="48"/>
  <c r="D145" i="48"/>
  <c r="C145" i="48"/>
  <c r="B145" i="48"/>
  <c r="E144" i="48"/>
  <c r="D144" i="48"/>
  <c r="C144" i="48"/>
  <c r="B144" i="48"/>
  <c r="E143" i="48"/>
  <c r="D143" i="48"/>
  <c r="C143" i="48"/>
  <c r="B143" i="48"/>
  <c r="E142" i="48"/>
  <c r="D142" i="48"/>
  <c r="C142" i="48"/>
  <c r="B142" i="48"/>
  <c r="E141" i="48"/>
  <c r="D141" i="48"/>
  <c r="C141" i="48"/>
  <c r="B141" i="48"/>
  <c r="E140" i="48"/>
  <c r="D140" i="48"/>
  <c r="C140" i="48"/>
  <c r="B140" i="48"/>
  <c r="E139" i="48"/>
  <c r="D139" i="48"/>
  <c r="C139" i="48"/>
  <c r="B139" i="48"/>
  <c r="E138" i="48"/>
  <c r="D138" i="48"/>
  <c r="C138" i="48"/>
  <c r="B138" i="48"/>
  <c r="E137" i="48"/>
  <c r="D137" i="48"/>
  <c r="C137" i="48"/>
  <c r="B137" i="48"/>
  <c r="E136" i="48"/>
  <c r="D136" i="48"/>
  <c r="C136" i="48"/>
  <c r="B136" i="48"/>
  <c r="E135" i="48"/>
  <c r="D135" i="48"/>
  <c r="C135" i="48"/>
  <c r="B135" i="48"/>
  <c r="E134" i="48"/>
  <c r="D134" i="48"/>
  <c r="C134" i="48"/>
  <c r="B134" i="48"/>
  <c r="E133" i="48"/>
  <c r="D133" i="48"/>
  <c r="C133" i="48"/>
  <c r="B133" i="48"/>
  <c r="E132" i="48"/>
  <c r="D132" i="48"/>
  <c r="C132" i="48"/>
  <c r="B132" i="48"/>
  <c r="E131" i="48"/>
  <c r="D131" i="48"/>
  <c r="C131" i="48"/>
  <c r="B131" i="48"/>
  <c r="E130" i="48"/>
  <c r="D130" i="48"/>
  <c r="C130" i="48"/>
  <c r="B130" i="48"/>
  <c r="E129" i="48"/>
  <c r="D129" i="48"/>
  <c r="C129" i="48"/>
  <c r="B129" i="48"/>
  <c r="E128" i="48"/>
  <c r="D128" i="48"/>
  <c r="C128" i="48"/>
  <c r="B128" i="48"/>
  <c r="E127" i="48"/>
  <c r="D127" i="48"/>
  <c r="C127" i="48"/>
  <c r="B127" i="48"/>
  <c r="E126" i="48"/>
  <c r="D126" i="48"/>
  <c r="C126" i="48"/>
  <c r="B126" i="48"/>
  <c r="E125" i="48"/>
  <c r="D125" i="48"/>
  <c r="C125" i="48"/>
  <c r="B125" i="48"/>
  <c r="E124" i="48"/>
  <c r="D124" i="48"/>
  <c r="C124" i="48"/>
  <c r="B124" i="48"/>
  <c r="E121" i="48"/>
  <c r="D121" i="48"/>
  <c r="C121" i="48"/>
  <c r="B121" i="48"/>
  <c r="E120" i="48"/>
  <c r="D120" i="48"/>
  <c r="C120" i="48"/>
  <c r="B120" i="48"/>
  <c r="E119" i="48"/>
  <c r="D119" i="48"/>
  <c r="C119" i="48"/>
  <c r="B119" i="48"/>
  <c r="E118" i="48"/>
  <c r="D118" i="48"/>
  <c r="C118" i="48"/>
  <c r="B118" i="48"/>
  <c r="E117" i="48"/>
  <c r="D117" i="48"/>
  <c r="C117" i="48"/>
  <c r="B117" i="48"/>
  <c r="E116" i="48"/>
  <c r="D116" i="48"/>
  <c r="C116" i="48"/>
  <c r="B116" i="48"/>
  <c r="E115" i="48"/>
  <c r="D115" i="48"/>
  <c r="C115" i="48"/>
  <c r="B115" i="48"/>
  <c r="E114" i="48"/>
  <c r="D114" i="48"/>
  <c r="C114" i="48"/>
  <c r="B114" i="48"/>
  <c r="E113" i="48"/>
  <c r="D113" i="48"/>
  <c r="C113" i="48"/>
  <c r="B113" i="48"/>
  <c r="E112" i="48"/>
  <c r="D112" i="48"/>
  <c r="C112" i="48"/>
  <c r="B112" i="48"/>
  <c r="E111" i="48"/>
  <c r="D111" i="48"/>
  <c r="C111" i="48"/>
  <c r="B111" i="48"/>
  <c r="E110" i="48"/>
  <c r="D110" i="48"/>
  <c r="C110" i="48"/>
  <c r="B110" i="48"/>
  <c r="E109" i="48"/>
  <c r="D109" i="48"/>
  <c r="C109" i="48"/>
  <c r="B109" i="48"/>
  <c r="E108" i="48"/>
  <c r="D108" i="48"/>
  <c r="C108" i="48"/>
  <c r="B108" i="48"/>
  <c r="E107" i="48"/>
  <c r="D107" i="48"/>
  <c r="C107" i="48"/>
  <c r="B107" i="48"/>
  <c r="E106" i="48"/>
  <c r="D106" i="48"/>
  <c r="C106" i="48"/>
  <c r="B106" i="48"/>
  <c r="E105" i="48"/>
  <c r="D105" i="48"/>
  <c r="C105" i="48"/>
  <c r="B105" i="48"/>
  <c r="E104" i="48"/>
  <c r="D104" i="48"/>
  <c r="C104" i="48"/>
  <c r="B104" i="48"/>
  <c r="E103" i="48"/>
  <c r="D103" i="48"/>
  <c r="C103" i="48"/>
  <c r="B103" i="48"/>
  <c r="E102" i="48"/>
  <c r="D102" i="48"/>
  <c r="C102" i="48"/>
  <c r="B102" i="48"/>
  <c r="E101" i="48"/>
  <c r="D101" i="48"/>
  <c r="C101" i="48"/>
  <c r="B101" i="48"/>
  <c r="E100" i="48"/>
  <c r="D100" i="48"/>
  <c r="C100" i="48"/>
  <c r="B100" i="48"/>
  <c r="E99" i="48"/>
  <c r="D99" i="48"/>
  <c r="C99" i="48"/>
  <c r="B99" i="48"/>
  <c r="E98" i="48"/>
  <c r="D98" i="48"/>
  <c r="C98" i="48"/>
  <c r="B98" i="48"/>
  <c r="E97" i="48"/>
  <c r="D97" i="48"/>
  <c r="C97" i="48"/>
  <c r="B97" i="48"/>
  <c r="E96" i="48"/>
  <c r="D96" i="48"/>
  <c r="C96" i="48"/>
  <c r="B96" i="48"/>
  <c r="E95" i="48"/>
  <c r="D95" i="48"/>
  <c r="C95" i="48"/>
  <c r="B95" i="48"/>
  <c r="E94" i="48"/>
  <c r="D94" i="48"/>
  <c r="C94" i="48"/>
  <c r="B94" i="48"/>
  <c r="E93" i="48"/>
  <c r="D93" i="48"/>
  <c r="C93" i="48"/>
  <c r="B93" i="48"/>
  <c r="E92" i="48"/>
  <c r="D92" i="48"/>
  <c r="C92" i="48"/>
  <c r="B92" i="48"/>
  <c r="E91" i="48"/>
  <c r="D91" i="48"/>
  <c r="C91" i="48"/>
  <c r="B91" i="48"/>
  <c r="E90" i="48"/>
  <c r="D90" i="48"/>
  <c r="C90" i="48"/>
  <c r="B90" i="48"/>
  <c r="E89" i="48"/>
  <c r="D89" i="48"/>
  <c r="C89" i="48"/>
  <c r="B89" i="48"/>
  <c r="E88" i="48"/>
  <c r="D88" i="48"/>
  <c r="C88" i="48"/>
  <c r="B88" i="48"/>
  <c r="E87" i="48"/>
  <c r="D87" i="48"/>
  <c r="C87" i="48"/>
  <c r="B87" i="48"/>
  <c r="E86" i="48"/>
  <c r="D86" i="48"/>
  <c r="C86" i="48"/>
  <c r="B86" i="48"/>
  <c r="E85" i="48"/>
  <c r="D85" i="48"/>
  <c r="C85" i="48"/>
  <c r="B85" i="48"/>
  <c r="E84" i="48"/>
  <c r="D84" i="48"/>
  <c r="C84" i="48"/>
  <c r="B84" i="48"/>
  <c r="E83" i="48"/>
  <c r="D83" i="48"/>
  <c r="C83" i="48"/>
  <c r="B83" i="48"/>
  <c r="E82" i="48"/>
  <c r="D82" i="48"/>
  <c r="C82" i="48"/>
  <c r="B82" i="48"/>
  <c r="E81" i="48"/>
  <c r="D81" i="48"/>
  <c r="C81" i="48"/>
  <c r="B81" i="48"/>
  <c r="E80" i="48"/>
  <c r="D80" i="48"/>
  <c r="C80" i="48"/>
  <c r="B80" i="48"/>
  <c r="E79" i="48"/>
  <c r="D79" i="48"/>
  <c r="C79" i="48"/>
  <c r="B79" i="48"/>
  <c r="E78" i="48"/>
  <c r="D78" i="48"/>
  <c r="C78" i="48"/>
  <c r="B78" i="48"/>
  <c r="E77" i="48"/>
  <c r="D77" i="48"/>
  <c r="C77" i="48"/>
  <c r="B77" i="48"/>
  <c r="E76" i="48"/>
  <c r="D76" i="48"/>
  <c r="C76" i="48"/>
  <c r="B76" i="48"/>
  <c r="E75" i="48"/>
  <c r="D75" i="48"/>
  <c r="C75" i="48"/>
  <c r="B75" i="48"/>
  <c r="E74" i="48"/>
  <c r="D74" i="48"/>
  <c r="C74" i="48"/>
  <c r="B74" i="48"/>
  <c r="E73" i="48"/>
  <c r="D73" i="48"/>
  <c r="C73" i="48"/>
  <c r="B73" i="48"/>
  <c r="E72" i="48"/>
  <c r="D72" i="48"/>
  <c r="C72" i="48"/>
  <c r="B72" i="48"/>
  <c r="E71" i="48"/>
  <c r="D71" i="48"/>
  <c r="C71" i="48"/>
  <c r="B71" i="48"/>
  <c r="E70" i="48"/>
  <c r="D70" i="48"/>
  <c r="C70" i="48"/>
  <c r="B70" i="48"/>
  <c r="E69" i="48"/>
  <c r="D69" i="48"/>
  <c r="C69" i="48"/>
  <c r="B69" i="48"/>
  <c r="E68" i="48"/>
  <c r="D68" i="48"/>
  <c r="C68" i="48"/>
  <c r="B68" i="48"/>
  <c r="E67" i="48"/>
  <c r="D67" i="48"/>
  <c r="C67" i="48"/>
  <c r="B67" i="48"/>
  <c r="E66" i="48"/>
  <c r="D66" i="48"/>
  <c r="C66" i="48"/>
  <c r="B66" i="48"/>
  <c r="E65" i="48"/>
  <c r="D65" i="48"/>
  <c r="C65" i="48"/>
  <c r="B65" i="48"/>
  <c r="E64" i="48"/>
  <c r="D64" i="48"/>
  <c r="C64" i="48"/>
  <c r="B64" i="48"/>
  <c r="E63" i="48"/>
  <c r="D63" i="48"/>
  <c r="C63" i="48"/>
  <c r="B63" i="48"/>
  <c r="E62" i="48"/>
  <c r="D62" i="48"/>
  <c r="C62" i="48"/>
  <c r="B62" i="48"/>
  <c r="E61" i="48"/>
  <c r="D61" i="48"/>
  <c r="C61" i="48"/>
  <c r="B61" i="48"/>
  <c r="E60" i="48"/>
  <c r="D60" i="48"/>
  <c r="C60" i="48"/>
  <c r="B60" i="48"/>
  <c r="E59" i="48"/>
  <c r="D59" i="48"/>
  <c r="C59" i="48"/>
  <c r="B59" i="48"/>
  <c r="E58" i="48"/>
  <c r="D58" i="48"/>
  <c r="C58" i="48"/>
  <c r="B58" i="48"/>
  <c r="E57" i="48"/>
  <c r="D57" i="48"/>
  <c r="C57" i="48"/>
  <c r="B57" i="48"/>
  <c r="E56" i="48"/>
  <c r="D56" i="48"/>
  <c r="C56" i="48"/>
  <c r="B56" i="48"/>
  <c r="E55" i="48"/>
  <c r="D55" i="48"/>
  <c r="C55" i="48"/>
  <c r="B55" i="48"/>
  <c r="E54" i="48"/>
  <c r="D54" i="48"/>
  <c r="C54" i="48"/>
  <c r="B54" i="48"/>
  <c r="E53" i="48"/>
  <c r="D53" i="48"/>
  <c r="C53" i="48"/>
  <c r="B53" i="48"/>
  <c r="E52" i="48"/>
  <c r="D52" i="48"/>
  <c r="C52" i="48"/>
  <c r="B52" i="48"/>
  <c r="E51" i="48"/>
  <c r="D51" i="48"/>
  <c r="C51" i="48"/>
  <c r="B51" i="48"/>
  <c r="E50" i="48"/>
  <c r="D50" i="48"/>
  <c r="C50" i="48"/>
  <c r="B50" i="48"/>
  <c r="E49" i="48"/>
  <c r="D49" i="48"/>
  <c r="C49" i="48"/>
  <c r="B49" i="48"/>
  <c r="E48" i="48"/>
  <c r="D48" i="48"/>
  <c r="C48" i="48"/>
  <c r="B48" i="48"/>
  <c r="E47" i="48"/>
  <c r="D47" i="48"/>
  <c r="C47" i="48"/>
  <c r="B47" i="48"/>
  <c r="E46" i="48"/>
  <c r="D46" i="48"/>
  <c r="C46" i="48"/>
  <c r="B46" i="48"/>
  <c r="E45" i="48"/>
  <c r="D45" i="48"/>
  <c r="C45" i="48"/>
  <c r="B45" i="48"/>
  <c r="E44" i="48"/>
  <c r="D44" i="48"/>
  <c r="C44" i="48"/>
  <c r="B44" i="48"/>
  <c r="E43" i="48"/>
  <c r="D43" i="48"/>
  <c r="C43" i="48"/>
  <c r="B43" i="48"/>
  <c r="E42" i="48"/>
  <c r="D42" i="48"/>
  <c r="C42" i="48"/>
  <c r="B42" i="48"/>
  <c r="E41" i="48"/>
  <c r="D41" i="48"/>
  <c r="C41" i="48"/>
  <c r="B41" i="48"/>
  <c r="E40" i="48"/>
  <c r="D40" i="48"/>
  <c r="C40" i="48"/>
  <c r="B40" i="48"/>
  <c r="E39" i="48"/>
  <c r="D39" i="48"/>
  <c r="C39" i="48"/>
  <c r="B39" i="48"/>
  <c r="E38" i="48"/>
  <c r="D38" i="48"/>
  <c r="C38" i="48"/>
  <c r="B38" i="48"/>
  <c r="E37" i="48"/>
  <c r="D37" i="48"/>
  <c r="C37" i="48"/>
  <c r="B37" i="48"/>
  <c r="E36" i="48"/>
  <c r="D36" i="48"/>
  <c r="C36" i="48"/>
  <c r="B36" i="48"/>
  <c r="E35" i="48"/>
  <c r="D35" i="48"/>
  <c r="C35" i="48"/>
  <c r="B35" i="48"/>
  <c r="E34" i="48"/>
  <c r="D34" i="48"/>
  <c r="C34" i="48"/>
  <c r="B34" i="48"/>
  <c r="E33" i="48"/>
  <c r="D33" i="48"/>
  <c r="C33" i="48"/>
  <c r="B33" i="48"/>
  <c r="E32" i="48"/>
  <c r="D32" i="48"/>
  <c r="C32" i="48"/>
  <c r="B32" i="48"/>
  <c r="E31" i="48"/>
  <c r="D31" i="48"/>
  <c r="C31" i="48"/>
  <c r="B31" i="48"/>
  <c r="E30" i="48"/>
  <c r="D30" i="48"/>
  <c r="C30" i="48"/>
  <c r="B30" i="48"/>
  <c r="E29" i="48"/>
  <c r="D29" i="48"/>
  <c r="C29" i="48"/>
  <c r="B29" i="48"/>
  <c r="E28" i="48"/>
  <c r="D28" i="48"/>
  <c r="C28" i="48"/>
  <c r="B28" i="48"/>
  <c r="E27" i="48"/>
  <c r="D27" i="48"/>
  <c r="C27" i="48"/>
  <c r="B27" i="48"/>
  <c r="E26" i="48"/>
  <c r="D26" i="48"/>
  <c r="C26" i="48"/>
  <c r="B26" i="48"/>
  <c r="E25" i="48"/>
  <c r="D25" i="48"/>
  <c r="C25" i="48"/>
  <c r="B25" i="48"/>
  <c r="E24" i="48"/>
  <c r="D24" i="48"/>
  <c r="C24" i="48"/>
  <c r="B24" i="48"/>
  <c r="E23" i="48"/>
  <c r="D23" i="48"/>
  <c r="C23" i="48"/>
  <c r="B23" i="48"/>
  <c r="E22" i="48"/>
  <c r="D22" i="48"/>
  <c r="C22" i="48"/>
  <c r="B22" i="48"/>
  <c r="E21" i="48"/>
  <c r="D21" i="48"/>
  <c r="C21" i="48"/>
  <c r="B21" i="48"/>
  <c r="E20" i="48"/>
  <c r="D20" i="48"/>
  <c r="C20" i="48"/>
  <c r="B20" i="48"/>
  <c r="E19" i="48"/>
  <c r="D19" i="48"/>
  <c r="C19" i="48"/>
  <c r="B19" i="48"/>
  <c r="E18" i="48"/>
  <c r="D18" i="48"/>
  <c r="C18" i="48"/>
  <c r="B18" i="48"/>
  <c r="E17" i="48"/>
  <c r="D17" i="48"/>
  <c r="C17" i="48"/>
  <c r="B17" i="48"/>
  <c r="E16" i="48"/>
  <c r="D16" i="48"/>
  <c r="C16" i="48"/>
  <c r="B16" i="48"/>
  <c r="E15" i="48"/>
  <c r="D15" i="48"/>
  <c r="C15" i="48"/>
  <c r="B15" i="48"/>
  <c r="E14" i="48"/>
  <c r="D14" i="48"/>
  <c r="C14" i="48"/>
  <c r="B14" i="48"/>
  <c r="E13" i="48"/>
  <c r="D13" i="48"/>
  <c r="C13" i="48"/>
  <c r="B13" i="48"/>
  <c r="E12" i="48"/>
  <c r="D12" i="48"/>
  <c r="C12" i="48"/>
  <c r="B12" i="48"/>
  <c r="E11" i="48"/>
  <c r="D11" i="48"/>
  <c r="C11" i="48"/>
  <c r="B11" i="48"/>
  <c r="E10" i="48"/>
  <c r="D10" i="48"/>
  <c r="C10" i="48"/>
  <c r="B10" i="48"/>
  <c r="E9" i="48"/>
  <c r="D9" i="48"/>
  <c r="C9" i="48"/>
  <c r="B9" i="48"/>
  <c r="E8" i="48"/>
  <c r="D8" i="48"/>
  <c r="C8" i="48"/>
  <c r="B8" i="48"/>
  <c r="E7" i="48"/>
  <c r="D7" i="48"/>
  <c r="C7" i="48"/>
  <c r="B7" i="48"/>
  <c r="E6" i="48"/>
  <c r="D6" i="48"/>
  <c r="C6" i="48"/>
  <c r="B6" i="48"/>
  <c r="E5" i="48"/>
  <c r="D5" i="48"/>
  <c r="C5" i="48"/>
  <c r="B5" i="48"/>
  <c r="E4" i="48"/>
  <c r="D4" i="48"/>
  <c r="C4" i="48"/>
  <c r="B4" i="48"/>
  <c r="H3" i="48"/>
  <c r="G3" i="48"/>
  <c r="E3" i="48"/>
  <c r="D3" i="48"/>
  <c r="C3" i="48"/>
  <c r="B3" i="48"/>
  <c r="AA126" i="49"/>
  <c r="AA60" i="49"/>
  <c r="AA38" i="49"/>
  <c r="AA147" i="49"/>
  <c r="H207" i="21"/>
  <c r="H201" i="21"/>
  <c r="H195" i="21"/>
  <c r="H189" i="21"/>
  <c r="H183" i="21"/>
  <c r="H177" i="21"/>
  <c r="H171" i="21"/>
  <c r="H165" i="21"/>
  <c r="H159" i="21"/>
  <c r="H153" i="21"/>
  <c r="H147" i="21"/>
  <c r="H141" i="21"/>
  <c r="H135" i="21"/>
  <c r="H129" i="21"/>
  <c r="H123" i="21"/>
  <c r="H117" i="21"/>
  <c r="H111" i="21"/>
  <c r="H105" i="21"/>
  <c r="H99" i="21"/>
  <c r="H93" i="21"/>
  <c r="H87" i="21"/>
  <c r="H81" i="21"/>
  <c r="H75" i="21"/>
  <c r="H69" i="21"/>
  <c r="H63" i="21"/>
  <c r="H57" i="21"/>
  <c r="H51" i="21"/>
  <c r="H45" i="21"/>
  <c r="H39" i="21"/>
  <c r="H33" i="21"/>
  <c r="H27" i="21"/>
  <c r="H21" i="21"/>
  <c r="H15" i="21"/>
  <c r="H9" i="21"/>
  <c r="H3" i="21"/>
  <c r="H166" i="21" l="1"/>
  <c r="H167" i="21" s="1"/>
  <c r="H160" i="21"/>
  <c r="H161" i="21" s="1"/>
  <c r="H162" i="21" s="1"/>
  <c r="H163" i="21" s="1"/>
  <c r="H164" i="21" s="1"/>
  <c r="H154" i="21"/>
  <c r="H155" i="21" s="1"/>
  <c r="H156" i="21" s="1"/>
  <c r="H157" i="21" s="1"/>
  <c r="H158" i="21" s="1"/>
  <c r="H148" i="21"/>
  <c r="H149" i="21" s="1"/>
  <c r="H150" i="21" s="1"/>
  <c r="H151" i="21" s="1"/>
  <c r="H152" i="21" s="1"/>
  <c r="H142" i="21"/>
  <c r="H143" i="21" s="1"/>
  <c r="H144" i="21" s="1"/>
  <c r="H145" i="21" s="1"/>
  <c r="H146" i="21" s="1"/>
  <c r="H136" i="21"/>
  <c r="H137" i="21" s="1"/>
  <c r="H138" i="21" s="1"/>
  <c r="H139" i="21" s="1"/>
  <c r="H140" i="21" s="1"/>
  <c r="H130" i="21"/>
  <c r="H131" i="21" s="1"/>
  <c r="H132" i="21" s="1"/>
  <c r="H133" i="21" s="1"/>
  <c r="H134" i="21" s="1"/>
  <c r="H124" i="21"/>
  <c r="H125" i="21" s="1"/>
  <c r="H126" i="21" s="1"/>
  <c r="H127" i="21" s="1"/>
  <c r="H128" i="21" s="1"/>
  <c r="H118" i="21"/>
  <c r="H119" i="21" s="1"/>
  <c r="H120" i="21" s="1"/>
  <c r="H121" i="21" s="1"/>
  <c r="H122" i="21" s="1"/>
  <c r="H112" i="21"/>
  <c r="H113" i="21" s="1"/>
  <c r="H114" i="21" s="1"/>
  <c r="H115" i="21" s="1"/>
  <c r="H116" i="21" s="1"/>
  <c r="H106" i="21"/>
  <c r="H107" i="21" s="1"/>
  <c r="H108" i="21" s="1"/>
  <c r="H109" i="21" s="1"/>
  <c r="H110" i="21" s="1"/>
  <c r="H100" i="21"/>
  <c r="H101" i="21" s="1"/>
  <c r="H102" i="21" s="1"/>
  <c r="H103" i="21" s="1"/>
  <c r="H104" i="21" s="1"/>
  <c r="H94" i="21"/>
  <c r="H95" i="21" s="1"/>
  <c r="H96" i="21" s="1"/>
  <c r="H97" i="21" s="1"/>
  <c r="H98" i="21" s="1"/>
  <c r="H88" i="21"/>
  <c r="H89" i="21" s="1"/>
  <c r="H90" i="21" s="1"/>
  <c r="H91" i="21" s="1"/>
  <c r="H92" i="21" s="1"/>
  <c r="H82" i="21"/>
  <c r="H83" i="21" s="1"/>
  <c r="H84" i="21" s="1"/>
  <c r="H85" i="21" s="1"/>
  <c r="H86" i="21" s="1"/>
  <c r="H76" i="21"/>
  <c r="H77" i="21" s="1"/>
  <c r="H78" i="21" s="1"/>
  <c r="H79" i="21" s="1"/>
  <c r="H80" i="21" s="1"/>
  <c r="H70" i="21"/>
  <c r="H71" i="21" s="1"/>
  <c r="H72" i="21" s="1"/>
  <c r="H73" i="21" s="1"/>
  <c r="H74" i="21" s="1"/>
  <c r="H64" i="21"/>
  <c r="H65" i="21" s="1"/>
  <c r="H66" i="21" s="1"/>
  <c r="H67" i="21" s="1"/>
  <c r="H68" i="21" s="1"/>
  <c r="H58" i="21"/>
  <c r="H59" i="21" s="1"/>
  <c r="H60" i="21" s="1"/>
  <c r="H61" i="21" s="1"/>
  <c r="H62" i="21" s="1"/>
  <c r="H52" i="21"/>
  <c r="H53" i="21" s="1"/>
  <c r="H54" i="21" s="1"/>
  <c r="H55" i="21" s="1"/>
  <c r="H56" i="21" s="1"/>
  <c r="H46" i="21"/>
  <c r="H47" i="21" s="1"/>
  <c r="H48" i="21" s="1"/>
  <c r="H49" i="21" s="1"/>
  <c r="H50" i="21" s="1"/>
  <c r="H40" i="21"/>
  <c r="H41" i="21" s="1"/>
  <c r="H42" i="21" s="1"/>
  <c r="H43" i="21" s="1"/>
  <c r="H44" i="21" s="1"/>
  <c r="H34" i="21"/>
  <c r="H35" i="21" s="1"/>
  <c r="H36" i="21" s="1"/>
  <c r="H37" i="21" s="1"/>
  <c r="H38" i="21" s="1"/>
  <c r="H28" i="21"/>
  <c r="H29" i="21" s="1"/>
  <c r="H30" i="21" s="1"/>
  <c r="H31" i="21" s="1"/>
  <c r="H32" i="21" s="1"/>
  <c r="H22" i="21"/>
  <c r="H23" i="21" s="1"/>
  <c r="H24" i="21" s="1"/>
  <c r="H25" i="21" s="1"/>
  <c r="H26" i="21" s="1"/>
  <c r="H16" i="21"/>
  <c r="H17" i="21" s="1"/>
  <c r="H18" i="21" s="1"/>
  <c r="H19" i="21" s="1"/>
  <c r="H20" i="21" s="1"/>
  <c r="H10" i="21"/>
  <c r="H11" i="21" s="1"/>
  <c r="H12" i="21" s="1"/>
  <c r="H13" i="21" s="1"/>
  <c r="H14" i="21" s="1"/>
  <c r="H4" i="21"/>
  <c r="H5" i="21" s="1"/>
  <c r="H6" i="21" s="1"/>
  <c r="H7" i="21" s="1"/>
  <c r="H8" i="21" s="1"/>
  <c r="AA157" i="49" l="1"/>
  <c r="AA156" i="49"/>
  <c r="AA155" i="49"/>
  <c r="AA154" i="49"/>
  <c r="AA153" i="49"/>
  <c r="AA152" i="49"/>
  <c r="AA151" i="49"/>
  <c r="AA150" i="49"/>
  <c r="AA149" i="49"/>
  <c r="AA148" i="49"/>
  <c r="AA146" i="49"/>
  <c r="AA145" i="49"/>
  <c r="AA144" i="49"/>
  <c r="AA143" i="49"/>
  <c r="AA142" i="49"/>
  <c r="AA141" i="49"/>
  <c r="AA140" i="49"/>
  <c r="AA139" i="49"/>
  <c r="AA138" i="49"/>
  <c r="AA135" i="49"/>
  <c r="AA134" i="49"/>
  <c r="AA133" i="49"/>
  <c r="AA132" i="49"/>
  <c r="AA131" i="49"/>
  <c r="AA130" i="49"/>
  <c r="AA129" i="49"/>
  <c r="AA128" i="49"/>
  <c r="AA127" i="49"/>
  <c r="AA125" i="49"/>
  <c r="AA124" i="49"/>
  <c r="AA123" i="49"/>
  <c r="AA122" i="49"/>
  <c r="AA121" i="49"/>
  <c r="AA120" i="49"/>
  <c r="AA119" i="49"/>
  <c r="AA118" i="49"/>
  <c r="AA117" i="49"/>
  <c r="AA116" i="49"/>
  <c r="AA69" i="49"/>
  <c r="AA68" i="49"/>
  <c r="AA67" i="49"/>
  <c r="AA66" i="49"/>
  <c r="AA65" i="49"/>
  <c r="AA64" i="49"/>
  <c r="AA63" i="49"/>
  <c r="AA62" i="49"/>
  <c r="AA61" i="49"/>
  <c r="AA59" i="49"/>
  <c r="AA58" i="49"/>
  <c r="AA57" i="49"/>
  <c r="AA56" i="49"/>
  <c r="AA55" i="49"/>
  <c r="AA54" i="49"/>
  <c r="AA53" i="49"/>
  <c r="AA52" i="49"/>
  <c r="AA51" i="49"/>
  <c r="AA50" i="49"/>
  <c r="AA47" i="49"/>
  <c r="AA46" i="49"/>
  <c r="AA45" i="49"/>
  <c r="AA44" i="49"/>
  <c r="AA43" i="49"/>
  <c r="AA42" i="49"/>
  <c r="AA41" i="49"/>
  <c r="AA40" i="49"/>
  <c r="AA39" i="49"/>
  <c r="AA37" i="49"/>
  <c r="AA36" i="49"/>
  <c r="AA35" i="49"/>
  <c r="AA34" i="49"/>
  <c r="AA33" i="49"/>
  <c r="AA32" i="49"/>
  <c r="AA31" i="49"/>
  <c r="AA30" i="49"/>
  <c r="AA29" i="49"/>
  <c r="AA28" i="49"/>
  <c r="AA72" i="49" l="1"/>
  <c r="AA73" i="49"/>
  <c r="AA74" i="49"/>
  <c r="AA75" i="49"/>
  <c r="AA76" i="49"/>
  <c r="AA77" i="49"/>
  <c r="J78" i="49"/>
  <c r="AA78" i="49"/>
  <c r="AA79" i="49"/>
  <c r="AA80" i="49"/>
  <c r="AA81" i="49"/>
  <c r="AA82" i="49"/>
  <c r="AA83" i="49"/>
  <c r="AA84" i="49"/>
  <c r="AA85" i="49"/>
  <c r="AA86" i="49"/>
  <c r="AA87" i="49"/>
  <c r="AA88" i="49"/>
  <c r="AA89" i="49"/>
  <c r="AA90" i="49"/>
  <c r="AA91" i="49"/>
  <c r="AA94" i="49"/>
  <c r="AA95" i="49"/>
  <c r="AA96" i="49"/>
  <c r="AA97" i="49"/>
  <c r="AA98" i="49"/>
  <c r="AA99" i="49"/>
  <c r="J100" i="49"/>
  <c r="AA100" i="49" s="1"/>
  <c r="AA101" i="49"/>
  <c r="AA102" i="49"/>
  <c r="AA103" i="49"/>
  <c r="AA104" i="49"/>
  <c r="AA105" i="49"/>
  <c r="AA106" i="49"/>
  <c r="AA107" i="49"/>
  <c r="AA108" i="49"/>
  <c r="J109" i="49"/>
  <c r="AA109" i="49" s="1"/>
  <c r="AA110" i="49"/>
  <c r="AA111" i="49"/>
  <c r="AA112" i="49"/>
  <c r="AA113" i="49"/>
  <c r="R13" i="61"/>
  <c r="N13" i="61"/>
  <c r="F67" i="48"/>
  <c r="I80" i="32"/>
  <c r="I79" i="32"/>
  <c r="I78" i="32"/>
  <c r="I77" i="32"/>
  <c r="I76" i="32"/>
  <c r="I75" i="32"/>
  <c r="I74" i="32"/>
  <c r="I73" i="32"/>
  <c r="I72" i="32"/>
  <c r="I71" i="32"/>
  <c r="I70" i="32"/>
  <c r="I69" i="32"/>
  <c r="I68" i="32"/>
  <c r="I67" i="32"/>
  <c r="I66" i="32"/>
  <c r="I65" i="32"/>
  <c r="I64" i="32"/>
  <c r="I63" i="32"/>
  <c r="I62" i="32"/>
  <c r="I61" i="32"/>
  <c r="I60" i="32"/>
  <c r="I59" i="32"/>
  <c r="I58" i="32"/>
  <c r="I57" i="32"/>
  <c r="I56" i="32"/>
  <c r="K67" i="48" l="1"/>
  <c r="K52" i="48"/>
  <c r="K99" i="48"/>
  <c r="K101" i="48"/>
  <c r="K109" i="48"/>
  <c r="K122" i="48"/>
  <c r="K123" i="48"/>
  <c r="K137" i="48"/>
  <c r="K138" i="48"/>
  <c r="K149" i="48"/>
  <c r="K150" i="48"/>
  <c r="K151" i="48"/>
  <c r="K152" i="48"/>
  <c r="K182" i="48"/>
  <c r="K183" i="48"/>
  <c r="K184" i="48"/>
  <c r="K185" i="48"/>
  <c r="K186" i="48"/>
  <c r="K187" i="48"/>
  <c r="K228" i="48"/>
  <c r="K231" i="48"/>
  <c r="K236" i="48"/>
  <c r="K237" i="48"/>
  <c r="K238" i="48"/>
  <c r="K239" i="48"/>
  <c r="K240" i="48"/>
  <c r="K241" i="48"/>
  <c r="K242" i="48"/>
  <c r="K243" i="48"/>
  <c r="K244" i="48"/>
  <c r="K245" i="48"/>
  <c r="K246" i="48"/>
  <c r="K247" i="48"/>
  <c r="K248" i="48"/>
  <c r="K249" i="48"/>
  <c r="K250" i="48"/>
  <c r="K251" i="48"/>
  <c r="K252" i="48"/>
  <c r="K253" i="48"/>
  <c r="K254" i="48"/>
  <c r="K255" i="48"/>
  <c r="K256" i="48"/>
  <c r="K257" i="48"/>
  <c r="K258" i="48"/>
  <c r="K259" i="48"/>
  <c r="K260" i="48"/>
  <c r="K261" i="48"/>
  <c r="K262" i="48"/>
  <c r="K263" i="48"/>
  <c r="K264" i="48"/>
  <c r="K265" i="48"/>
  <c r="K266" i="48"/>
  <c r="K267" i="48"/>
  <c r="K268" i="48"/>
  <c r="K269" i="48"/>
  <c r="K270" i="48"/>
  <c r="K271" i="48"/>
  <c r="K272" i="48"/>
  <c r="K273" i="48"/>
  <c r="K274" i="48"/>
  <c r="K275" i="48"/>
  <c r="K276" i="48"/>
  <c r="K277" i="48"/>
  <c r="K278" i="48"/>
  <c r="K279" i="48"/>
  <c r="K280" i="48"/>
  <c r="K281" i="48"/>
  <c r="K282" i="48"/>
  <c r="K283" i="48"/>
  <c r="K284" i="48"/>
  <c r="K285" i="48"/>
  <c r="K286" i="48"/>
  <c r="K287" i="48"/>
  <c r="K288" i="48"/>
  <c r="K289" i="48"/>
  <c r="K290" i="48"/>
  <c r="K291" i="48"/>
  <c r="K292" i="48"/>
  <c r="K293" i="48"/>
  <c r="K294" i="48"/>
  <c r="K295" i="48"/>
  <c r="K296" i="48"/>
  <c r="K297" i="48"/>
  <c r="K298" i="48"/>
  <c r="K299" i="48"/>
  <c r="K300" i="48"/>
  <c r="K301" i="48"/>
  <c r="K302" i="48"/>
  <c r="K303" i="48"/>
  <c r="K304" i="48"/>
  <c r="K305" i="48"/>
  <c r="K306" i="48"/>
  <c r="K307" i="48"/>
  <c r="K308" i="48"/>
  <c r="K309" i="48"/>
  <c r="K310" i="48"/>
  <c r="K311" i="48"/>
  <c r="K312" i="48"/>
  <c r="K313" i="48"/>
  <c r="K314" i="48"/>
  <c r="K315" i="48"/>
  <c r="K316" i="48"/>
  <c r="K317" i="48"/>
  <c r="K318" i="48"/>
  <c r="K319" i="48"/>
  <c r="K320" i="48"/>
  <c r="K321" i="48"/>
  <c r="K322" i="48"/>
  <c r="K323" i="48"/>
  <c r="K324" i="48"/>
  <c r="K325" i="48"/>
  <c r="K326" i="48"/>
  <c r="K327" i="48"/>
  <c r="K328" i="48"/>
  <c r="K329" i="48"/>
  <c r="K330" i="48"/>
  <c r="K331" i="48"/>
  <c r="K332" i="48"/>
  <c r="K333" i="48"/>
  <c r="K334" i="48"/>
  <c r="K335" i="48"/>
  <c r="K336" i="48"/>
  <c r="K337" i="48"/>
  <c r="K338" i="48"/>
  <c r="K339" i="48"/>
  <c r="K340" i="48"/>
  <c r="K341" i="48"/>
  <c r="K342" i="48"/>
  <c r="K343" i="48"/>
  <c r="K344" i="48"/>
  <c r="K345" i="48"/>
  <c r="K346" i="48"/>
  <c r="K347" i="48"/>
  <c r="K348" i="48"/>
  <c r="K349" i="48"/>
  <c r="K350" i="48"/>
  <c r="K351" i="48"/>
  <c r="K352" i="48"/>
  <c r="K353" i="48"/>
  <c r="K354" i="48"/>
  <c r="K355" i="48"/>
  <c r="K356" i="48"/>
  <c r="K357" i="48"/>
  <c r="K358" i="48"/>
  <c r="K359" i="48"/>
  <c r="K360" i="48"/>
  <c r="K361" i="48"/>
  <c r="K362" i="48"/>
  <c r="K363" i="48"/>
  <c r="K364" i="48"/>
  <c r="K365" i="48"/>
  <c r="K366" i="48"/>
  <c r="K367" i="48"/>
  <c r="K368" i="48"/>
  <c r="K369" i="48"/>
  <c r="K370" i="48"/>
  <c r="K371" i="48"/>
  <c r="K372" i="48"/>
  <c r="K373" i="48"/>
  <c r="K374" i="48"/>
  <c r="K375" i="48"/>
  <c r="K376" i="48"/>
  <c r="K377" i="48"/>
  <c r="K378" i="48"/>
  <c r="K379" i="48"/>
  <c r="K380" i="48"/>
  <c r="K381" i="48"/>
  <c r="K382" i="48"/>
  <c r="K383" i="48"/>
  <c r="K384" i="48"/>
  <c r="K385" i="48"/>
  <c r="K386" i="48"/>
  <c r="K387" i="48"/>
  <c r="K388" i="48"/>
  <c r="K389" i="48"/>
  <c r="K390" i="48"/>
  <c r="K391" i="48"/>
  <c r="K392" i="48"/>
  <c r="K393" i="48"/>
  <c r="K394" i="48"/>
  <c r="K395" i="48"/>
  <c r="K396" i="48"/>
  <c r="K397" i="48"/>
  <c r="K398" i="48"/>
  <c r="K399" i="48"/>
  <c r="K400" i="48"/>
  <c r="K401" i="48"/>
  <c r="K402" i="48"/>
  <c r="K403" i="48"/>
  <c r="K404" i="48"/>
  <c r="K405" i="48"/>
  <c r="K406" i="48"/>
  <c r="K407" i="48"/>
  <c r="K408" i="48"/>
  <c r="K409" i="48"/>
  <c r="K410" i="48"/>
  <c r="K411" i="48"/>
  <c r="K412" i="48"/>
  <c r="K413" i="48"/>
  <c r="K414" i="48"/>
  <c r="K415" i="48"/>
  <c r="K416" i="48"/>
  <c r="K417" i="48"/>
  <c r="K418" i="48"/>
  <c r="K419" i="48"/>
  <c r="K420" i="48"/>
  <c r="K421" i="48"/>
  <c r="K422" i="48"/>
  <c r="K423" i="48"/>
  <c r="K424" i="48"/>
  <c r="K425" i="48"/>
  <c r="K426" i="48"/>
  <c r="K427" i="48"/>
  <c r="K428" i="48"/>
  <c r="K429" i="48"/>
  <c r="K430" i="48"/>
  <c r="K431" i="48"/>
  <c r="K432" i="48"/>
  <c r="K433" i="48"/>
  <c r="K434" i="48"/>
  <c r="K435" i="48"/>
  <c r="K436" i="48"/>
  <c r="K437" i="48"/>
  <c r="K438" i="48"/>
  <c r="K439" i="48"/>
  <c r="K440" i="48"/>
  <c r="K441" i="48"/>
  <c r="K442" i="48"/>
  <c r="K443" i="48"/>
  <c r="K444" i="48"/>
  <c r="K445" i="48"/>
  <c r="K446" i="48"/>
  <c r="K447" i="48"/>
  <c r="K448" i="48"/>
  <c r="K449" i="48"/>
  <c r="K450" i="48"/>
  <c r="K451" i="48"/>
  <c r="K452" i="48"/>
  <c r="K453" i="48"/>
  <c r="K454" i="48"/>
  <c r="K178" i="48" l="1"/>
  <c r="K174" i="48"/>
  <c r="K173" i="48"/>
  <c r="K167" i="48"/>
  <c r="K158" i="48"/>
  <c r="K143" i="48"/>
  <c r="K50" i="48"/>
  <c r="K42" i="48"/>
  <c r="K40" i="48"/>
  <c r="K39" i="48"/>
  <c r="K38" i="48"/>
  <c r="K35" i="48"/>
  <c r="K26" i="48"/>
  <c r="K24" i="48"/>
  <c r="K17" i="48"/>
  <c r="K9" i="48"/>
  <c r="K5" i="48"/>
  <c r="K193" i="48" l="1"/>
  <c r="K189" i="48"/>
  <c r="K221" i="48"/>
  <c r="K205" i="48"/>
  <c r="K201" i="48"/>
  <c r="K197" i="48"/>
  <c r="K58" i="48"/>
  <c r="K76" i="48"/>
  <c r="K154" i="48"/>
  <c r="K217" i="48"/>
  <c r="K14" i="48"/>
  <c r="K63" i="48"/>
  <c r="K98" i="48"/>
  <c r="K114" i="48"/>
  <c r="K136" i="48"/>
  <c r="K170" i="48"/>
  <c r="K190" i="48"/>
  <c r="K206" i="48"/>
  <c r="K213" i="48"/>
  <c r="K233" i="48"/>
  <c r="K8" i="48"/>
  <c r="K21" i="48"/>
  <c r="K28" i="48"/>
  <c r="K46" i="48"/>
  <c r="K56" i="48"/>
  <c r="K78" i="48"/>
  <c r="K83" i="48"/>
  <c r="K108" i="48"/>
  <c r="K128" i="48"/>
  <c r="K133" i="48"/>
  <c r="K146" i="48"/>
  <c r="K163" i="48"/>
  <c r="K168" i="48"/>
  <c r="K188" i="48"/>
  <c r="K196" i="48"/>
  <c r="K204" i="48"/>
  <c r="K211" i="48"/>
  <c r="K220" i="48"/>
  <c r="K224" i="48"/>
  <c r="K229" i="48"/>
  <c r="K12" i="48"/>
  <c r="K22" i="48"/>
  <c r="K29" i="48"/>
  <c r="K47" i="48"/>
  <c r="K51" i="48"/>
  <c r="K57" i="48"/>
  <c r="K62" i="48"/>
  <c r="K65" i="48"/>
  <c r="K70" i="48"/>
  <c r="K79" i="48"/>
  <c r="K84" i="48"/>
  <c r="K89" i="48"/>
  <c r="K94" i="48"/>
  <c r="I45" i="32" s="1"/>
  <c r="K97" i="48"/>
  <c r="I53" i="32" s="1"/>
  <c r="K104" i="48"/>
  <c r="K112" i="48"/>
  <c r="K118" i="48"/>
  <c r="K121" i="48"/>
  <c r="K129" i="48"/>
  <c r="K134" i="48"/>
  <c r="K142" i="48"/>
  <c r="K153" i="48"/>
  <c r="K164" i="48"/>
  <c r="K175" i="48"/>
  <c r="K208" i="48"/>
  <c r="K216" i="48"/>
  <c r="K230" i="48"/>
  <c r="K48" i="48"/>
  <c r="K71" i="48"/>
  <c r="K90" i="48"/>
  <c r="K124" i="48"/>
  <c r="K159" i="48"/>
  <c r="K232" i="48"/>
  <c r="K18" i="48"/>
  <c r="K43" i="48"/>
  <c r="K59" i="48"/>
  <c r="K81" i="48"/>
  <c r="K120" i="48"/>
  <c r="K155" i="48"/>
  <c r="K194" i="48"/>
  <c r="K222" i="48"/>
  <c r="K10" i="48"/>
  <c r="K19" i="48"/>
  <c r="K37" i="48"/>
  <c r="K60" i="48"/>
  <c r="K77" i="48"/>
  <c r="I34" i="32" s="1"/>
  <c r="K86" i="48"/>
  <c r="K100" i="48"/>
  <c r="K126" i="48"/>
  <c r="K156" i="48"/>
  <c r="K207" i="48"/>
  <c r="K13" i="48"/>
  <c r="I36" i="32" s="1"/>
  <c r="K66" i="48"/>
  <c r="K85" i="48"/>
  <c r="K113" i="48"/>
  <c r="K169" i="48"/>
  <c r="K209" i="48"/>
  <c r="K225" i="48"/>
  <c r="K31" i="48"/>
  <c r="K49" i="48"/>
  <c r="K72" i="48"/>
  <c r="K105" i="48"/>
  <c r="K130" i="48"/>
  <c r="K166" i="48"/>
  <c r="K176" i="48"/>
  <c r="K198" i="48"/>
  <c r="K226" i="48"/>
  <c r="K6" i="48"/>
  <c r="K15" i="48"/>
  <c r="K32" i="48"/>
  <c r="K44" i="48"/>
  <c r="K54" i="48"/>
  <c r="K68" i="48"/>
  <c r="K73" i="48"/>
  <c r="K82" i="48"/>
  <c r="K91" i="48"/>
  <c r="K106" i="48"/>
  <c r="K115" i="48"/>
  <c r="I54" i="32" s="1"/>
  <c r="K131" i="48"/>
  <c r="K139" i="48"/>
  <c r="K144" i="48"/>
  <c r="K161" i="48"/>
  <c r="K171" i="48"/>
  <c r="K180" i="48"/>
  <c r="K191" i="48"/>
  <c r="K195" i="48"/>
  <c r="K199" i="48"/>
  <c r="K203" i="48"/>
  <c r="K210" i="48"/>
  <c r="K218" i="48"/>
  <c r="K223" i="48"/>
  <c r="K227" i="48"/>
  <c r="K3" i="48"/>
  <c r="K7" i="48"/>
  <c r="K11" i="48"/>
  <c r="K20" i="48"/>
  <c r="K27" i="48"/>
  <c r="K33" i="48"/>
  <c r="K41" i="48"/>
  <c r="K45" i="48"/>
  <c r="K55" i="48"/>
  <c r="K61" i="48"/>
  <c r="K64" i="48"/>
  <c r="K74" i="48"/>
  <c r="K87" i="48"/>
  <c r="K92" i="48"/>
  <c r="K96" i="48"/>
  <c r="I55" i="32" s="1"/>
  <c r="K102" i="48"/>
  <c r="K107" i="48"/>
  <c r="K116" i="48"/>
  <c r="K127" i="48"/>
  <c r="K132" i="48"/>
  <c r="K140" i="48"/>
  <c r="K145" i="48"/>
  <c r="K157" i="48"/>
  <c r="K162" i="48"/>
  <c r="K177" i="48"/>
  <c r="K181" i="48"/>
  <c r="K214" i="48"/>
  <c r="K219" i="48"/>
  <c r="K234" i="48"/>
  <c r="K23" i="48"/>
  <c r="K30" i="48"/>
  <c r="K80" i="48"/>
  <c r="K119" i="48"/>
  <c r="K135" i="48"/>
  <c r="K165" i="48"/>
  <c r="K212" i="48"/>
  <c r="K36" i="48"/>
  <c r="K53" i="48"/>
  <c r="K95" i="48"/>
  <c r="K125" i="48"/>
  <c r="K160" i="48"/>
  <c r="K179" i="48"/>
  <c r="K202" i="48"/>
  <c r="K4" i="48"/>
  <c r="K16" i="48"/>
  <c r="K25" i="48"/>
  <c r="K34" i="48"/>
  <c r="K69" i="48"/>
  <c r="K75" i="48"/>
  <c r="K88" i="48"/>
  <c r="K103" i="48"/>
  <c r="K117" i="48"/>
  <c r="K141" i="48"/>
  <c r="K172" i="48"/>
  <c r="K192" i="48"/>
  <c r="K200" i="48"/>
  <c r="K215" i="48"/>
  <c r="K235" i="48"/>
  <c r="J1" i="32"/>
  <c r="A23" i="32" l="1"/>
  <c r="A20" i="32"/>
  <c r="A21" i="32"/>
  <c r="A22" i="32"/>
  <c r="I9" i="32"/>
  <c r="I14" i="32"/>
  <c r="I26" i="32"/>
  <c r="I12" i="32"/>
  <c r="A16" i="32"/>
  <c r="A15" i="32"/>
  <c r="I19" i="32"/>
  <c r="I33" i="32"/>
  <c r="I44" i="32"/>
  <c r="I7" i="32"/>
  <c r="I29" i="32"/>
  <c r="I51" i="32"/>
  <c r="I27" i="32"/>
  <c r="I39" i="32"/>
  <c r="I25" i="32"/>
  <c r="I41" i="32"/>
  <c r="I17" i="32"/>
  <c r="I18" i="32"/>
  <c r="I28" i="32"/>
  <c r="I13" i="32"/>
  <c r="I24" i="32"/>
  <c r="I11" i="32"/>
  <c r="I23" i="32"/>
  <c r="I3" i="32"/>
  <c r="I52" i="32"/>
  <c r="I8" i="32"/>
  <c r="I5" i="32"/>
  <c r="I47" i="32"/>
  <c r="I35" i="32"/>
  <c r="I32" i="32"/>
  <c r="I38" i="32"/>
  <c r="I16" i="32"/>
  <c r="I22" i="32"/>
  <c r="I42" i="32"/>
  <c r="I37" i="32"/>
  <c r="I49" i="32"/>
  <c r="I15" i="32"/>
  <c r="I21" i="32"/>
  <c r="I31" i="32"/>
  <c r="I50" i="32"/>
  <c r="I4" i="32"/>
  <c r="I48" i="32"/>
  <c r="I6" i="32"/>
  <c r="I20" i="32"/>
  <c r="I10" i="32"/>
  <c r="I30" i="32"/>
  <c r="K93" i="48"/>
  <c r="I46" i="32" s="1"/>
  <c r="AA179" i="49"/>
  <c r="AA178" i="49"/>
  <c r="AA177" i="49"/>
  <c r="AA176" i="49"/>
  <c r="AA175" i="49"/>
  <c r="AA174" i="49"/>
  <c r="AA173" i="49"/>
  <c r="AA172" i="49"/>
  <c r="AA171" i="49"/>
  <c r="AA170" i="49"/>
  <c r="AA169" i="49"/>
  <c r="AA168" i="49"/>
  <c r="AA167" i="49"/>
  <c r="J166" i="49"/>
  <c r="AA166" i="49" s="1"/>
  <c r="AA165" i="49"/>
  <c r="AA164" i="49"/>
  <c r="AA163" i="49"/>
  <c r="AA162" i="49"/>
  <c r="AA161" i="49"/>
  <c r="AA160" i="49"/>
  <c r="AA25" i="49"/>
  <c r="AA24" i="49"/>
  <c r="AA23" i="49"/>
  <c r="AA22" i="49"/>
  <c r="AA21" i="49"/>
  <c r="AA20" i="49"/>
  <c r="AA19" i="49"/>
  <c r="AA18" i="49"/>
  <c r="AA17" i="49"/>
  <c r="AA16" i="49"/>
  <c r="AA15" i="49"/>
  <c r="AA14" i="49"/>
  <c r="AA13" i="49"/>
  <c r="J12" i="49"/>
  <c r="AA12" i="49" s="1"/>
  <c r="AA11" i="49"/>
  <c r="AA10" i="49"/>
  <c r="AA9" i="49"/>
  <c r="AA8" i="49"/>
  <c r="AA7" i="49"/>
  <c r="AA6" i="49"/>
  <c r="AA1" i="49"/>
  <c r="C1" i="49"/>
  <c r="D1" i="49" s="1"/>
  <c r="E1" i="49" s="1"/>
  <c r="F1" i="49" s="1"/>
  <c r="I1" i="49" s="1"/>
  <c r="J1" i="49" s="1"/>
  <c r="M1" i="49" s="1"/>
  <c r="N1" i="49" s="1"/>
  <c r="Q1" i="49" s="1"/>
  <c r="R1" i="49" s="1"/>
  <c r="U1" i="49" s="1"/>
  <c r="V1" i="49" s="1"/>
  <c r="Y1" i="49" s="1"/>
  <c r="Z1" i="49" s="1"/>
  <c r="I40" i="32" l="1"/>
  <c r="I43" i="32"/>
  <c r="A37" i="32"/>
  <c r="A36" i="32"/>
  <c r="A35" i="32"/>
  <c r="A34" i="32"/>
  <c r="A33" i="32" l="1"/>
  <c r="A32" i="32"/>
  <c r="A24" i="32" l="1"/>
  <c r="A25" i="32"/>
  <c r="A26" i="32"/>
  <c r="A59" i="32" l="1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58" i="32"/>
  <c r="A151" i="32" l="1"/>
  <c r="A145" i="32"/>
  <c r="A150" i="32"/>
  <c r="A144" i="32"/>
  <c r="A138" i="32"/>
  <c r="A149" i="32"/>
  <c r="A143" i="32"/>
  <c r="A139" i="32"/>
  <c r="A148" i="32"/>
  <c r="A142" i="32"/>
  <c r="A147" i="32"/>
  <c r="A141" i="32"/>
  <c r="A146" i="32"/>
  <c r="A140" i="32"/>
  <c r="A52" i="32"/>
  <c r="A53" i="32"/>
  <c r="A54" i="32"/>
  <c r="A55" i="32"/>
  <c r="A56" i="32"/>
  <c r="A57" i="32"/>
  <c r="A132" i="32" l="1"/>
  <c r="A136" i="32"/>
  <c r="A137" i="32"/>
  <c r="A135" i="32"/>
  <c r="A134" i="32"/>
  <c r="A133" i="32"/>
  <c r="G42" i="32"/>
  <c r="G41" i="32"/>
  <c r="G40" i="32"/>
  <c r="G39" i="32"/>
  <c r="G38" i="32"/>
  <c r="G37" i="32"/>
  <c r="H37" i="32" s="1"/>
  <c r="G36" i="32"/>
  <c r="H36" i="32" s="1"/>
  <c r="G35" i="32"/>
  <c r="H35" i="32" s="1"/>
  <c r="G34" i="32"/>
  <c r="H34" i="32" s="1"/>
  <c r="G33" i="32"/>
  <c r="H33" i="32" s="1"/>
  <c r="G32" i="32"/>
  <c r="H32" i="32" s="1"/>
  <c r="A19" i="32"/>
  <c r="A18" i="32"/>
  <c r="A17" i="32"/>
  <c r="A14" i="32"/>
  <c r="A13" i="32"/>
  <c r="A12" i="32"/>
  <c r="A11" i="32"/>
  <c r="A10" i="32"/>
  <c r="A9" i="32"/>
  <c r="A8" i="32"/>
  <c r="A7" i="32"/>
  <c r="A6" i="32"/>
  <c r="A5" i="32"/>
  <c r="A4" i="32"/>
  <c r="A84" i="32" s="1"/>
  <c r="A3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117" i="32"/>
  <c r="A116" i="32"/>
  <c r="A115" i="32"/>
  <c r="A114" i="32"/>
  <c r="A113" i="32"/>
  <c r="A112" i="32"/>
  <c r="A31" i="32"/>
  <c r="A30" i="32"/>
  <c r="A29" i="32"/>
  <c r="A28" i="32"/>
  <c r="A27" i="32"/>
  <c r="A106" i="32"/>
  <c r="A105" i="32"/>
  <c r="A104" i="32"/>
  <c r="A103" i="32"/>
  <c r="A102" i="32"/>
  <c r="A101" i="32"/>
  <c r="A100" i="32"/>
  <c r="J166" i="57"/>
  <c r="J144" i="57"/>
  <c r="J131" i="57"/>
  <c r="J122" i="57"/>
  <c r="J109" i="57"/>
  <c r="J100" i="57"/>
  <c r="J87" i="57"/>
  <c r="J78" i="57"/>
  <c r="J65" i="57"/>
  <c r="J56" i="57"/>
  <c r="J34" i="57"/>
  <c r="J12" i="57"/>
  <c r="C1" i="57"/>
  <c r="D1" i="57" s="1"/>
  <c r="E1" i="57" s="1"/>
  <c r="F1" i="57" s="1"/>
  <c r="I1" i="57" s="1"/>
  <c r="J1" i="57" s="1"/>
  <c r="M1" i="57" s="1"/>
  <c r="N1" i="57" s="1"/>
  <c r="Q1" i="57" s="1"/>
  <c r="R1" i="57" s="1"/>
  <c r="U1" i="57" s="1"/>
  <c r="V1" i="57" s="1"/>
  <c r="Y1" i="57" s="1"/>
  <c r="Z1" i="57" s="1"/>
  <c r="A83" i="32" l="1"/>
  <c r="AA34" i="32"/>
  <c r="W34" i="32"/>
  <c r="S34" i="32"/>
  <c r="O34" i="32"/>
  <c r="K34" i="32"/>
  <c r="O32" i="32"/>
  <c r="AA32" i="32"/>
  <c r="W32" i="32"/>
  <c r="S32" i="32"/>
  <c r="K32" i="32"/>
  <c r="AA33" i="32"/>
  <c r="W33" i="32"/>
  <c r="S33" i="32"/>
  <c r="O33" i="32"/>
  <c r="K33" i="32"/>
  <c r="K35" i="32"/>
  <c r="W35" i="32"/>
  <c r="S35" i="32"/>
  <c r="AA35" i="32"/>
  <c r="O35" i="32"/>
  <c r="AA37" i="32"/>
  <c r="W37" i="32"/>
  <c r="S37" i="32"/>
  <c r="O37" i="32"/>
  <c r="K37" i="32"/>
  <c r="W36" i="32"/>
  <c r="S36" i="32"/>
  <c r="O36" i="32"/>
  <c r="AA36" i="32"/>
  <c r="K36" i="32"/>
  <c r="A107" i="32"/>
  <c r="A125" i="32"/>
  <c r="A87" i="32"/>
  <c r="A93" i="32"/>
  <c r="A108" i="32"/>
  <c r="A126" i="32"/>
  <c r="A88" i="32"/>
  <c r="A111" i="32"/>
  <c r="A123" i="32"/>
  <c r="A85" i="32"/>
  <c r="A91" i="32"/>
  <c r="A98" i="32"/>
  <c r="A118" i="32"/>
  <c r="H38" i="32"/>
  <c r="A124" i="32"/>
  <c r="A130" i="32"/>
  <c r="A86" i="32"/>
  <c r="A92" i="32"/>
  <c r="A99" i="32"/>
  <c r="A119" i="32"/>
  <c r="H39" i="32"/>
  <c r="A131" i="32"/>
  <c r="A120" i="32"/>
  <c r="H40" i="32"/>
  <c r="A96" i="32"/>
  <c r="A94" i="32"/>
  <c r="A109" i="32"/>
  <c r="A121" i="32"/>
  <c r="H41" i="32"/>
  <c r="A127" i="32"/>
  <c r="A89" i="32"/>
  <c r="A95" i="32"/>
  <c r="A110" i="32"/>
  <c r="A122" i="32"/>
  <c r="H42" i="32"/>
  <c r="A128" i="32"/>
  <c r="A90" i="32"/>
  <c r="A97" i="32"/>
  <c r="A129" i="32"/>
  <c r="AA40" i="32" l="1"/>
  <c r="W40" i="32"/>
  <c r="S40" i="32"/>
  <c r="O40" i="32"/>
  <c r="K40" i="32"/>
  <c r="AI42" i="32"/>
  <c r="AA42" i="32"/>
  <c r="W42" i="32"/>
  <c r="S42" i="32"/>
  <c r="O42" i="32"/>
  <c r="K42" i="32"/>
  <c r="AA39" i="32"/>
  <c r="W39" i="32"/>
  <c r="S39" i="32"/>
  <c r="O39" i="32"/>
  <c r="K39" i="32"/>
  <c r="K41" i="32"/>
  <c r="S41" i="32"/>
  <c r="O41" i="32"/>
  <c r="AA41" i="32"/>
  <c r="W41" i="32"/>
  <c r="S38" i="32"/>
  <c r="AA38" i="32"/>
  <c r="W38" i="32"/>
  <c r="O38" i="32"/>
  <c r="K38" i="32"/>
  <c r="J35" i="32"/>
  <c r="J26" i="32"/>
  <c r="G55" i="32"/>
  <c r="H55" i="32" s="1"/>
  <c r="G54" i="32"/>
  <c r="H54" i="32" s="1"/>
  <c r="G53" i="32"/>
  <c r="H53" i="32" s="1"/>
  <c r="G52" i="32"/>
  <c r="H52" i="32" s="1"/>
  <c r="G51" i="32"/>
  <c r="H51" i="32" s="1"/>
  <c r="G50" i="32"/>
  <c r="H50" i="32" s="1"/>
  <c r="G49" i="32"/>
  <c r="H49" i="32" s="1"/>
  <c r="G48" i="32"/>
  <c r="H48" i="32" s="1"/>
  <c r="G47" i="32"/>
  <c r="H47" i="32" s="1"/>
  <c r="G46" i="32"/>
  <c r="H46" i="32" s="1"/>
  <c r="G45" i="32"/>
  <c r="H45" i="32" s="1"/>
  <c r="G44" i="32"/>
  <c r="H44" i="32" s="1"/>
  <c r="G43" i="32"/>
  <c r="H43" i="32" s="1"/>
  <c r="G31" i="32"/>
  <c r="H31" i="32" s="1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AI6" i="32" s="1"/>
  <c r="H5" i="32"/>
  <c r="G3" i="32"/>
  <c r="H3" i="32" s="1"/>
  <c r="G64" i="32"/>
  <c r="H64" i="32" s="1"/>
  <c r="J64" i="32"/>
  <c r="F137" i="32"/>
  <c r="E137" i="32"/>
  <c r="G58" i="32"/>
  <c r="H58" i="32" s="1"/>
  <c r="G59" i="32"/>
  <c r="H59" i="32" s="1"/>
  <c r="G60" i="32"/>
  <c r="H60" i="32" s="1"/>
  <c r="G61" i="32"/>
  <c r="H61" i="32" s="1"/>
  <c r="G62" i="32"/>
  <c r="H62" i="32" s="1"/>
  <c r="G63" i="32"/>
  <c r="H63" i="32" s="1"/>
  <c r="G65" i="32"/>
  <c r="H65" i="32" s="1"/>
  <c r="G57" i="32"/>
  <c r="J43" i="32"/>
  <c r="J42" i="32"/>
  <c r="J41" i="32"/>
  <c r="J40" i="32"/>
  <c r="J39" i="32"/>
  <c r="J38" i="32"/>
  <c r="J36" i="32"/>
  <c r="J34" i="32"/>
  <c r="J33" i="32"/>
  <c r="J32" i="32"/>
  <c r="J31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J5" i="32"/>
  <c r="J48" i="32"/>
  <c r="J47" i="32"/>
  <c r="J46" i="32"/>
  <c r="J45" i="32"/>
  <c r="J44" i="32"/>
  <c r="J4" i="32"/>
  <c r="J3" i="32"/>
  <c r="J53" i="32"/>
  <c r="J52" i="32"/>
  <c r="J51" i="32"/>
  <c r="J50" i="32"/>
  <c r="J49" i="32"/>
  <c r="J54" i="32"/>
  <c r="J55" i="32"/>
  <c r="G56" i="32"/>
  <c r="H56" i="32" s="1"/>
  <c r="J56" i="32"/>
  <c r="J57" i="32"/>
  <c r="J58" i="32"/>
  <c r="J59" i="32"/>
  <c r="J60" i="32"/>
  <c r="J61" i="32"/>
  <c r="J62" i="32"/>
  <c r="J63" i="32"/>
  <c r="J65" i="32"/>
  <c r="G66" i="32"/>
  <c r="H66" i="32" s="1"/>
  <c r="J66" i="32"/>
  <c r="G67" i="32"/>
  <c r="H67" i="32" s="1"/>
  <c r="J67" i="32"/>
  <c r="G68" i="32"/>
  <c r="H68" i="32" s="1"/>
  <c r="J68" i="32"/>
  <c r="G69" i="32"/>
  <c r="H69" i="32" s="1"/>
  <c r="J69" i="32"/>
  <c r="G70" i="32"/>
  <c r="H70" i="32" s="1"/>
  <c r="J70" i="32"/>
  <c r="G71" i="32"/>
  <c r="H71" i="32" s="1"/>
  <c r="J71" i="32"/>
  <c r="G72" i="32"/>
  <c r="H72" i="32" s="1"/>
  <c r="J72" i="32"/>
  <c r="G73" i="32"/>
  <c r="H73" i="32" s="1"/>
  <c r="J73" i="32"/>
  <c r="G74" i="32"/>
  <c r="H74" i="32" s="1"/>
  <c r="J74" i="32"/>
  <c r="G75" i="32"/>
  <c r="H75" i="32" s="1"/>
  <c r="J75" i="32"/>
  <c r="G76" i="32"/>
  <c r="H76" i="32" s="1"/>
  <c r="J76" i="32"/>
  <c r="G77" i="32"/>
  <c r="H77" i="32" s="1"/>
  <c r="J77" i="32"/>
  <c r="G78" i="32"/>
  <c r="H78" i="32" s="1"/>
  <c r="J78" i="32"/>
  <c r="G79" i="32"/>
  <c r="H79" i="32" s="1"/>
  <c r="J79" i="32"/>
  <c r="AA13" i="32" l="1"/>
  <c r="W13" i="32"/>
  <c r="S13" i="32"/>
  <c r="O13" i="32"/>
  <c r="K13" i="32"/>
  <c r="AA25" i="32"/>
  <c r="W25" i="32"/>
  <c r="S25" i="32"/>
  <c r="O25" i="32"/>
  <c r="K25" i="32"/>
  <c r="K52" i="32"/>
  <c r="AA52" i="32"/>
  <c r="W52" i="32"/>
  <c r="S52" i="32"/>
  <c r="O52" i="32"/>
  <c r="AA74" i="32"/>
  <c r="W74" i="32"/>
  <c r="S74" i="32"/>
  <c r="K74" i="32"/>
  <c r="O74" i="32"/>
  <c r="O68" i="32"/>
  <c r="AA68" i="32"/>
  <c r="W68" i="32"/>
  <c r="S68" i="32"/>
  <c r="K68" i="32"/>
  <c r="K64" i="32"/>
  <c r="AA64" i="32"/>
  <c r="W64" i="32"/>
  <c r="S64" i="32"/>
  <c r="O64" i="32"/>
  <c r="AA14" i="32"/>
  <c r="W14" i="32"/>
  <c r="O14" i="32"/>
  <c r="S14" i="32"/>
  <c r="K14" i="32"/>
  <c r="AA26" i="32"/>
  <c r="W26" i="32"/>
  <c r="S26" i="32"/>
  <c r="K26" i="32"/>
  <c r="O26" i="32"/>
  <c r="K59" i="32"/>
  <c r="AA59" i="32"/>
  <c r="S59" i="32"/>
  <c r="O59" i="32"/>
  <c r="W59" i="32"/>
  <c r="AA9" i="32"/>
  <c r="W9" i="32"/>
  <c r="S9" i="32"/>
  <c r="O9" i="32"/>
  <c r="K9" i="32"/>
  <c r="L15" i="32"/>
  <c r="A75" i="21" s="1"/>
  <c r="C75" i="21" s="1"/>
  <c r="AA15" i="32"/>
  <c r="W15" i="32"/>
  <c r="S15" i="32"/>
  <c r="O15" i="32"/>
  <c r="K15" i="32"/>
  <c r="AA21" i="32"/>
  <c r="W21" i="32"/>
  <c r="S21" i="32"/>
  <c r="O21" i="32"/>
  <c r="K21" i="32"/>
  <c r="AA31" i="32"/>
  <c r="W31" i="32"/>
  <c r="S31" i="32"/>
  <c r="O31" i="32"/>
  <c r="K31" i="32"/>
  <c r="S48" i="32"/>
  <c r="O48" i="32"/>
  <c r="AA48" i="32"/>
  <c r="W48" i="32"/>
  <c r="K48" i="32"/>
  <c r="O54" i="32"/>
  <c r="AA54" i="32"/>
  <c r="W54" i="32"/>
  <c r="S54" i="32"/>
  <c r="K54" i="32"/>
  <c r="AA79" i="32"/>
  <c r="W79" i="32"/>
  <c r="S79" i="32"/>
  <c r="O79" i="32"/>
  <c r="K79" i="32"/>
  <c r="AA73" i="32"/>
  <c r="W73" i="32"/>
  <c r="S73" i="32"/>
  <c r="O73" i="32"/>
  <c r="K73" i="32"/>
  <c r="AA67" i="32"/>
  <c r="W67" i="32"/>
  <c r="S67" i="32"/>
  <c r="O67" i="32"/>
  <c r="K67" i="32"/>
  <c r="K65" i="32"/>
  <c r="AA65" i="32"/>
  <c r="W65" i="32"/>
  <c r="O65" i="32"/>
  <c r="S65" i="32"/>
  <c r="AA58" i="32"/>
  <c r="W58" i="32"/>
  <c r="S58" i="32"/>
  <c r="O58" i="32"/>
  <c r="K58" i="32"/>
  <c r="AA10" i="32"/>
  <c r="W10" i="32"/>
  <c r="S10" i="32"/>
  <c r="O10" i="32"/>
  <c r="K10" i="32"/>
  <c r="L16" i="32"/>
  <c r="A81" i="21" s="1"/>
  <c r="C81" i="21" s="1"/>
  <c r="AA16" i="32"/>
  <c r="W16" i="32"/>
  <c r="S16" i="32"/>
  <c r="O16" i="32"/>
  <c r="K16" i="32"/>
  <c r="AA22" i="32"/>
  <c r="W22" i="32"/>
  <c r="S22" i="32"/>
  <c r="O22" i="32"/>
  <c r="K22" i="32"/>
  <c r="AA43" i="32"/>
  <c r="W43" i="32"/>
  <c r="S43" i="32"/>
  <c r="O43" i="32"/>
  <c r="K43" i="32"/>
  <c r="AA49" i="32"/>
  <c r="W49" i="32"/>
  <c r="S49" i="32"/>
  <c r="O49" i="32"/>
  <c r="K49" i="32"/>
  <c r="AA55" i="32"/>
  <c r="W55" i="32"/>
  <c r="S55" i="32"/>
  <c r="O55" i="32"/>
  <c r="K55" i="32"/>
  <c r="AA63" i="32"/>
  <c r="W63" i="32"/>
  <c r="S63" i="32"/>
  <c r="O63" i="32"/>
  <c r="K63" i="32"/>
  <c r="K5" i="32"/>
  <c r="O5" i="32"/>
  <c r="S5" i="32"/>
  <c r="AA5" i="32"/>
  <c r="W5" i="32"/>
  <c r="K11" i="32"/>
  <c r="O11" i="32"/>
  <c r="AA11" i="32"/>
  <c r="W11" i="32"/>
  <c r="S11" i="32"/>
  <c r="L17" i="32"/>
  <c r="A87" i="21" s="1"/>
  <c r="C87" i="21" s="1"/>
  <c r="K17" i="32"/>
  <c r="W17" i="32"/>
  <c r="S17" i="32"/>
  <c r="O17" i="32"/>
  <c r="AA17" i="32"/>
  <c r="K23" i="32"/>
  <c r="AA23" i="32"/>
  <c r="S23" i="32"/>
  <c r="O23" i="32"/>
  <c r="W23" i="32"/>
  <c r="AA44" i="32"/>
  <c r="W44" i="32"/>
  <c r="S44" i="32"/>
  <c r="K44" i="32"/>
  <c r="O44" i="32"/>
  <c r="O50" i="32"/>
  <c r="AA50" i="32"/>
  <c r="W50" i="32"/>
  <c r="K50" i="32"/>
  <c r="S50" i="32"/>
  <c r="AA7" i="32"/>
  <c r="W7" i="32"/>
  <c r="S7" i="32"/>
  <c r="O7" i="32"/>
  <c r="K7" i="32"/>
  <c r="AA76" i="32"/>
  <c r="W76" i="32"/>
  <c r="S76" i="32"/>
  <c r="O76" i="32"/>
  <c r="K76" i="32"/>
  <c r="K70" i="32"/>
  <c r="AA70" i="32"/>
  <c r="W70" i="32"/>
  <c r="S70" i="32"/>
  <c r="O70" i="32"/>
  <c r="S56" i="32"/>
  <c r="AA56" i="32"/>
  <c r="W56" i="32"/>
  <c r="K56" i="32"/>
  <c r="O56" i="32"/>
  <c r="O78" i="32"/>
  <c r="AA78" i="32"/>
  <c r="W78" i="32"/>
  <c r="S78" i="32"/>
  <c r="K78" i="32"/>
  <c r="AA75" i="32"/>
  <c r="W75" i="32"/>
  <c r="S75" i="32"/>
  <c r="O75" i="32"/>
  <c r="K75" i="32"/>
  <c r="S72" i="32"/>
  <c r="AA72" i="32"/>
  <c r="W72" i="32"/>
  <c r="O72" i="32"/>
  <c r="K72" i="32"/>
  <c r="AA69" i="32"/>
  <c r="W69" i="32"/>
  <c r="S69" i="32"/>
  <c r="O69" i="32"/>
  <c r="K69" i="32"/>
  <c r="O66" i="32"/>
  <c r="AA66" i="32"/>
  <c r="W66" i="32"/>
  <c r="S66" i="32"/>
  <c r="K66" i="32"/>
  <c r="AA62" i="32"/>
  <c r="W62" i="32"/>
  <c r="S62" i="32"/>
  <c r="O62" i="32"/>
  <c r="K62" i="32"/>
  <c r="K6" i="32"/>
  <c r="S6" i="32"/>
  <c r="AA6" i="32"/>
  <c r="W6" i="32"/>
  <c r="O6" i="32"/>
  <c r="O12" i="32"/>
  <c r="AA12" i="32"/>
  <c r="W12" i="32"/>
  <c r="S12" i="32"/>
  <c r="K12" i="32"/>
  <c r="S18" i="32"/>
  <c r="AA18" i="32"/>
  <c r="W18" i="32"/>
  <c r="O18" i="32"/>
  <c r="K18" i="32"/>
  <c r="O24" i="32"/>
  <c r="AA24" i="32"/>
  <c r="W24" i="32"/>
  <c r="S24" i="32"/>
  <c r="K24" i="32"/>
  <c r="AA45" i="32"/>
  <c r="W45" i="32"/>
  <c r="S45" i="32"/>
  <c r="O45" i="32"/>
  <c r="K45" i="32"/>
  <c r="AA51" i="32"/>
  <c r="W51" i="32"/>
  <c r="S51" i="32"/>
  <c r="O51" i="32"/>
  <c r="K51" i="32"/>
  <c r="AA61" i="32"/>
  <c r="W61" i="32"/>
  <c r="S61" i="32"/>
  <c r="O61" i="32"/>
  <c r="K61" i="32"/>
  <c r="AA19" i="32"/>
  <c r="W19" i="32"/>
  <c r="S19" i="32"/>
  <c r="O19" i="32"/>
  <c r="K19" i="32"/>
  <c r="N19" i="32" s="1"/>
  <c r="AA46" i="32"/>
  <c r="W46" i="32"/>
  <c r="S46" i="32"/>
  <c r="O46" i="32"/>
  <c r="K46" i="32"/>
  <c r="K77" i="32"/>
  <c r="S77" i="32"/>
  <c r="O77" i="32"/>
  <c r="AA77" i="32"/>
  <c r="W77" i="32"/>
  <c r="K71" i="32"/>
  <c r="W71" i="32"/>
  <c r="S71" i="32"/>
  <c r="AA71" i="32"/>
  <c r="O71" i="32"/>
  <c r="S60" i="32"/>
  <c r="AA60" i="32"/>
  <c r="W60" i="32"/>
  <c r="O60" i="32"/>
  <c r="K60" i="32"/>
  <c r="W8" i="32"/>
  <c r="S8" i="32"/>
  <c r="AA8" i="32"/>
  <c r="O8" i="32"/>
  <c r="R8" i="32" s="1"/>
  <c r="K8" i="32"/>
  <c r="S20" i="32"/>
  <c r="O20" i="32"/>
  <c r="AA20" i="32"/>
  <c r="W20" i="32"/>
  <c r="K20" i="32"/>
  <c r="K47" i="32"/>
  <c r="O47" i="32"/>
  <c r="AA47" i="32"/>
  <c r="W47" i="32"/>
  <c r="S47" i="32"/>
  <c r="K53" i="32"/>
  <c r="W53" i="32"/>
  <c r="S53" i="32"/>
  <c r="O53" i="32"/>
  <c r="AA53" i="32"/>
  <c r="L7" i="32"/>
  <c r="A27" i="21" s="1"/>
  <c r="C27" i="21" s="1"/>
  <c r="P7" i="32"/>
  <c r="A28" i="21" s="1"/>
  <c r="C28" i="21" s="1"/>
  <c r="G137" i="32"/>
  <c r="H57" i="32"/>
  <c r="J37" i="32"/>
  <c r="N37" i="32"/>
  <c r="AC32" i="32"/>
  <c r="D181" i="21" s="1"/>
  <c r="AI161" i="32"/>
  <c r="AA57" i="32" l="1"/>
  <c r="W57" i="32"/>
  <c r="S57" i="32"/>
  <c r="O57" i="32"/>
  <c r="K57" i="32"/>
  <c r="AF14" i="32"/>
  <c r="A74" i="21" s="1"/>
  <c r="C74" i="21" s="1"/>
  <c r="AI10" i="32"/>
  <c r="AI8" i="32"/>
  <c r="H4" i="32"/>
  <c r="L52" i="32"/>
  <c r="AI76" i="32"/>
  <c r="AI79" i="32"/>
  <c r="AE77" i="32"/>
  <c r="AA3" i="32" l="1"/>
  <c r="W3" i="32"/>
  <c r="S3" i="32"/>
  <c r="V3" i="32" s="1"/>
  <c r="U3" i="32" s="1"/>
  <c r="D5" i="21" s="1"/>
  <c r="K3" i="32"/>
  <c r="N3" i="32" s="1"/>
  <c r="M3" i="32" s="1"/>
  <c r="D3" i="21" s="1"/>
  <c r="O3" i="32"/>
  <c r="R3" i="32" s="1"/>
  <c r="Q3" i="32" s="1"/>
  <c r="D4" i="21" s="1"/>
  <c r="K4" i="32"/>
  <c r="N4" i="32" s="1"/>
  <c r="M4" i="32" s="1"/>
  <c r="D9" i="21" s="1"/>
  <c r="AA4" i="32"/>
  <c r="W4" i="32"/>
  <c r="S4" i="32"/>
  <c r="O4" i="32"/>
  <c r="R4" i="32" s="1"/>
  <c r="Q4" i="32" s="1"/>
  <c r="D10" i="21" s="1"/>
  <c r="AI47" i="32"/>
  <c r="AI127" i="32" s="1"/>
  <c r="R47" i="32"/>
  <c r="Q47" i="32" s="1"/>
  <c r="R23" i="32"/>
  <c r="Q23" i="32" s="1"/>
  <c r="D124" i="21" s="1"/>
  <c r="L64" i="32"/>
  <c r="R64" i="32"/>
  <c r="Q64" i="32" s="1"/>
  <c r="N64" i="32"/>
  <c r="M64" i="32" s="1"/>
  <c r="AH42" i="32"/>
  <c r="AG42" i="32" s="1"/>
  <c r="AD42" i="32"/>
  <c r="AB42" i="32"/>
  <c r="N42" i="32"/>
  <c r="M42" i="32" s="1"/>
  <c r="X42" i="32"/>
  <c r="AI122" i="32"/>
  <c r="L42" i="32"/>
  <c r="P42" i="32"/>
  <c r="R42" i="32"/>
  <c r="Q42" i="32" s="1"/>
  <c r="AF42" i="32"/>
  <c r="AC42" i="32"/>
  <c r="AE42" i="32"/>
  <c r="T42" i="32"/>
  <c r="V42" i="32"/>
  <c r="U42" i="32" s="1"/>
  <c r="Z42" i="32"/>
  <c r="Y42" i="32" s="1"/>
  <c r="L22" i="32"/>
  <c r="A117" i="21" s="1"/>
  <c r="C117" i="21" s="1"/>
  <c r="AF22" i="32"/>
  <c r="A122" i="21" s="1"/>
  <c r="C122" i="21" s="1"/>
  <c r="Z22" i="32"/>
  <c r="Y22" i="32" s="1"/>
  <c r="D120" i="21" s="1"/>
  <c r="X22" i="32"/>
  <c r="A120" i="21" s="1"/>
  <c r="C120" i="21" s="1"/>
  <c r="AH22" i="32"/>
  <c r="AG22" i="32" s="1"/>
  <c r="D122" i="21" s="1"/>
  <c r="V22" i="32"/>
  <c r="U22" i="32" s="1"/>
  <c r="D119" i="21" s="1"/>
  <c r="AD22" i="32"/>
  <c r="R22" i="32"/>
  <c r="Q22" i="32" s="1"/>
  <c r="D118" i="21" s="1"/>
  <c r="AE22" i="32"/>
  <c r="T22" i="32"/>
  <c r="A119" i="21" s="1"/>
  <c r="C119" i="21" s="1"/>
  <c r="P22" i="32"/>
  <c r="A118" i="21" s="1"/>
  <c r="C118" i="21" s="1"/>
  <c r="AB22" i="32"/>
  <c r="A121" i="21" s="1"/>
  <c r="C121" i="21" s="1"/>
  <c r="AC22" i="32"/>
  <c r="D121" i="21" s="1"/>
  <c r="N22" i="32"/>
  <c r="M22" i="32" s="1"/>
  <c r="D117" i="21" s="1"/>
  <c r="AI22" i="32"/>
  <c r="AI102" i="32" s="1"/>
  <c r="AE11" i="32"/>
  <c r="R11" i="32"/>
  <c r="Q11" i="32" s="1"/>
  <c r="D52" i="21" s="1"/>
  <c r="X11" i="32"/>
  <c r="A54" i="21" s="1"/>
  <c r="C54" i="21" s="1"/>
  <c r="T11" i="32"/>
  <c r="A53" i="21" s="1"/>
  <c r="C53" i="21" s="1"/>
  <c r="AD11" i="32"/>
  <c r="N11" i="32"/>
  <c r="M11" i="32" s="1"/>
  <c r="D51" i="21" s="1"/>
  <c r="P11" i="32"/>
  <c r="A52" i="21" s="1"/>
  <c r="C52" i="21" s="1"/>
  <c r="AF11" i="32"/>
  <c r="A56" i="21" s="1"/>
  <c r="C56" i="21" s="1"/>
  <c r="Z11" i="32"/>
  <c r="Y11" i="32" s="1"/>
  <c r="D54" i="21" s="1"/>
  <c r="AB11" i="32"/>
  <c r="A55" i="21" s="1"/>
  <c r="C55" i="21" s="1"/>
  <c r="AC11" i="32"/>
  <c r="D55" i="21" s="1"/>
  <c r="V11" i="32"/>
  <c r="U11" i="32" s="1"/>
  <c r="D53" i="21" s="1"/>
  <c r="L11" i="32"/>
  <c r="A51" i="21" s="1"/>
  <c r="C51" i="21" s="1"/>
  <c r="AH11" i="32"/>
  <c r="AG11" i="32" s="1"/>
  <c r="D56" i="21" s="1"/>
  <c r="AI11" i="32"/>
  <c r="AI91" i="32" s="1"/>
  <c r="X19" i="32"/>
  <c r="A102" i="21" s="1"/>
  <c r="C102" i="21" s="1"/>
  <c r="AF19" i="32"/>
  <c r="A104" i="21" s="1"/>
  <c r="C104" i="21" s="1"/>
  <c r="AD19" i="32"/>
  <c r="M19" i="32"/>
  <c r="D99" i="21" s="1"/>
  <c r="L19" i="32"/>
  <c r="A99" i="21" s="1"/>
  <c r="C99" i="21" s="1"/>
  <c r="AC19" i="32"/>
  <c r="D103" i="21" s="1"/>
  <c r="Z19" i="32"/>
  <c r="Y19" i="32" s="1"/>
  <c r="D102" i="21" s="1"/>
  <c r="T19" i="32"/>
  <c r="A101" i="21" s="1"/>
  <c r="C101" i="21" s="1"/>
  <c r="P19" i="32"/>
  <c r="A100" i="21" s="1"/>
  <c r="C100" i="21" s="1"/>
  <c r="AI19" i="32"/>
  <c r="AI99" i="32" s="1"/>
  <c r="AH19" i="32"/>
  <c r="AG19" i="32" s="1"/>
  <c r="D104" i="21" s="1"/>
  <c r="AE19" i="32"/>
  <c r="AB19" i="32"/>
  <c r="A103" i="21" s="1"/>
  <c r="C103" i="21" s="1"/>
  <c r="R19" i="32"/>
  <c r="Q19" i="32" s="1"/>
  <c r="D100" i="21" s="1"/>
  <c r="V19" i="32"/>
  <c r="U19" i="32" s="1"/>
  <c r="D101" i="21" s="1"/>
  <c r="R31" i="32"/>
  <c r="Q31" i="32" s="1"/>
  <c r="D172" i="21" s="1"/>
  <c r="AF31" i="32"/>
  <c r="A176" i="21" s="1"/>
  <c r="AB31" i="32"/>
  <c r="A175" i="21" s="1"/>
  <c r="N31" i="32"/>
  <c r="M31" i="32" s="1"/>
  <c r="D171" i="21" s="1"/>
  <c r="T31" i="32"/>
  <c r="A173" i="21" s="1"/>
  <c r="AD31" i="32"/>
  <c r="AI31" i="32"/>
  <c r="AI111" i="32" s="1"/>
  <c r="P31" i="32"/>
  <c r="A172" i="21" s="1"/>
  <c r="Z31" i="32"/>
  <c r="Y31" i="32" s="1"/>
  <c r="D174" i="21" s="1"/>
  <c r="AC31" i="32"/>
  <c r="D175" i="21" s="1"/>
  <c r="X31" i="32"/>
  <c r="A174" i="21" s="1"/>
  <c r="V31" i="32"/>
  <c r="U31" i="32" s="1"/>
  <c r="D173" i="21" s="1"/>
  <c r="L31" i="32"/>
  <c r="A171" i="21" s="1"/>
  <c r="AH31" i="32"/>
  <c r="AG31" i="32" s="1"/>
  <c r="D176" i="21" s="1"/>
  <c r="AE31" i="32"/>
  <c r="Z10" i="32"/>
  <c r="Y10" i="32" s="1"/>
  <c r="D48" i="21" s="1"/>
  <c r="AE10" i="32"/>
  <c r="R10" i="32"/>
  <c r="Q10" i="32" s="1"/>
  <c r="D46" i="21" s="1"/>
  <c r="X10" i="32"/>
  <c r="A48" i="21" s="1"/>
  <c r="C48" i="21" s="1"/>
  <c r="AF10" i="32"/>
  <c r="A50" i="21" s="1"/>
  <c r="C50" i="21" s="1"/>
  <c r="T10" i="32"/>
  <c r="A47" i="21" s="1"/>
  <c r="C47" i="21" s="1"/>
  <c r="V10" i="32"/>
  <c r="U10" i="32" s="1"/>
  <c r="D47" i="21" s="1"/>
  <c r="AH10" i="32"/>
  <c r="AG10" i="32" s="1"/>
  <c r="D50" i="21" s="1"/>
  <c r="AD10" i="32"/>
  <c r="AB10" i="32"/>
  <c r="A49" i="21" s="1"/>
  <c r="C49" i="21" s="1"/>
  <c r="P10" i="32"/>
  <c r="A46" i="21" s="1"/>
  <c r="C46" i="21" s="1"/>
  <c r="N10" i="32"/>
  <c r="M10" i="32" s="1"/>
  <c r="D45" i="21" s="1"/>
  <c r="AC10" i="32"/>
  <c r="D49" i="21" s="1"/>
  <c r="AI90" i="32"/>
  <c r="L10" i="32"/>
  <c r="A45" i="21" s="1"/>
  <c r="C45" i="21" s="1"/>
  <c r="AI5" i="32"/>
  <c r="AI85" i="32" s="1"/>
  <c r="P5" i="32"/>
  <c r="A16" i="21" s="1"/>
  <c r="C16" i="21" s="1"/>
  <c r="T5" i="32"/>
  <c r="A17" i="21" s="1"/>
  <c r="C17" i="21" s="1"/>
  <c r="N5" i="32"/>
  <c r="M5" i="32" s="1"/>
  <c r="D15" i="21" s="1"/>
  <c r="AD5" i="32"/>
  <c r="AE5" i="32"/>
  <c r="AF5" i="32"/>
  <c r="A20" i="21" s="1"/>
  <c r="C20" i="21" s="1"/>
  <c r="AB5" i="32"/>
  <c r="A19" i="21" s="1"/>
  <c r="C19" i="21" s="1"/>
  <c r="R5" i="32"/>
  <c r="Q5" i="32" s="1"/>
  <c r="D16" i="21" s="1"/>
  <c r="AH5" i="32"/>
  <c r="AG5" i="32" s="1"/>
  <c r="D20" i="21" s="1"/>
  <c r="X5" i="32"/>
  <c r="A18" i="21" s="1"/>
  <c r="C18" i="21" s="1"/>
  <c r="AC5" i="32"/>
  <c r="D19" i="21" s="1"/>
  <c r="V5" i="32"/>
  <c r="U5" i="32" s="1"/>
  <c r="D17" i="21" s="1"/>
  <c r="L5" i="32"/>
  <c r="A15" i="21" s="1"/>
  <c r="C15" i="21" s="1"/>
  <c r="Z5" i="32"/>
  <c r="Y5" i="32" s="1"/>
  <c r="D18" i="21" s="1"/>
  <c r="AB32" i="32"/>
  <c r="A181" i="21" s="1"/>
  <c r="L32" i="32"/>
  <c r="A177" i="21" s="1"/>
  <c r="AH32" i="32"/>
  <c r="AG32" i="32" s="1"/>
  <c r="D182" i="21" s="1"/>
  <c r="X32" i="32"/>
  <c r="A180" i="21" s="1"/>
  <c r="AI32" i="32"/>
  <c r="AI112" i="32" s="1"/>
  <c r="R32" i="32"/>
  <c r="Q32" i="32" s="1"/>
  <c r="D178" i="21" s="1"/>
  <c r="T32" i="32"/>
  <c r="A179" i="21" s="1"/>
  <c r="V32" i="32"/>
  <c r="U32" i="32" s="1"/>
  <c r="D179" i="21" s="1"/>
  <c r="AD32" i="32"/>
  <c r="AE32" i="32"/>
  <c r="AF32" i="32"/>
  <c r="A182" i="21" s="1"/>
  <c r="P32" i="32"/>
  <c r="A178" i="21" s="1"/>
  <c r="N32" i="32"/>
  <c r="M32" i="32" s="1"/>
  <c r="D177" i="21" s="1"/>
  <c r="Z32" i="32"/>
  <c r="Y32" i="32" s="1"/>
  <c r="D180" i="21" s="1"/>
  <c r="AE8" i="32"/>
  <c r="P8" i="32"/>
  <c r="A34" i="21" s="1"/>
  <c r="C34" i="21" s="1"/>
  <c r="X8" i="32"/>
  <c r="A36" i="21" s="1"/>
  <c r="C36" i="21" s="1"/>
  <c r="V8" i="32"/>
  <c r="U8" i="32" s="1"/>
  <c r="D35" i="21" s="1"/>
  <c r="T8" i="32"/>
  <c r="A35" i="21" s="1"/>
  <c r="C35" i="21" s="1"/>
  <c r="AI88" i="32"/>
  <c r="N8" i="32"/>
  <c r="M8" i="32" s="1"/>
  <c r="D33" i="21" s="1"/>
  <c r="L8" i="32"/>
  <c r="A33" i="21" s="1"/>
  <c r="C33" i="21" s="1"/>
  <c r="Q8" i="32"/>
  <c r="D34" i="21" s="1"/>
  <c r="AB8" i="32"/>
  <c r="A37" i="21" s="1"/>
  <c r="C37" i="21" s="1"/>
  <c r="AH8" i="32"/>
  <c r="AG8" i="32" s="1"/>
  <c r="D38" i="21" s="1"/>
  <c r="Z8" i="32"/>
  <c r="Y8" i="32" s="1"/>
  <c r="D36" i="21" s="1"/>
  <c r="AF8" i="32"/>
  <c r="A38" i="21" s="1"/>
  <c r="C38" i="21" s="1"/>
  <c r="AD8" i="32"/>
  <c r="AC8" i="32"/>
  <c r="D37" i="21" s="1"/>
  <c r="AI26" i="32"/>
  <c r="AI106" i="32" s="1"/>
  <c r="AD26" i="32"/>
  <c r="Z26" i="32"/>
  <c r="Y26" i="32" s="1"/>
  <c r="D144" i="21" s="1"/>
  <c r="T26" i="32"/>
  <c r="A143" i="21" s="1"/>
  <c r="C143" i="21" s="1"/>
  <c r="X26" i="32"/>
  <c r="A144" i="21" s="1"/>
  <c r="C144" i="21" s="1"/>
  <c r="P26" i="32"/>
  <c r="A142" i="21" s="1"/>
  <c r="C142" i="21" s="1"/>
  <c r="L26" i="32"/>
  <c r="A141" i="21" s="1"/>
  <c r="C141" i="21" s="1"/>
  <c r="R26" i="32"/>
  <c r="Q26" i="32" s="1"/>
  <c r="D142" i="21" s="1"/>
  <c r="V26" i="32"/>
  <c r="U26" i="32" s="1"/>
  <c r="D143" i="21" s="1"/>
  <c r="N26" i="32"/>
  <c r="M26" i="32" s="1"/>
  <c r="D141" i="21" s="1"/>
  <c r="AB26" i="32"/>
  <c r="A145" i="21" s="1"/>
  <c r="C145" i="21" s="1"/>
  <c r="AE26" i="32"/>
  <c r="AC26" i="32"/>
  <c r="D145" i="21" s="1"/>
  <c r="AF26" i="32"/>
  <c r="A146" i="21" s="1"/>
  <c r="C146" i="21" s="1"/>
  <c r="AH26" i="32"/>
  <c r="AG26" i="32" s="1"/>
  <c r="D146" i="21" s="1"/>
  <c r="AC15" i="32"/>
  <c r="D79" i="21" s="1"/>
  <c r="R15" i="32"/>
  <c r="Q15" i="32" s="1"/>
  <c r="D76" i="21" s="1"/>
  <c r="AE15" i="32"/>
  <c r="AH15" i="32"/>
  <c r="AG15" i="32" s="1"/>
  <c r="D80" i="21" s="1"/>
  <c r="P15" i="32"/>
  <c r="A76" i="21" s="1"/>
  <c r="C76" i="21" s="1"/>
  <c r="T15" i="32"/>
  <c r="A77" i="21" s="1"/>
  <c r="C77" i="21" s="1"/>
  <c r="AB15" i="32"/>
  <c r="A79" i="21" s="1"/>
  <c r="C79" i="21" s="1"/>
  <c r="N15" i="32"/>
  <c r="M15" i="32" s="1"/>
  <c r="D75" i="21" s="1"/>
  <c r="V15" i="32"/>
  <c r="U15" i="32" s="1"/>
  <c r="D77" i="21" s="1"/>
  <c r="X15" i="32"/>
  <c r="A78" i="21" s="1"/>
  <c r="C78" i="21" s="1"/>
  <c r="Z15" i="32"/>
  <c r="Y15" i="32" s="1"/>
  <c r="D78" i="21" s="1"/>
  <c r="AD15" i="32"/>
  <c r="AI15" i="32"/>
  <c r="AI95" i="32" s="1"/>
  <c r="AF15" i="32"/>
  <c r="A80" i="21" s="1"/>
  <c r="C80" i="21" s="1"/>
  <c r="AF34" i="32"/>
  <c r="A194" i="21" s="1"/>
  <c r="P34" i="32"/>
  <c r="A190" i="21" s="1"/>
  <c r="AE34" i="32"/>
  <c r="AH34" i="32"/>
  <c r="AG34" i="32" s="1"/>
  <c r="D194" i="21" s="1"/>
  <c r="AB34" i="32"/>
  <c r="A193" i="21" s="1"/>
  <c r="AI34" i="32"/>
  <c r="AI114" i="32" s="1"/>
  <c r="V34" i="32"/>
  <c r="U34" i="32" s="1"/>
  <c r="D191" i="21" s="1"/>
  <c r="L34" i="32"/>
  <c r="A189" i="21" s="1"/>
  <c r="X34" i="32"/>
  <c r="A192" i="21" s="1"/>
  <c r="AD34" i="32"/>
  <c r="AC34" i="32"/>
  <c r="D193" i="21" s="1"/>
  <c r="R34" i="32"/>
  <c r="Q34" i="32" s="1"/>
  <c r="D190" i="21" s="1"/>
  <c r="T34" i="32"/>
  <c r="A191" i="21" s="1"/>
  <c r="N34" i="32"/>
  <c r="M34" i="32" s="1"/>
  <c r="D189" i="21" s="1"/>
  <c r="Z34" i="32"/>
  <c r="Y34" i="32" s="1"/>
  <c r="D192" i="21" s="1"/>
  <c r="AC23" i="32"/>
  <c r="D127" i="21" s="1"/>
  <c r="V23" i="32"/>
  <c r="U23" i="32" s="1"/>
  <c r="D125" i="21" s="1"/>
  <c r="T23" i="32"/>
  <c r="A125" i="21" s="1"/>
  <c r="C125" i="21" s="1"/>
  <c r="P23" i="32"/>
  <c r="A124" i="21" s="1"/>
  <c r="C124" i="21" s="1"/>
  <c r="AE23" i="32"/>
  <c r="L23" i="32"/>
  <c r="A123" i="21" s="1"/>
  <c r="C123" i="21" s="1"/>
  <c r="AH23" i="32"/>
  <c r="AG23" i="32" s="1"/>
  <c r="D128" i="21" s="1"/>
  <c r="N23" i="32"/>
  <c r="M23" i="32" s="1"/>
  <c r="D123" i="21" s="1"/>
  <c r="AI23" i="32"/>
  <c r="AI103" i="32" s="1"/>
  <c r="AB23" i="32"/>
  <c r="A127" i="21" s="1"/>
  <c r="C127" i="21" s="1"/>
  <c r="Z23" i="32"/>
  <c r="Y23" i="32" s="1"/>
  <c r="D126" i="21" s="1"/>
  <c r="AD23" i="32"/>
  <c r="AF23" i="32"/>
  <c r="A128" i="21" s="1"/>
  <c r="C128" i="21" s="1"/>
  <c r="X23" i="32"/>
  <c r="A126" i="21" s="1"/>
  <c r="C126" i="21" s="1"/>
  <c r="AD35" i="32"/>
  <c r="AF35" i="32"/>
  <c r="A200" i="21" s="1"/>
  <c r="T35" i="32"/>
  <c r="A197" i="21" s="1"/>
  <c r="Z35" i="32"/>
  <c r="Y35" i="32" s="1"/>
  <c r="D198" i="21" s="1"/>
  <c r="AH35" i="32"/>
  <c r="AG35" i="32" s="1"/>
  <c r="D200" i="21" s="1"/>
  <c r="X35" i="32"/>
  <c r="A198" i="21" s="1"/>
  <c r="L35" i="32"/>
  <c r="A195" i="21" s="1"/>
  <c r="V35" i="32"/>
  <c r="U35" i="32" s="1"/>
  <c r="D197" i="21" s="1"/>
  <c r="AC35" i="32"/>
  <c r="D199" i="21" s="1"/>
  <c r="AE35" i="32"/>
  <c r="R35" i="32"/>
  <c r="Q35" i="32" s="1"/>
  <c r="D196" i="21" s="1"/>
  <c r="AB35" i="32"/>
  <c r="A199" i="21" s="1"/>
  <c r="P35" i="32"/>
  <c r="A196" i="21" s="1"/>
  <c r="N35" i="32"/>
  <c r="M35" i="32" s="1"/>
  <c r="D195" i="21" s="1"/>
  <c r="AI35" i="32"/>
  <c r="AI115" i="32" s="1"/>
  <c r="N14" i="32"/>
  <c r="M14" i="32" s="1"/>
  <c r="D69" i="21" s="1"/>
  <c r="AB14" i="32"/>
  <c r="A73" i="21" s="1"/>
  <c r="C73" i="21" s="1"/>
  <c r="AH14" i="32"/>
  <c r="AG14" i="32" s="1"/>
  <c r="D74" i="21" s="1"/>
  <c r="AI14" i="32"/>
  <c r="AI94" i="32" s="1"/>
  <c r="R14" i="32"/>
  <c r="Q14" i="32" s="1"/>
  <c r="D70" i="21" s="1"/>
  <c r="Z14" i="32"/>
  <c r="Y14" i="32" s="1"/>
  <c r="D72" i="21" s="1"/>
  <c r="AD14" i="32"/>
  <c r="X14" i="32"/>
  <c r="A72" i="21" s="1"/>
  <c r="C72" i="21" s="1"/>
  <c r="AE14" i="32"/>
  <c r="L14" i="32"/>
  <c r="A69" i="21" s="1"/>
  <c r="C69" i="21" s="1"/>
  <c r="P14" i="32"/>
  <c r="A70" i="21" s="1"/>
  <c r="C70" i="21" s="1"/>
  <c r="V14" i="32"/>
  <c r="U14" i="32" s="1"/>
  <c r="D71" i="21" s="1"/>
  <c r="T14" i="32"/>
  <c r="A71" i="21" s="1"/>
  <c r="C71" i="21" s="1"/>
  <c r="AC14" i="32"/>
  <c r="D73" i="21" s="1"/>
  <c r="L33" i="32"/>
  <c r="A183" i="21" s="1"/>
  <c r="T33" i="32"/>
  <c r="A185" i="21" s="1"/>
  <c r="AF33" i="32"/>
  <c r="A188" i="21" s="1"/>
  <c r="R33" i="32"/>
  <c r="Q33" i="32" s="1"/>
  <c r="D184" i="21" s="1"/>
  <c r="X33" i="32"/>
  <c r="A186" i="21" s="1"/>
  <c r="AB33" i="32"/>
  <c r="A187" i="21" s="1"/>
  <c r="AH33" i="32"/>
  <c r="AG33" i="32" s="1"/>
  <c r="D188" i="21" s="1"/>
  <c r="AI33" i="32"/>
  <c r="AI113" i="32" s="1"/>
  <c r="N33" i="32"/>
  <c r="M33" i="32" s="1"/>
  <c r="D183" i="21" s="1"/>
  <c r="AE33" i="32"/>
  <c r="V33" i="32"/>
  <c r="U33" i="32" s="1"/>
  <c r="D185" i="21" s="1"/>
  <c r="AD33" i="32"/>
  <c r="Z33" i="32"/>
  <c r="Y33" i="32" s="1"/>
  <c r="D186" i="21" s="1"/>
  <c r="AC33" i="32"/>
  <c r="D187" i="21" s="1"/>
  <c r="P33" i="32"/>
  <c r="A184" i="21" s="1"/>
  <c r="AB13" i="32"/>
  <c r="A67" i="21" s="1"/>
  <c r="C67" i="21" s="1"/>
  <c r="AD13" i="32"/>
  <c r="N13" i="32"/>
  <c r="M13" i="32" s="1"/>
  <c r="D63" i="21" s="1"/>
  <c r="AC13" i="32"/>
  <c r="D67" i="21" s="1"/>
  <c r="T13" i="32"/>
  <c r="A65" i="21" s="1"/>
  <c r="C65" i="21" s="1"/>
  <c r="Z13" i="32"/>
  <c r="Y13" i="32" s="1"/>
  <c r="D66" i="21" s="1"/>
  <c r="AF13" i="32"/>
  <c r="A68" i="21" s="1"/>
  <c r="C68" i="21" s="1"/>
  <c r="X13" i="32"/>
  <c r="A66" i="21" s="1"/>
  <c r="C66" i="21" s="1"/>
  <c r="AI13" i="32"/>
  <c r="AI93" i="32" s="1"/>
  <c r="V13" i="32"/>
  <c r="U13" i="32" s="1"/>
  <c r="D65" i="21" s="1"/>
  <c r="P13" i="32"/>
  <c r="A64" i="21" s="1"/>
  <c r="C64" i="21" s="1"/>
  <c r="L13" i="32"/>
  <c r="A63" i="21" s="1"/>
  <c r="C63" i="21" s="1"/>
  <c r="AH13" i="32"/>
  <c r="AG13" i="32" s="1"/>
  <c r="D68" i="21" s="1"/>
  <c r="R13" i="32"/>
  <c r="Q13" i="32" s="1"/>
  <c r="D64" i="21" s="1"/>
  <c r="AE13" i="32"/>
  <c r="AH36" i="32"/>
  <c r="AG36" i="32" s="1"/>
  <c r="D206" i="21" s="1"/>
  <c r="X36" i="32"/>
  <c r="A204" i="21" s="1"/>
  <c r="AI36" i="32"/>
  <c r="AI116" i="32" s="1"/>
  <c r="V36" i="32"/>
  <c r="U36" i="32" s="1"/>
  <c r="D203" i="21" s="1"/>
  <c r="T36" i="32"/>
  <c r="A203" i="21" s="1"/>
  <c r="AE36" i="32"/>
  <c r="R36" i="32"/>
  <c r="Q36" i="32" s="1"/>
  <c r="D202" i="21" s="1"/>
  <c r="L36" i="32"/>
  <c r="A201" i="21" s="1"/>
  <c r="AF36" i="32"/>
  <c r="A206" i="21" s="1"/>
  <c r="P36" i="32"/>
  <c r="A202" i="21" s="1"/>
  <c r="AD36" i="32"/>
  <c r="N36" i="32"/>
  <c r="M36" i="32" s="1"/>
  <c r="D201" i="21" s="1"/>
  <c r="AB36" i="32"/>
  <c r="A205" i="21" s="1"/>
  <c r="Z36" i="32"/>
  <c r="Y36" i="32" s="1"/>
  <c r="D204" i="21" s="1"/>
  <c r="AC36" i="32"/>
  <c r="D205" i="21" s="1"/>
  <c r="V12" i="32"/>
  <c r="U12" i="32" s="1"/>
  <c r="D59" i="21" s="1"/>
  <c r="T12" i="32"/>
  <c r="A59" i="21" s="1"/>
  <c r="C59" i="21" s="1"/>
  <c r="Z12" i="32"/>
  <c r="Y12" i="32" s="1"/>
  <c r="D60" i="21" s="1"/>
  <c r="P12" i="32"/>
  <c r="A58" i="21" s="1"/>
  <c r="C58" i="21" s="1"/>
  <c r="AD12" i="32"/>
  <c r="R12" i="32"/>
  <c r="Q12" i="32" s="1"/>
  <c r="D58" i="21" s="1"/>
  <c r="L12" i="32"/>
  <c r="A57" i="21" s="1"/>
  <c r="C57" i="21" s="1"/>
  <c r="AI12" i="32"/>
  <c r="AI92" i="32" s="1"/>
  <c r="AC12" i="32"/>
  <c r="D61" i="21" s="1"/>
  <c r="AH12" i="32"/>
  <c r="AG12" i="32" s="1"/>
  <c r="D62" i="21" s="1"/>
  <c r="N12" i="32"/>
  <c r="M12" i="32" s="1"/>
  <c r="D57" i="21" s="1"/>
  <c r="AE12" i="32"/>
  <c r="AB12" i="32"/>
  <c r="A61" i="21" s="1"/>
  <c r="C61" i="21" s="1"/>
  <c r="AF12" i="32"/>
  <c r="A62" i="21" s="1"/>
  <c r="C62" i="21" s="1"/>
  <c r="X12" i="32"/>
  <c r="A60" i="21" s="1"/>
  <c r="C60" i="21" s="1"/>
  <c r="T21" i="32"/>
  <c r="A113" i="21" s="1"/>
  <c r="C113" i="21" s="1"/>
  <c r="L21" i="32"/>
  <c r="A111" i="21" s="1"/>
  <c r="C111" i="21" s="1"/>
  <c r="AI21" i="32"/>
  <c r="AI101" i="32" s="1"/>
  <c r="V21" i="32"/>
  <c r="U21" i="32" s="1"/>
  <c r="D113" i="21" s="1"/>
  <c r="X21" i="32"/>
  <c r="A114" i="21" s="1"/>
  <c r="C114" i="21" s="1"/>
  <c r="AE21" i="32"/>
  <c r="R21" i="32"/>
  <c r="Q21" i="32" s="1"/>
  <c r="D112" i="21" s="1"/>
  <c r="P21" i="32"/>
  <c r="A112" i="21" s="1"/>
  <c r="C112" i="21" s="1"/>
  <c r="AD21" i="32"/>
  <c r="N21" i="32"/>
  <c r="M21" i="32" s="1"/>
  <c r="D111" i="21" s="1"/>
  <c r="AH21" i="32"/>
  <c r="AG21" i="32" s="1"/>
  <c r="D116" i="21" s="1"/>
  <c r="AF21" i="32"/>
  <c r="A116" i="21" s="1"/>
  <c r="C116" i="21" s="1"/>
  <c r="AB21" i="32"/>
  <c r="A115" i="21" s="1"/>
  <c r="C115" i="21" s="1"/>
  <c r="AC21" i="32"/>
  <c r="D115" i="21" s="1"/>
  <c r="Z21" i="32"/>
  <c r="Y21" i="32" s="1"/>
  <c r="D114" i="21" s="1"/>
  <c r="AC38" i="32"/>
  <c r="AF38" i="32"/>
  <c r="R38" i="32"/>
  <c r="Q38" i="32" s="1"/>
  <c r="X38" i="32"/>
  <c r="N38" i="32"/>
  <c r="M38" i="32" s="1"/>
  <c r="AE38" i="32"/>
  <c r="AI38" i="32"/>
  <c r="AI118" i="32" s="1"/>
  <c r="V38" i="32"/>
  <c r="U38" i="32" s="1"/>
  <c r="AH38" i="32"/>
  <c r="AG38" i="32" s="1"/>
  <c r="P38" i="32"/>
  <c r="Z38" i="32"/>
  <c r="Y38" i="32" s="1"/>
  <c r="AD38" i="32"/>
  <c r="L38" i="32"/>
  <c r="T38" i="32"/>
  <c r="AB38" i="32"/>
  <c r="P41" i="32"/>
  <c r="AI41" i="32"/>
  <c r="AI121" i="32" s="1"/>
  <c r="V41" i="32"/>
  <c r="U41" i="32" s="1"/>
  <c r="AC41" i="32"/>
  <c r="X41" i="32"/>
  <c r="AE41" i="32"/>
  <c r="R41" i="32"/>
  <c r="Q41" i="32" s="1"/>
  <c r="T41" i="32"/>
  <c r="AH41" i="32"/>
  <c r="AG41" i="32" s="1"/>
  <c r="L41" i="32"/>
  <c r="AF41" i="32"/>
  <c r="AD41" i="32"/>
  <c r="N41" i="32"/>
  <c r="M41" i="32" s="1"/>
  <c r="AB41" i="32"/>
  <c r="Z41" i="32"/>
  <c r="Y41" i="32" s="1"/>
  <c r="T39" i="32"/>
  <c r="L39" i="32"/>
  <c r="AE39" i="32"/>
  <c r="R39" i="32"/>
  <c r="Q39" i="32" s="1"/>
  <c r="AB39" i="32"/>
  <c r="AD39" i="32"/>
  <c r="N39" i="32"/>
  <c r="M39" i="32" s="1"/>
  <c r="X39" i="32"/>
  <c r="V39" i="32"/>
  <c r="U39" i="32" s="1"/>
  <c r="Z39" i="32"/>
  <c r="Y39" i="32" s="1"/>
  <c r="AH39" i="32"/>
  <c r="AG39" i="32" s="1"/>
  <c r="AF39" i="32"/>
  <c r="AI39" i="32"/>
  <c r="AI119" i="32" s="1"/>
  <c r="AC39" i="32"/>
  <c r="P39" i="32"/>
  <c r="AC20" i="32"/>
  <c r="D109" i="21" s="1"/>
  <c r="AH20" i="32"/>
  <c r="AG20" i="32" s="1"/>
  <c r="D110" i="21" s="1"/>
  <c r="AF20" i="32"/>
  <c r="A110" i="21" s="1"/>
  <c r="C110" i="21" s="1"/>
  <c r="P20" i="32"/>
  <c r="A106" i="21" s="1"/>
  <c r="C106" i="21" s="1"/>
  <c r="AE20" i="32"/>
  <c r="AB20" i="32"/>
  <c r="A109" i="21" s="1"/>
  <c r="C109" i="21" s="1"/>
  <c r="AI20" i="32"/>
  <c r="AI100" i="32" s="1"/>
  <c r="N20" i="32"/>
  <c r="M20" i="32" s="1"/>
  <c r="D105" i="21" s="1"/>
  <c r="T20" i="32"/>
  <c r="A107" i="21" s="1"/>
  <c r="C107" i="21" s="1"/>
  <c r="Z20" i="32"/>
  <c r="Y20" i="32" s="1"/>
  <c r="D108" i="21" s="1"/>
  <c r="V20" i="32"/>
  <c r="U20" i="32" s="1"/>
  <c r="D107" i="21" s="1"/>
  <c r="X20" i="32"/>
  <c r="A108" i="21" s="1"/>
  <c r="C108" i="21" s="1"/>
  <c r="R20" i="32"/>
  <c r="Q20" i="32" s="1"/>
  <c r="D106" i="21" s="1"/>
  <c r="L20" i="32"/>
  <c r="A105" i="21" s="1"/>
  <c r="C105" i="21" s="1"/>
  <c r="AD20" i="32"/>
  <c r="T37" i="32"/>
  <c r="A209" i="21" s="1"/>
  <c r="L37" i="32"/>
  <c r="A207" i="21" s="1"/>
  <c r="AC37" i="32"/>
  <c r="D211" i="21" s="1"/>
  <c r="AE37" i="32"/>
  <c r="AI37" i="32"/>
  <c r="AI117" i="32" s="1"/>
  <c r="AF37" i="32"/>
  <c r="A212" i="21" s="1"/>
  <c r="AH37" i="32"/>
  <c r="AG37" i="32" s="1"/>
  <c r="D212" i="21" s="1"/>
  <c r="AD37" i="32"/>
  <c r="P37" i="32"/>
  <c r="A208" i="21" s="1"/>
  <c r="R37" i="32"/>
  <c r="Q37" i="32" s="1"/>
  <c r="D208" i="21" s="1"/>
  <c r="Z37" i="32"/>
  <c r="Y37" i="32" s="1"/>
  <c r="D210" i="21" s="1"/>
  <c r="V37" i="32"/>
  <c r="U37" i="32" s="1"/>
  <c r="D209" i="21" s="1"/>
  <c r="X37" i="32"/>
  <c r="A210" i="21" s="1"/>
  <c r="M37" i="32"/>
  <c r="D207" i="21" s="1"/>
  <c r="AB37" i="32"/>
  <c r="A211" i="21" s="1"/>
  <c r="AC18" i="32"/>
  <c r="D97" i="21" s="1"/>
  <c r="AF18" i="32"/>
  <c r="A98" i="21" s="1"/>
  <c r="C98" i="21" s="1"/>
  <c r="AE18" i="32"/>
  <c r="AH18" i="32"/>
  <c r="AG18" i="32" s="1"/>
  <c r="D98" i="21" s="1"/>
  <c r="AI18" i="32"/>
  <c r="AI98" i="32" s="1"/>
  <c r="AD18" i="32"/>
  <c r="T18" i="32"/>
  <c r="A95" i="21" s="1"/>
  <c r="C95" i="21" s="1"/>
  <c r="Z18" i="32"/>
  <c r="Y18" i="32" s="1"/>
  <c r="D96" i="21" s="1"/>
  <c r="X18" i="32"/>
  <c r="A96" i="21" s="1"/>
  <c r="C96" i="21" s="1"/>
  <c r="P18" i="32"/>
  <c r="A94" i="21" s="1"/>
  <c r="C94" i="21" s="1"/>
  <c r="AB18" i="32"/>
  <c r="A97" i="21" s="1"/>
  <c r="C97" i="21" s="1"/>
  <c r="L18" i="32"/>
  <c r="A93" i="21" s="1"/>
  <c r="C93" i="21" s="1"/>
  <c r="R18" i="32"/>
  <c r="Q18" i="32" s="1"/>
  <c r="D94" i="21" s="1"/>
  <c r="V18" i="32"/>
  <c r="U18" i="32" s="1"/>
  <c r="D95" i="21" s="1"/>
  <c r="N18" i="32"/>
  <c r="M18" i="32" s="1"/>
  <c r="D93" i="21" s="1"/>
  <c r="X40" i="32"/>
  <c r="AI40" i="32"/>
  <c r="AI120" i="32" s="1"/>
  <c r="V40" i="32"/>
  <c r="U40" i="32" s="1"/>
  <c r="AC40" i="32"/>
  <c r="T40" i="32"/>
  <c r="AE40" i="32"/>
  <c r="R40" i="32"/>
  <c r="Q40" i="32" s="1"/>
  <c r="AB40" i="32"/>
  <c r="Z40" i="32"/>
  <c r="Y40" i="32" s="1"/>
  <c r="AF40" i="32"/>
  <c r="P40" i="32"/>
  <c r="AD40" i="32"/>
  <c r="N40" i="32"/>
  <c r="M40" i="32" s="1"/>
  <c r="L40" i="32"/>
  <c r="AH40" i="32"/>
  <c r="AG40" i="32" s="1"/>
  <c r="AF17" i="32"/>
  <c r="A92" i="21" s="1"/>
  <c r="C92" i="21" s="1"/>
  <c r="AB17" i="32"/>
  <c r="A91" i="21" s="1"/>
  <c r="C91" i="21" s="1"/>
  <c r="P17" i="32"/>
  <c r="A88" i="21" s="1"/>
  <c r="C88" i="21" s="1"/>
  <c r="T17" i="32"/>
  <c r="A89" i="21" s="1"/>
  <c r="C89" i="21" s="1"/>
  <c r="AI17" i="32"/>
  <c r="AI97" i="32" s="1"/>
  <c r="V17" i="32"/>
  <c r="U17" i="32" s="1"/>
  <c r="D89" i="21" s="1"/>
  <c r="AC17" i="32"/>
  <c r="D91" i="21" s="1"/>
  <c r="AE17" i="32"/>
  <c r="R17" i="32"/>
  <c r="Q17" i="32" s="1"/>
  <c r="D88" i="21" s="1"/>
  <c r="AH17" i="32"/>
  <c r="AG17" i="32" s="1"/>
  <c r="D92" i="21" s="1"/>
  <c r="Z17" i="32"/>
  <c r="Y17" i="32" s="1"/>
  <c r="D90" i="21" s="1"/>
  <c r="AD17" i="32"/>
  <c r="N17" i="32"/>
  <c r="M17" i="32" s="1"/>
  <c r="D87" i="21" s="1"/>
  <c r="X17" i="32"/>
  <c r="A90" i="21" s="1"/>
  <c r="C90" i="21" s="1"/>
  <c r="AI7" i="32"/>
  <c r="AI87" i="32" s="1"/>
  <c r="T7" i="32"/>
  <c r="A29" i="21" s="1"/>
  <c r="C29" i="21" s="1"/>
  <c r="AB7" i="32"/>
  <c r="A31" i="21" s="1"/>
  <c r="C31" i="21" s="1"/>
  <c r="AH7" i="32"/>
  <c r="AG7" i="32" s="1"/>
  <c r="D32" i="21" s="1"/>
  <c r="R7" i="32"/>
  <c r="Q7" i="32" s="1"/>
  <c r="D28" i="21" s="1"/>
  <c r="N7" i="32"/>
  <c r="M7" i="32" s="1"/>
  <c r="D27" i="21" s="1"/>
  <c r="Z7" i="32"/>
  <c r="Y7" i="32" s="1"/>
  <c r="D30" i="21" s="1"/>
  <c r="AD7" i="32"/>
  <c r="AE7" i="32"/>
  <c r="AC7" i="32"/>
  <c r="D31" i="21" s="1"/>
  <c r="X7" i="32"/>
  <c r="A30" i="21" s="1"/>
  <c r="C30" i="21" s="1"/>
  <c r="AF7" i="32"/>
  <c r="A32" i="21" s="1"/>
  <c r="C32" i="21" s="1"/>
  <c r="V7" i="32"/>
  <c r="U7" i="32" s="1"/>
  <c r="D29" i="21" s="1"/>
  <c r="AF25" i="32"/>
  <c r="A140" i="21" s="1"/>
  <c r="C140" i="21" s="1"/>
  <c r="L25" i="32"/>
  <c r="A135" i="21" s="1"/>
  <c r="C135" i="21" s="1"/>
  <c r="T25" i="32"/>
  <c r="A137" i="21" s="1"/>
  <c r="C137" i="21" s="1"/>
  <c r="AB25" i="32"/>
  <c r="A139" i="21" s="1"/>
  <c r="C139" i="21" s="1"/>
  <c r="AI25" i="32"/>
  <c r="AI105" i="32" s="1"/>
  <c r="V25" i="32"/>
  <c r="U25" i="32" s="1"/>
  <c r="D137" i="21" s="1"/>
  <c r="X25" i="32"/>
  <c r="A138" i="21" s="1"/>
  <c r="C138" i="21" s="1"/>
  <c r="AE25" i="32"/>
  <c r="R25" i="32"/>
  <c r="Q25" i="32" s="1"/>
  <c r="D136" i="21" s="1"/>
  <c r="AC25" i="32"/>
  <c r="D139" i="21" s="1"/>
  <c r="P25" i="32"/>
  <c r="A136" i="21" s="1"/>
  <c r="C136" i="21" s="1"/>
  <c r="AD25" i="32"/>
  <c r="N25" i="32"/>
  <c r="M25" i="32" s="1"/>
  <c r="D135" i="21" s="1"/>
  <c r="AH25" i="32"/>
  <c r="AG25" i="32" s="1"/>
  <c r="D140" i="21" s="1"/>
  <c r="Z25" i="32"/>
  <c r="Y25" i="32" s="1"/>
  <c r="D138" i="21" s="1"/>
  <c r="AH9" i="32"/>
  <c r="AG9" i="32" s="1"/>
  <c r="D44" i="21" s="1"/>
  <c r="X9" i="32"/>
  <c r="A42" i="21" s="1"/>
  <c r="C42" i="21" s="1"/>
  <c r="AE9" i="32"/>
  <c r="R9" i="32"/>
  <c r="Q9" i="32" s="1"/>
  <c r="D40" i="21" s="1"/>
  <c r="AC9" i="32"/>
  <c r="D43" i="21" s="1"/>
  <c r="L9" i="32"/>
  <c r="A39" i="21" s="1"/>
  <c r="C39" i="21" s="1"/>
  <c r="AD9" i="32"/>
  <c r="N9" i="32"/>
  <c r="M9" i="32" s="1"/>
  <c r="D39" i="21" s="1"/>
  <c r="T9" i="32"/>
  <c r="A41" i="21" s="1"/>
  <c r="C41" i="21" s="1"/>
  <c r="Z9" i="32"/>
  <c r="Y9" i="32" s="1"/>
  <c r="D42" i="21" s="1"/>
  <c r="AF9" i="32"/>
  <c r="A44" i="21" s="1"/>
  <c r="C44" i="21" s="1"/>
  <c r="V9" i="32"/>
  <c r="U9" i="32" s="1"/>
  <c r="D41" i="21" s="1"/>
  <c r="P9" i="32"/>
  <c r="A40" i="21" s="1"/>
  <c r="C40" i="21" s="1"/>
  <c r="AB9" i="32"/>
  <c r="A43" i="21" s="1"/>
  <c r="C43" i="21" s="1"/>
  <c r="AI9" i="32"/>
  <c r="AI89" i="32" s="1"/>
  <c r="AC16" i="32"/>
  <c r="D85" i="21" s="1"/>
  <c r="Z16" i="32"/>
  <c r="Y16" i="32" s="1"/>
  <c r="D84" i="21" s="1"/>
  <c r="T16" i="32"/>
  <c r="A83" i="21" s="1"/>
  <c r="C83" i="21" s="1"/>
  <c r="AF16" i="32"/>
  <c r="A86" i="21" s="1"/>
  <c r="C86" i="21" s="1"/>
  <c r="AI16" i="32"/>
  <c r="AI96" i="32" s="1"/>
  <c r="P16" i="32"/>
  <c r="A82" i="21" s="1"/>
  <c r="C82" i="21" s="1"/>
  <c r="AE16" i="32"/>
  <c r="X16" i="32"/>
  <c r="A84" i="21" s="1"/>
  <c r="C84" i="21" s="1"/>
  <c r="AD16" i="32"/>
  <c r="AH16" i="32"/>
  <c r="AG16" i="32" s="1"/>
  <c r="D86" i="21" s="1"/>
  <c r="AB16" i="32"/>
  <c r="A85" i="21" s="1"/>
  <c r="C85" i="21" s="1"/>
  <c r="R16" i="32"/>
  <c r="Q16" i="32" s="1"/>
  <c r="D82" i="21" s="1"/>
  <c r="V16" i="32"/>
  <c r="U16" i="32" s="1"/>
  <c r="D83" i="21" s="1"/>
  <c r="N16" i="32"/>
  <c r="M16" i="32" s="1"/>
  <c r="D81" i="21" s="1"/>
  <c r="AE6" i="32"/>
  <c r="V6" i="32"/>
  <c r="U6" i="32" s="1"/>
  <c r="D23" i="21" s="1"/>
  <c r="L6" i="32"/>
  <c r="A21" i="21" s="1"/>
  <c r="C21" i="21" s="1"/>
  <c r="AF6" i="32"/>
  <c r="A26" i="21" s="1"/>
  <c r="C26" i="21" s="1"/>
  <c r="AH6" i="32"/>
  <c r="AG6" i="32" s="1"/>
  <c r="D26" i="21" s="1"/>
  <c r="X6" i="32"/>
  <c r="A24" i="21" s="1"/>
  <c r="C24" i="21" s="1"/>
  <c r="AC6" i="32"/>
  <c r="D25" i="21" s="1"/>
  <c r="Z6" i="32"/>
  <c r="Y6" i="32" s="1"/>
  <c r="D24" i="21" s="1"/>
  <c r="N6" i="32"/>
  <c r="M6" i="32" s="1"/>
  <c r="D21" i="21" s="1"/>
  <c r="AB6" i="32"/>
  <c r="A25" i="21" s="1"/>
  <c r="C25" i="21" s="1"/>
  <c r="P6" i="32"/>
  <c r="A22" i="21" s="1"/>
  <c r="C22" i="21" s="1"/>
  <c r="AD6" i="32"/>
  <c r="AI86" i="32"/>
  <c r="R6" i="32"/>
  <c r="Q6" i="32" s="1"/>
  <c r="D22" i="21" s="1"/>
  <c r="T6" i="32"/>
  <c r="A23" i="21" s="1"/>
  <c r="C23" i="21" s="1"/>
  <c r="Z24" i="32"/>
  <c r="Y24" i="32" s="1"/>
  <c r="D132" i="21" s="1"/>
  <c r="R24" i="32"/>
  <c r="Q24" i="32" s="1"/>
  <c r="D130" i="21" s="1"/>
  <c r="P24" i="32"/>
  <c r="A130" i="21" s="1"/>
  <c r="C130" i="21" s="1"/>
  <c r="AC24" i="32"/>
  <c r="D133" i="21" s="1"/>
  <c r="L24" i="32"/>
  <c r="A129" i="21" s="1"/>
  <c r="C129" i="21" s="1"/>
  <c r="AF24" i="32"/>
  <c r="A134" i="21" s="1"/>
  <c r="C134" i="21" s="1"/>
  <c r="V24" i="32"/>
  <c r="U24" i="32" s="1"/>
  <c r="D131" i="21" s="1"/>
  <c r="AH24" i="32"/>
  <c r="AG24" i="32" s="1"/>
  <c r="D134" i="21" s="1"/>
  <c r="AE24" i="32"/>
  <c r="N24" i="32"/>
  <c r="M24" i="32" s="1"/>
  <c r="D129" i="21" s="1"/>
  <c r="AD24" i="32"/>
  <c r="T24" i="32"/>
  <c r="A131" i="21" s="1"/>
  <c r="C131" i="21" s="1"/>
  <c r="AB24" i="32"/>
  <c r="A133" i="21" s="1"/>
  <c r="C133" i="21" s="1"/>
  <c r="X24" i="32"/>
  <c r="A132" i="21" s="1"/>
  <c r="C132" i="21" s="1"/>
  <c r="AI24" i="32"/>
  <c r="AI104" i="32" s="1"/>
  <c r="L43" i="32"/>
  <c r="X43" i="32"/>
  <c r="A283" i="21" s="1"/>
  <c r="AB43" i="32"/>
  <c r="A284" i="21" s="1"/>
  <c r="T43" i="32"/>
  <c r="A282" i="21" s="1"/>
  <c r="Z43" i="32"/>
  <c r="Y43" i="32" s="1"/>
  <c r="AH43" i="32"/>
  <c r="AG43" i="32" s="1"/>
  <c r="AI43" i="32"/>
  <c r="AI123" i="32" s="1"/>
  <c r="V43" i="32"/>
  <c r="U43" i="32" s="1"/>
  <c r="AC43" i="32"/>
  <c r="AE43" i="32"/>
  <c r="P43" i="32"/>
  <c r="AD43" i="32"/>
  <c r="AF43" i="32"/>
  <c r="A285" i="21" s="1"/>
  <c r="R43" i="32"/>
  <c r="Q43" i="32" s="1"/>
  <c r="N43" i="32"/>
  <c r="M43" i="32" s="1"/>
  <c r="X44" i="32"/>
  <c r="A288" i="21" s="1"/>
  <c r="P44" i="32"/>
  <c r="A286" i="21" s="1"/>
  <c r="AC44" i="32"/>
  <c r="V44" i="32"/>
  <c r="U44" i="32" s="1"/>
  <c r="Z44" i="32"/>
  <c r="Y44" i="32" s="1"/>
  <c r="T44" i="32"/>
  <c r="A287" i="21" s="1"/>
  <c r="AD44" i="32"/>
  <c r="R44" i="32"/>
  <c r="Q44" i="32" s="1"/>
  <c r="AB44" i="32"/>
  <c r="A289" i="21" s="1"/>
  <c r="L44" i="32"/>
  <c r="N44" i="32"/>
  <c r="M44" i="32" s="1"/>
  <c r="AB48" i="32"/>
  <c r="T48" i="32"/>
  <c r="L48" i="32"/>
  <c r="AD48" i="32"/>
  <c r="V48" i="32"/>
  <c r="U48" i="32" s="1"/>
  <c r="N48" i="32"/>
  <c r="M48" i="32" s="1"/>
  <c r="X48" i="32"/>
  <c r="AC48" i="32"/>
  <c r="R48" i="32"/>
  <c r="Q48" i="32" s="1"/>
  <c r="P48" i="32"/>
  <c r="Z48" i="32"/>
  <c r="Y48" i="32" s="1"/>
  <c r="AC4" i="32"/>
  <c r="D13" i="21" s="1"/>
  <c r="AD4" i="32"/>
  <c r="P4" i="32"/>
  <c r="A10" i="21" s="1"/>
  <c r="C10" i="21" s="1"/>
  <c r="V4" i="32"/>
  <c r="U4" i="32" s="1"/>
  <c r="D11" i="21" s="1"/>
  <c r="T4" i="32"/>
  <c r="A11" i="21" s="1"/>
  <c r="C11" i="21" s="1"/>
  <c r="X4" i="32"/>
  <c r="A12" i="21" s="1"/>
  <c r="C12" i="21" s="1"/>
  <c r="L4" i="32"/>
  <c r="A9" i="21" s="1"/>
  <c r="C9" i="21" s="1"/>
  <c r="AB4" i="32"/>
  <c r="A13" i="21" s="1"/>
  <c r="C13" i="21" s="1"/>
  <c r="Z4" i="32"/>
  <c r="Y4" i="32" s="1"/>
  <c r="D12" i="21" s="1"/>
  <c r="AD47" i="32"/>
  <c r="AC47" i="32"/>
  <c r="T47" i="32"/>
  <c r="L47" i="32"/>
  <c r="Z47" i="32"/>
  <c r="Y47" i="32" s="1"/>
  <c r="P47" i="32"/>
  <c r="N47" i="32"/>
  <c r="M47" i="32" s="1"/>
  <c r="AB47" i="32"/>
  <c r="X47" i="32"/>
  <c r="V47" i="32"/>
  <c r="U47" i="32" s="1"/>
  <c r="AB3" i="32"/>
  <c r="A7" i="21" s="1"/>
  <c r="C7" i="21" s="1"/>
  <c r="T3" i="32"/>
  <c r="A5" i="21" s="1"/>
  <c r="C5" i="21" s="1"/>
  <c r="L3" i="32"/>
  <c r="A3" i="21" s="1"/>
  <c r="C3" i="21" s="1"/>
  <c r="Z3" i="32"/>
  <c r="Y3" i="32" s="1"/>
  <c r="D6" i="21" s="1"/>
  <c r="X3" i="32"/>
  <c r="A6" i="21" s="1"/>
  <c r="C6" i="21" s="1"/>
  <c r="AC3" i="32"/>
  <c r="D7" i="21" s="1"/>
  <c r="AD3" i="32"/>
  <c r="P3" i="32"/>
  <c r="A4" i="21" s="1"/>
  <c r="C4" i="21" s="1"/>
  <c r="X46" i="32"/>
  <c r="P46" i="32"/>
  <c r="AC46" i="32"/>
  <c r="Z46" i="32"/>
  <c r="Y46" i="32" s="1"/>
  <c r="N46" i="32"/>
  <c r="M46" i="32" s="1"/>
  <c r="AB46" i="32"/>
  <c r="T46" i="32"/>
  <c r="L46" i="32"/>
  <c r="AD46" i="32"/>
  <c r="V46" i="32"/>
  <c r="U46" i="32" s="1"/>
  <c r="R46" i="32"/>
  <c r="Q46" i="32" s="1"/>
  <c r="AD45" i="32"/>
  <c r="Z45" i="32"/>
  <c r="Y45" i="32" s="1"/>
  <c r="L45" i="32"/>
  <c r="AB45" i="32"/>
  <c r="T45" i="32"/>
  <c r="AC45" i="32"/>
  <c r="X45" i="32"/>
  <c r="V45" i="32"/>
  <c r="U45" i="32" s="1"/>
  <c r="R45" i="32"/>
  <c r="Q45" i="32" s="1"/>
  <c r="P45" i="32"/>
  <c r="A291" i="21" s="1"/>
  <c r="N45" i="32"/>
  <c r="M45" i="32" s="1"/>
  <c r="AB51" i="32"/>
  <c r="T51" i="32"/>
  <c r="L51" i="32"/>
  <c r="AD51" i="32"/>
  <c r="N51" i="32"/>
  <c r="M51" i="32" s="1"/>
  <c r="R51" i="32"/>
  <c r="Q51" i="32" s="1"/>
  <c r="X51" i="32"/>
  <c r="P51" i="32"/>
  <c r="AC51" i="32"/>
  <c r="V51" i="32"/>
  <c r="U51" i="32" s="1"/>
  <c r="Z51" i="32"/>
  <c r="Y51" i="32" s="1"/>
  <c r="AC52" i="32"/>
  <c r="Z52" i="32"/>
  <c r="Y52" i="32" s="1"/>
  <c r="R52" i="32"/>
  <c r="Q52" i="32" s="1"/>
  <c r="AB52" i="32"/>
  <c r="T52" i="32"/>
  <c r="AD52" i="32"/>
  <c r="V52" i="32"/>
  <c r="U52" i="32" s="1"/>
  <c r="N52" i="32"/>
  <c r="M52" i="32" s="1"/>
  <c r="X52" i="32"/>
  <c r="P52" i="32"/>
  <c r="AB49" i="32"/>
  <c r="T49" i="32"/>
  <c r="L49" i="32"/>
  <c r="AD49" i="32"/>
  <c r="N49" i="32"/>
  <c r="M49" i="32" s="1"/>
  <c r="R49" i="32"/>
  <c r="Q49" i="32" s="1"/>
  <c r="X49" i="32"/>
  <c r="P49" i="32"/>
  <c r="AC49" i="32"/>
  <c r="V49" i="32"/>
  <c r="U49" i="32" s="1"/>
  <c r="Z49" i="32"/>
  <c r="Y49" i="32" s="1"/>
  <c r="L54" i="32"/>
  <c r="AC54" i="32"/>
  <c r="X54" i="32"/>
  <c r="AB54" i="32"/>
  <c r="AD54" i="32"/>
  <c r="N54" i="32"/>
  <c r="M54" i="32" s="1"/>
  <c r="P54" i="32"/>
  <c r="R54" i="32"/>
  <c r="Q54" i="32" s="1"/>
  <c r="T54" i="32"/>
  <c r="V54" i="32"/>
  <c r="U54" i="32" s="1"/>
  <c r="Z54" i="32"/>
  <c r="Y54" i="32" s="1"/>
  <c r="AC50" i="32"/>
  <c r="Z50" i="32"/>
  <c r="Y50" i="32" s="1"/>
  <c r="R50" i="32"/>
  <c r="Q50" i="32" s="1"/>
  <c r="AB50" i="32"/>
  <c r="T50" i="32"/>
  <c r="L50" i="32"/>
  <c r="AD50" i="32"/>
  <c r="V50" i="32"/>
  <c r="U50" i="32" s="1"/>
  <c r="N50" i="32"/>
  <c r="M50" i="32" s="1"/>
  <c r="X50" i="32"/>
  <c r="P50" i="32"/>
  <c r="X53" i="32"/>
  <c r="P53" i="32"/>
  <c r="AC53" i="32"/>
  <c r="V53" i="32"/>
  <c r="U53" i="32" s="1"/>
  <c r="Z53" i="32"/>
  <c r="Y53" i="32" s="1"/>
  <c r="AB53" i="32"/>
  <c r="T53" i="32"/>
  <c r="L53" i="32"/>
  <c r="AD53" i="32"/>
  <c r="N53" i="32"/>
  <c r="M53" i="32" s="1"/>
  <c r="R53" i="32"/>
  <c r="Q53" i="32" s="1"/>
  <c r="X55" i="32"/>
  <c r="AB55" i="32"/>
  <c r="R55" i="32"/>
  <c r="Q55" i="32" s="1"/>
  <c r="T55" i="32"/>
  <c r="AD55" i="32"/>
  <c r="V55" i="32"/>
  <c r="U55" i="32" s="1"/>
  <c r="N55" i="32"/>
  <c r="M55" i="32" s="1"/>
  <c r="L55" i="32"/>
  <c r="Z55" i="32"/>
  <c r="Y55" i="32" s="1"/>
  <c r="P55" i="32"/>
  <c r="AC55" i="32"/>
  <c r="AH77" i="32"/>
  <c r="AG77" i="32" s="1"/>
  <c r="L75" i="32"/>
  <c r="P75" i="32"/>
  <c r="X75" i="32"/>
  <c r="AB75" i="32"/>
  <c r="T75" i="32"/>
  <c r="N75" i="32"/>
  <c r="M75" i="32" s="1"/>
  <c r="AD75" i="32"/>
  <c r="R75" i="32"/>
  <c r="Q75" i="32" s="1"/>
  <c r="Z75" i="32"/>
  <c r="Y75" i="32" s="1"/>
  <c r="AC75" i="32"/>
  <c r="V75" i="32"/>
  <c r="U75" i="32" s="1"/>
  <c r="X72" i="32"/>
  <c r="P72" i="32"/>
  <c r="N72" i="32"/>
  <c r="M72" i="32" s="1"/>
  <c r="AD72" i="32"/>
  <c r="Z72" i="32"/>
  <c r="Y72" i="32" s="1"/>
  <c r="AB72" i="32"/>
  <c r="L72" i="32"/>
  <c r="V72" i="32"/>
  <c r="U72" i="32" s="1"/>
  <c r="R72" i="32"/>
  <c r="Q72" i="32" s="1"/>
  <c r="AC72" i="32"/>
  <c r="T72" i="32"/>
  <c r="P66" i="32"/>
  <c r="L66" i="32"/>
  <c r="T66" i="32"/>
  <c r="AB66" i="32"/>
  <c r="X66" i="32"/>
  <c r="N66" i="32"/>
  <c r="M66" i="32" s="1"/>
  <c r="AD66" i="32"/>
  <c r="R66" i="32"/>
  <c r="Q66" i="32" s="1"/>
  <c r="V66" i="32"/>
  <c r="U66" i="32" s="1"/>
  <c r="Z66" i="32"/>
  <c r="Y66" i="32" s="1"/>
  <c r="AC66" i="32"/>
  <c r="AD64" i="32"/>
  <c r="V64" i="32"/>
  <c r="U64" i="32" s="1"/>
  <c r="AC64" i="32"/>
  <c r="Z64" i="32"/>
  <c r="Y64" i="32" s="1"/>
  <c r="P64" i="32"/>
  <c r="T64" i="32"/>
  <c r="AB64" i="32"/>
  <c r="X64" i="32"/>
  <c r="P61" i="32"/>
  <c r="X61" i="32"/>
  <c r="T61" i="32"/>
  <c r="L61" i="32"/>
  <c r="AB61" i="32"/>
  <c r="R61" i="32"/>
  <c r="Q61" i="32" s="1"/>
  <c r="N61" i="32"/>
  <c r="M61" i="32" s="1"/>
  <c r="V61" i="32"/>
  <c r="U61" i="32" s="1"/>
  <c r="AD61" i="32"/>
  <c r="Z61" i="32"/>
  <c r="Y61" i="32" s="1"/>
  <c r="AC61" i="32"/>
  <c r="L79" i="32"/>
  <c r="X79" i="32"/>
  <c r="P79" i="32"/>
  <c r="T79" i="32"/>
  <c r="AB79" i="32"/>
  <c r="N79" i="32"/>
  <c r="M79" i="32" s="1"/>
  <c r="V79" i="32"/>
  <c r="U79" i="32" s="1"/>
  <c r="AD79" i="32"/>
  <c r="R79" i="32"/>
  <c r="Q79" i="32" s="1"/>
  <c r="Z79" i="32"/>
  <c r="Y79" i="32" s="1"/>
  <c r="AC79" i="32"/>
  <c r="P76" i="32"/>
  <c r="X76" i="32"/>
  <c r="L76" i="32"/>
  <c r="T76" i="32"/>
  <c r="AB76" i="32"/>
  <c r="N76" i="32"/>
  <c r="M76" i="32" s="1"/>
  <c r="AD76" i="32"/>
  <c r="Z76" i="32"/>
  <c r="Y76" i="32" s="1"/>
  <c r="V76" i="32"/>
  <c r="U76" i="32" s="1"/>
  <c r="R76" i="32"/>
  <c r="Q76" i="32" s="1"/>
  <c r="AC76" i="32"/>
  <c r="L71" i="32"/>
  <c r="X71" i="32"/>
  <c r="P71" i="32"/>
  <c r="T71" i="32"/>
  <c r="AB71" i="32"/>
  <c r="N71" i="32"/>
  <c r="M71" i="32" s="1"/>
  <c r="R71" i="32"/>
  <c r="Q71" i="32" s="1"/>
  <c r="Z71" i="32"/>
  <c r="Y71" i="32" s="1"/>
  <c r="AC71" i="32"/>
  <c r="V71" i="32"/>
  <c r="U71" i="32" s="1"/>
  <c r="AD71" i="32"/>
  <c r="X69" i="32"/>
  <c r="P69" i="32"/>
  <c r="AB69" i="32"/>
  <c r="T69" i="32"/>
  <c r="L69" i="32"/>
  <c r="R69" i="32"/>
  <c r="Q69" i="32" s="1"/>
  <c r="N69" i="32"/>
  <c r="M69" i="32" s="1"/>
  <c r="V69" i="32"/>
  <c r="U69" i="32" s="1"/>
  <c r="AD69" i="32"/>
  <c r="Z69" i="32"/>
  <c r="Y69" i="32" s="1"/>
  <c r="AC69" i="32"/>
  <c r="T62" i="32"/>
  <c r="P62" i="32"/>
  <c r="X62" i="32"/>
  <c r="L62" i="32"/>
  <c r="AB62" i="32"/>
  <c r="N62" i="32"/>
  <c r="M62" i="32" s="1"/>
  <c r="AD62" i="32"/>
  <c r="AC62" i="32"/>
  <c r="V62" i="32"/>
  <c r="U62" i="32" s="1"/>
  <c r="R62" i="32"/>
  <c r="Q62" i="32" s="1"/>
  <c r="Z62" i="32"/>
  <c r="Y62" i="32" s="1"/>
  <c r="L58" i="32"/>
  <c r="T58" i="32"/>
  <c r="AB58" i="32"/>
  <c r="P58" i="32"/>
  <c r="X58" i="32"/>
  <c r="N58" i="32"/>
  <c r="M58" i="32" s="1"/>
  <c r="AD58" i="32"/>
  <c r="R58" i="32"/>
  <c r="Q58" i="32" s="1"/>
  <c r="V58" i="32"/>
  <c r="U58" i="32" s="1"/>
  <c r="Z58" i="32"/>
  <c r="Y58" i="32" s="1"/>
  <c r="AC58" i="32"/>
  <c r="V56" i="32"/>
  <c r="U56" i="32" s="1"/>
  <c r="N56" i="32"/>
  <c r="M56" i="32" s="1"/>
  <c r="AD56" i="32"/>
  <c r="Z56" i="32"/>
  <c r="Y56" i="32" s="1"/>
  <c r="R56" i="32"/>
  <c r="Q56" i="32" s="1"/>
  <c r="AC56" i="32"/>
  <c r="L56" i="32"/>
  <c r="T56" i="32"/>
  <c r="AB56" i="32"/>
  <c r="P56" i="32"/>
  <c r="X56" i="32"/>
  <c r="P77" i="32"/>
  <c r="L77" i="32"/>
  <c r="AB77" i="32"/>
  <c r="X77" i="32"/>
  <c r="T77" i="32"/>
  <c r="R77" i="32"/>
  <c r="Q77" i="32" s="1"/>
  <c r="Z77" i="32"/>
  <c r="Y77" i="32" s="1"/>
  <c r="AC77" i="32"/>
  <c r="N77" i="32"/>
  <c r="M77" i="32" s="1"/>
  <c r="V77" i="32"/>
  <c r="U77" i="32" s="1"/>
  <c r="AD77" i="32"/>
  <c r="R74" i="32"/>
  <c r="Q74" i="32" s="1"/>
  <c r="N74" i="32"/>
  <c r="M74" i="32" s="1"/>
  <c r="AD74" i="32"/>
  <c r="V74" i="32"/>
  <c r="U74" i="32" s="1"/>
  <c r="AC74" i="32"/>
  <c r="Z74" i="32"/>
  <c r="Y74" i="32" s="1"/>
  <c r="P74" i="32"/>
  <c r="L74" i="32"/>
  <c r="T74" i="32"/>
  <c r="AB74" i="32"/>
  <c r="X74" i="32"/>
  <c r="N68" i="32"/>
  <c r="M68" i="32" s="1"/>
  <c r="AD68" i="32"/>
  <c r="Z68" i="32"/>
  <c r="Y68" i="32" s="1"/>
  <c r="R68" i="32"/>
  <c r="Q68" i="32" s="1"/>
  <c r="AC68" i="32"/>
  <c r="V68" i="32"/>
  <c r="U68" i="32" s="1"/>
  <c r="T68" i="32"/>
  <c r="P68" i="32"/>
  <c r="X68" i="32"/>
  <c r="L68" i="32"/>
  <c r="AB68" i="32"/>
  <c r="X65" i="32"/>
  <c r="L65" i="32"/>
  <c r="AB65" i="32"/>
  <c r="T65" i="32"/>
  <c r="P65" i="32"/>
  <c r="V65" i="32"/>
  <c r="U65" i="32" s="1"/>
  <c r="R65" i="32"/>
  <c r="Q65" i="32" s="1"/>
  <c r="Z65" i="32"/>
  <c r="Y65" i="32" s="1"/>
  <c r="AC65" i="32"/>
  <c r="N65" i="32"/>
  <c r="M65" i="32" s="1"/>
  <c r="AD65" i="32"/>
  <c r="L63" i="32"/>
  <c r="AB63" i="32"/>
  <c r="T63" i="32"/>
  <c r="X63" i="32"/>
  <c r="P63" i="32"/>
  <c r="N63" i="32"/>
  <c r="M63" i="32" s="1"/>
  <c r="AD63" i="32"/>
  <c r="R63" i="32"/>
  <c r="Q63" i="32" s="1"/>
  <c r="Z63" i="32"/>
  <c r="Y63" i="32" s="1"/>
  <c r="AC63" i="32"/>
  <c r="V63" i="32"/>
  <c r="U63" i="32" s="1"/>
  <c r="L59" i="32"/>
  <c r="AB59" i="32"/>
  <c r="P59" i="32"/>
  <c r="X59" i="32"/>
  <c r="T59" i="32"/>
  <c r="N59" i="32"/>
  <c r="M59" i="32" s="1"/>
  <c r="V59" i="32"/>
  <c r="U59" i="32" s="1"/>
  <c r="AD59" i="32"/>
  <c r="Z59" i="32"/>
  <c r="Y59" i="32" s="1"/>
  <c r="R59" i="32"/>
  <c r="Q59" i="32" s="1"/>
  <c r="AC59" i="32"/>
  <c r="R78" i="32"/>
  <c r="Q78" i="32" s="1"/>
  <c r="V78" i="32"/>
  <c r="U78" i="32" s="1"/>
  <c r="N78" i="32"/>
  <c r="M78" i="32" s="1"/>
  <c r="AD78" i="32"/>
  <c r="Z78" i="32"/>
  <c r="Y78" i="32" s="1"/>
  <c r="AC78" i="32"/>
  <c r="L78" i="32"/>
  <c r="T78" i="32"/>
  <c r="AB78" i="32"/>
  <c r="P78" i="32"/>
  <c r="X78" i="32"/>
  <c r="X73" i="32"/>
  <c r="T73" i="32"/>
  <c r="P73" i="32"/>
  <c r="L73" i="32"/>
  <c r="AB73" i="32"/>
  <c r="N73" i="32"/>
  <c r="M73" i="32" s="1"/>
  <c r="AD73" i="32"/>
  <c r="R73" i="32"/>
  <c r="Q73" i="32" s="1"/>
  <c r="Z73" i="32"/>
  <c r="Y73" i="32" s="1"/>
  <c r="AC73" i="32"/>
  <c r="V73" i="32"/>
  <c r="U73" i="32" s="1"/>
  <c r="R70" i="32"/>
  <c r="Q70" i="32" s="1"/>
  <c r="V70" i="32"/>
  <c r="U70" i="32" s="1"/>
  <c r="N70" i="32"/>
  <c r="M70" i="32" s="1"/>
  <c r="AD70" i="32"/>
  <c r="Z70" i="32"/>
  <c r="Y70" i="32" s="1"/>
  <c r="AC70" i="32"/>
  <c r="T70" i="32"/>
  <c r="P70" i="32"/>
  <c r="X70" i="32"/>
  <c r="L70" i="32"/>
  <c r="AB70" i="32"/>
  <c r="AB67" i="32"/>
  <c r="L67" i="32"/>
  <c r="P67" i="32"/>
  <c r="T67" i="32"/>
  <c r="X67" i="32"/>
  <c r="R67" i="32"/>
  <c r="Q67" i="32" s="1"/>
  <c r="N67" i="32"/>
  <c r="M67" i="32" s="1"/>
  <c r="V67" i="32"/>
  <c r="U67" i="32" s="1"/>
  <c r="AD67" i="32"/>
  <c r="Z67" i="32"/>
  <c r="Y67" i="32" s="1"/>
  <c r="AC67" i="32"/>
  <c r="AD60" i="32"/>
  <c r="N60" i="32"/>
  <c r="M60" i="32" s="1"/>
  <c r="Z60" i="32"/>
  <c r="Y60" i="32" s="1"/>
  <c r="V60" i="32"/>
  <c r="U60" i="32" s="1"/>
  <c r="R60" i="32"/>
  <c r="Q60" i="32" s="1"/>
  <c r="AC60" i="32"/>
  <c r="P60" i="32"/>
  <c r="X60" i="32"/>
  <c r="L60" i="32"/>
  <c r="AB60" i="32"/>
  <c r="T60" i="32"/>
  <c r="X57" i="32"/>
  <c r="L57" i="32"/>
  <c r="AB57" i="32"/>
  <c r="P57" i="32"/>
  <c r="T57" i="32"/>
  <c r="R57" i="32"/>
  <c r="Q57" i="32" s="1"/>
  <c r="Z57" i="32"/>
  <c r="Y57" i="32" s="1"/>
  <c r="AC57" i="32"/>
  <c r="N57" i="32"/>
  <c r="M57" i="32" s="1"/>
  <c r="AD57" i="32"/>
  <c r="V57" i="32"/>
  <c r="U57" i="32" s="1"/>
  <c r="AI4" i="32"/>
  <c r="AI84" i="32" s="1"/>
  <c r="AE4" i="32"/>
  <c r="AF4" i="32"/>
  <c r="A14" i="21" s="1"/>
  <c r="C14" i="21" s="1"/>
  <c r="AH4" i="32"/>
  <c r="AG4" i="32" s="1"/>
  <c r="D14" i="21" s="1"/>
  <c r="AI45" i="32"/>
  <c r="AI125" i="32" s="1"/>
  <c r="AE45" i="32"/>
  <c r="AF45" i="32"/>
  <c r="AH45" i="32"/>
  <c r="AG45" i="32" s="1"/>
  <c r="AH49" i="32"/>
  <c r="AG49" i="32" s="1"/>
  <c r="AF49" i="32"/>
  <c r="AI49" i="32"/>
  <c r="AI129" i="32" s="1"/>
  <c r="AE49" i="32"/>
  <c r="AI54" i="32"/>
  <c r="AI134" i="32" s="1"/>
  <c r="AE54" i="32"/>
  <c r="AH54" i="32"/>
  <c r="AG54" i="32" s="1"/>
  <c r="AF54" i="32"/>
  <c r="AH44" i="32"/>
  <c r="AG44" i="32" s="1"/>
  <c r="AF44" i="32"/>
  <c r="A290" i="21" s="1"/>
  <c r="AI44" i="32"/>
  <c r="AI124" i="32" s="1"/>
  <c r="AE44" i="32"/>
  <c r="AE47" i="32"/>
  <c r="AH47" i="32"/>
  <c r="AG47" i="32" s="1"/>
  <c r="AF47" i="32"/>
  <c r="AH51" i="32"/>
  <c r="AG51" i="32" s="1"/>
  <c r="AF51" i="32"/>
  <c r="AE51" i="32"/>
  <c r="AI51" i="32"/>
  <c r="AI131" i="32" s="1"/>
  <c r="AI48" i="32"/>
  <c r="AI128" i="32" s="1"/>
  <c r="AE48" i="32"/>
  <c r="AF48" i="32"/>
  <c r="AH48" i="32"/>
  <c r="AG48" i="32" s="1"/>
  <c r="AI52" i="32"/>
  <c r="AI132" i="32" s="1"/>
  <c r="AE52" i="32"/>
  <c r="AF52" i="32"/>
  <c r="AH52" i="32"/>
  <c r="AG52" i="32" s="1"/>
  <c r="AH46" i="32"/>
  <c r="AG46" i="32" s="1"/>
  <c r="AF46" i="32"/>
  <c r="AI46" i="32"/>
  <c r="AI126" i="32" s="1"/>
  <c r="AE46" i="32"/>
  <c r="AI50" i="32"/>
  <c r="AI130" i="32" s="1"/>
  <c r="AE50" i="32"/>
  <c r="AH50" i="32"/>
  <c r="AG50" i="32" s="1"/>
  <c r="AF50" i="32"/>
  <c r="AH53" i="32"/>
  <c r="AG53" i="32" s="1"/>
  <c r="AF53" i="32"/>
  <c r="AI53" i="32"/>
  <c r="AI133" i="32" s="1"/>
  <c r="AE53" i="32"/>
  <c r="AF57" i="32"/>
  <c r="AE57" i="32"/>
  <c r="AI57" i="32"/>
  <c r="AI137" i="32" s="1"/>
  <c r="AH57" i="32"/>
  <c r="AG57" i="32" s="1"/>
  <c r="AH56" i="32"/>
  <c r="AG56" i="32" s="1"/>
  <c r="AF56" i="32"/>
  <c r="AI56" i="32"/>
  <c r="AI136" i="32" s="1"/>
  <c r="AE56" i="32"/>
  <c r="AF55" i="32"/>
  <c r="AI55" i="32"/>
  <c r="AI135" i="32" s="1"/>
  <c r="AE55" i="32"/>
  <c r="AH55" i="32"/>
  <c r="AG55" i="32" s="1"/>
  <c r="AE3" i="32"/>
  <c r="AF3" i="32"/>
  <c r="A8" i="21" s="1"/>
  <c r="C8" i="21" s="1"/>
  <c r="AH3" i="32"/>
  <c r="AG3" i="32" s="1"/>
  <c r="D8" i="21" s="1"/>
  <c r="AI3" i="32"/>
  <c r="AI83" i="32" s="1"/>
  <c r="AI58" i="32"/>
  <c r="AI138" i="32" s="1"/>
  <c r="AE58" i="32"/>
  <c r="AH58" i="32"/>
  <c r="AG58" i="32" s="1"/>
  <c r="AF58" i="32"/>
  <c r="AI59" i="32"/>
  <c r="AI139" i="32" s="1"/>
  <c r="AF59" i="32"/>
  <c r="AH59" i="32"/>
  <c r="AG59" i="32" s="1"/>
  <c r="AE59" i="32"/>
  <c r="AE61" i="32"/>
  <c r="AH61" i="32"/>
  <c r="AG61" i="32" s="1"/>
  <c r="AF61" i="32"/>
  <c r="AI61" i="32"/>
  <c r="AI141" i="32" s="1"/>
  <c r="AI60" i="32"/>
  <c r="AI140" i="32" s="1"/>
  <c r="AF60" i="32"/>
  <c r="AE60" i="32"/>
  <c r="AH60" i="32"/>
  <c r="AG60" i="32" s="1"/>
  <c r="AI62" i="32"/>
  <c r="AI142" i="32" s="1"/>
  <c r="AH62" i="32"/>
  <c r="AG62" i="32" s="1"/>
  <c r="AE62" i="32"/>
  <c r="AF62" i="32"/>
  <c r="AE63" i="32"/>
  <c r="AF63" i="32"/>
  <c r="AH63" i="32"/>
  <c r="AG63" i="32" s="1"/>
  <c r="AI63" i="32"/>
  <c r="AI143" i="32" s="1"/>
  <c r="AI64" i="32"/>
  <c r="AI144" i="32" s="1"/>
  <c r="AE64" i="32"/>
  <c r="AH64" i="32"/>
  <c r="AG64" i="32" s="1"/>
  <c r="AF64" i="32"/>
  <c r="AF77" i="32"/>
  <c r="AI65" i="32"/>
  <c r="AI145" i="32" s="1"/>
  <c r="AI72" i="32"/>
  <c r="AI152" i="32" s="1"/>
  <c r="AI67" i="32"/>
  <c r="AI147" i="32" s="1"/>
  <c r="AI66" i="32"/>
  <c r="AI146" i="32" s="1"/>
  <c r="AI74" i="32"/>
  <c r="AI154" i="32" s="1"/>
  <c r="AI75" i="32"/>
  <c r="AI155" i="32" s="1"/>
  <c r="AI73" i="32"/>
  <c r="AI153" i="32" s="1"/>
  <c r="AI68" i="32"/>
  <c r="AI148" i="32" s="1"/>
  <c r="AI78" i="32"/>
  <c r="AI158" i="32" s="1"/>
  <c r="AI71" i="32"/>
  <c r="AI151" i="32" s="1"/>
  <c r="AI69" i="32"/>
  <c r="AI149" i="32" s="1"/>
  <c r="AI77" i="32"/>
  <c r="AI157" i="32" s="1"/>
  <c r="AI70" i="32"/>
  <c r="AI150" i="32" s="1"/>
  <c r="AE76" i="32"/>
  <c r="AI156" i="32"/>
  <c r="AI159" i="32"/>
  <c r="AH79" i="32"/>
  <c r="AG79" i="32" s="1"/>
  <c r="AH76" i="32"/>
  <c r="AG76" i="32" s="1"/>
  <c r="AH75" i="32"/>
  <c r="AG75" i="32" s="1"/>
  <c r="AF75" i="32"/>
  <c r="AE75" i="32"/>
  <c r="AF71" i="32"/>
  <c r="AE79" i="32"/>
  <c r="AF79" i="32"/>
  <c r="AE78" i="32"/>
  <c r="AF78" i="32"/>
  <c r="AH78" i="32"/>
  <c r="AG78" i="32" s="1"/>
  <c r="AE69" i="32"/>
  <c r="AF69" i="32"/>
  <c r="AH69" i="32"/>
  <c r="AG69" i="32" s="1"/>
  <c r="AE70" i="32"/>
  <c r="AF70" i="32"/>
  <c r="AH70" i="32"/>
  <c r="AG70" i="32" s="1"/>
  <c r="AE66" i="32"/>
  <c r="AH66" i="32"/>
  <c r="AG66" i="32" s="1"/>
  <c r="AF66" i="32"/>
  <c r="AF65" i="32"/>
  <c r="AE65" i="32"/>
  <c r="AH65" i="32"/>
  <c r="AG65" i="32" s="1"/>
  <c r="AF67" i="32"/>
  <c r="AH67" i="32"/>
  <c r="AG67" i="32" s="1"/>
  <c r="AE67" i="32"/>
  <c r="AE74" i="32"/>
  <c r="AF74" i="32"/>
  <c r="AH74" i="32"/>
  <c r="AG74" i="32" s="1"/>
  <c r="AF72" i="32"/>
  <c r="AE72" i="32"/>
  <c r="AH72" i="32"/>
  <c r="AG72" i="32" s="1"/>
  <c r="AF76" i="32"/>
  <c r="AE73" i="32"/>
  <c r="AF73" i="32"/>
  <c r="AH73" i="32"/>
  <c r="AG73" i="32" s="1"/>
  <c r="AE68" i="32"/>
  <c r="AH68" i="32"/>
  <c r="AG68" i="32" s="1"/>
  <c r="AF68" i="32"/>
  <c r="AE71" i="32"/>
  <c r="AH71" i="32"/>
  <c r="AG71" i="32" s="1"/>
  <c r="AA1" i="57"/>
  <c r="AH161" i="32" l="1"/>
  <c r="AG161" i="32"/>
  <c r="AF161" i="32"/>
  <c r="AE161" i="32"/>
  <c r="AD161" i="32"/>
  <c r="AC161" i="32"/>
  <c r="AB161" i="32"/>
  <c r="AA161" i="32"/>
  <c r="Z161" i="32"/>
  <c r="Y161" i="32"/>
  <c r="X161" i="32"/>
  <c r="W161" i="32"/>
  <c r="V161" i="32"/>
  <c r="U161" i="32"/>
  <c r="T161" i="32"/>
  <c r="S161" i="32"/>
  <c r="R161" i="32"/>
  <c r="Q161" i="32"/>
  <c r="P161" i="32"/>
  <c r="O161" i="32" l="1"/>
  <c r="N161" i="32"/>
  <c r="M161" i="32"/>
  <c r="L161" i="32"/>
  <c r="K161" i="32"/>
  <c r="J161" i="32"/>
  <c r="I161" i="32"/>
  <c r="H161" i="32"/>
  <c r="G161" i="32"/>
  <c r="F161" i="32"/>
  <c r="E161" i="32"/>
  <c r="D161" i="32"/>
  <c r="C161" i="32"/>
  <c r="B161" i="32"/>
  <c r="F160" i="32"/>
  <c r="E160" i="32"/>
  <c r="D160" i="32"/>
  <c r="C160" i="32"/>
  <c r="B160" i="32"/>
  <c r="F159" i="32"/>
  <c r="E159" i="32"/>
  <c r="D159" i="32"/>
  <c r="C159" i="32"/>
  <c r="B159" i="32"/>
  <c r="F158" i="32"/>
  <c r="E158" i="32"/>
  <c r="D158" i="32"/>
  <c r="C158" i="32"/>
  <c r="B158" i="32"/>
  <c r="F157" i="32"/>
  <c r="E157" i="32"/>
  <c r="D157" i="32"/>
  <c r="C157" i="32"/>
  <c r="B157" i="32"/>
  <c r="F156" i="32"/>
  <c r="E156" i="32"/>
  <c r="D156" i="32"/>
  <c r="C156" i="32"/>
  <c r="B156" i="32"/>
  <c r="F155" i="32"/>
  <c r="E155" i="32"/>
  <c r="D155" i="32"/>
  <c r="C155" i="32"/>
  <c r="B155" i="32"/>
  <c r="F154" i="32"/>
  <c r="E154" i="32"/>
  <c r="D154" i="32"/>
  <c r="C154" i="32"/>
  <c r="B154" i="32"/>
  <c r="F153" i="32"/>
  <c r="E153" i="32"/>
  <c r="D153" i="32"/>
  <c r="C153" i="32"/>
  <c r="B153" i="32"/>
  <c r="F152" i="32"/>
  <c r="E152" i="32"/>
  <c r="D152" i="32"/>
  <c r="C152" i="32"/>
  <c r="B152" i="32"/>
  <c r="F151" i="32"/>
  <c r="E151" i="32"/>
  <c r="D151" i="32"/>
  <c r="C151" i="32"/>
  <c r="B151" i="32"/>
  <c r="F150" i="32"/>
  <c r="E150" i="32"/>
  <c r="D150" i="32"/>
  <c r="C150" i="32"/>
  <c r="B150" i="32"/>
  <c r="F149" i="32"/>
  <c r="E149" i="32"/>
  <c r="D149" i="32"/>
  <c r="C149" i="32"/>
  <c r="B149" i="32"/>
  <c r="F148" i="32"/>
  <c r="E148" i="32"/>
  <c r="D148" i="32"/>
  <c r="C148" i="32"/>
  <c r="B148" i="32"/>
  <c r="F147" i="32"/>
  <c r="E147" i="32"/>
  <c r="D147" i="32"/>
  <c r="C147" i="32"/>
  <c r="B147" i="32"/>
  <c r="F146" i="32"/>
  <c r="E146" i="32"/>
  <c r="D146" i="32"/>
  <c r="C146" i="32"/>
  <c r="B146" i="32"/>
  <c r="F145" i="32"/>
  <c r="E145" i="32"/>
  <c r="D145" i="32"/>
  <c r="C145" i="32"/>
  <c r="B145" i="32"/>
  <c r="F144" i="32"/>
  <c r="E144" i="32"/>
  <c r="D144" i="32"/>
  <c r="C144" i="32"/>
  <c r="B144" i="32"/>
  <c r="F143" i="32"/>
  <c r="E143" i="32"/>
  <c r="D143" i="32"/>
  <c r="C143" i="32"/>
  <c r="B143" i="32"/>
  <c r="F142" i="32"/>
  <c r="E142" i="32"/>
  <c r="D142" i="32"/>
  <c r="C142" i="32"/>
  <c r="B142" i="32"/>
  <c r="F141" i="32"/>
  <c r="E141" i="32"/>
  <c r="D141" i="32"/>
  <c r="C141" i="32"/>
  <c r="B141" i="32"/>
  <c r="F140" i="32"/>
  <c r="E140" i="32"/>
  <c r="D140" i="32"/>
  <c r="C140" i="32"/>
  <c r="B140" i="32"/>
  <c r="F139" i="32"/>
  <c r="E139" i="32"/>
  <c r="D139" i="32"/>
  <c r="C139" i="32"/>
  <c r="B139" i="32"/>
  <c r="F138" i="32"/>
  <c r="E138" i="32"/>
  <c r="D138" i="32"/>
  <c r="C138" i="32"/>
  <c r="B138" i="32"/>
  <c r="D137" i="32"/>
  <c r="C137" i="32"/>
  <c r="B137" i="32"/>
  <c r="F136" i="32"/>
  <c r="E136" i="32"/>
  <c r="D136" i="32"/>
  <c r="C136" i="32"/>
  <c r="B136" i="32"/>
  <c r="F135" i="32"/>
  <c r="E135" i="32"/>
  <c r="D135" i="32"/>
  <c r="C135" i="32"/>
  <c r="B135" i="32"/>
  <c r="F134" i="32"/>
  <c r="E134" i="32"/>
  <c r="D134" i="32"/>
  <c r="C134" i="32"/>
  <c r="B134" i="32"/>
  <c r="F133" i="32"/>
  <c r="E133" i="32"/>
  <c r="D133" i="32"/>
  <c r="C133" i="32"/>
  <c r="B133" i="32"/>
  <c r="F132" i="32"/>
  <c r="E132" i="32"/>
  <c r="D132" i="32"/>
  <c r="C132" i="32"/>
  <c r="B132" i="32"/>
  <c r="F131" i="32"/>
  <c r="E131" i="32"/>
  <c r="D131" i="32"/>
  <c r="C131" i="32"/>
  <c r="B131" i="32"/>
  <c r="F130" i="32"/>
  <c r="E130" i="32"/>
  <c r="D130" i="32"/>
  <c r="C130" i="32"/>
  <c r="B130" i="32"/>
  <c r="F129" i="32"/>
  <c r="E129" i="32"/>
  <c r="D129" i="32"/>
  <c r="C129" i="32"/>
  <c r="B129" i="32"/>
  <c r="F128" i="32"/>
  <c r="E128" i="32"/>
  <c r="D128" i="32"/>
  <c r="C128" i="32"/>
  <c r="B128" i="32"/>
  <c r="F127" i="32"/>
  <c r="E127" i="32"/>
  <c r="D127" i="32"/>
  <c r="C127" i="32"/>
  <c r="B127" i="32"/>
  <c r="F126" i="32"/>
  <c r="E126" i="32"/>
  <c r="D126" i="32"/>
  <c r="C126" i="32"/>
  <c r="B126" i="32"/>
  <c r="F125" i="32"/>
  <c r="E125" i="32"/>
  <c r="D125" i="32"/>
  <c r="C125" i="32"/>
  <c r="B125" i="32"/>
  <c r="F124" i="32"/>
  <c r="E124" i="32"/>
  <c r="D124" i="32"/>
  <c r="C124" i="32"/>
  <c r="B124" i="32"/>
  <c r="F123" i="32"/>
  <c r="E123" i="32"/>
  <c r="D123" i="32"/>
  <c r="C123" i="32"/>
  <c r="B123" i="32"/>
  <c r="F122" i="32"/>
  <c r="E122" i="32"/>
  <c r="D122" i="32"/>
  <c r="C122" i="32"/>
  <c r="B122" i="32"/>
  <c r="F121" i="32"/>
  <c r="E121" i="32"/>
  <c r="D121" i="32"/>
  <c r="C121" i="32"/>
  <c r="B121" i="32"/>
  <c r="F120" i="32"/>
  <c r="E120" i="32"/>
  <c r="D120" i="32"/>
  <c r="C120" i="32"/>
  <c r="B120" i="32"/>
  <c r="F119" i="32"/>
  <c r="E119" i="32"/>
  <c r="D119" i="32"/>
  <c r="C119" i="32"/>
  <c r="B119" i="32"/>
  <c r="F118" i="32"/>
  <c r="E118" i="32"/>
  <c r="D118" i="32"/>
  <c r="C118" i="32"/>
  <c r="B118" i="32"/>
  <c r="F117" i="32"/>
  <c r="E117" i="32"/>
  <c r="D117" i="32"/>
  <c r="C117" i="32"/>
  <c r="B117" i="32"/>
  <c r="F116" i="32"/>
  <c r="E116" i="32"/>
  <c r="D116" i="32"/>
  <c r="C116" i="32"/>
  <c r="B116" i="32"/>
  <c r="F115" i="32"/>
  <c r="E115" i="32"/>
  <c r="D115" i="32"/>
  <c r="C115" i="32"/>
  <c r="B115" i="32"/>
  <c r="F114" i="32"/>
  <c r="E114" i="32"/>
  <c r="D114" i="32"/>
  <c r="C114" i="32"/>
  <c r="B114" i="32"/>
  <c r="F113" i="32"/>
  <c r="E113" i="32"/>
  <c r="D113" i="32"/>
  <c r="C113" i="32"/>
  <c r="B113" i="32"/>
  <c r="F112" i="32"/>
  <c r="E112" i="32"/>
  <c r="D112" i="32"/>
  <c r="C112" i="32"/>
  <c r="B112" i="32"/>
  <c r="F111" i="32"/>
  <c r="E111" i="32"/>
  <c r="D111" i="32"/>
  <c r="C111" i="32"/>
  <c r="B111" i="32"/>
  <c r="B110" i="32"/>
  <c r="B109" i="32"/>
  <c r="B108" i="32"/>
  <c r="B107" i="32"/>
  <c r="F106" i="32"/>
  <c r="E106" i="32"/>
  <c r="D106" i="32"/>
  <c r="C106" i="32"/>
  <c r="B106" i="32"/>
  <c r="F105" i="32"/>
  <c r="E105" i="32"/>
  <c r="D105" i="32"/>
  <c r="C105" i="32"/>
  <c r="B105" i="32"/>
  <c r="F104" i="32"/>
  <c r="E104" i="32"/>
  <c r="D104" i="32"/>
  <c r="C104" i="32"/>
  <c r="B104" i="32"/>
  <c r="F103" i="32"/>
  <c r="E103" i="32"/>
  <c r="D103" i="32"/>
  <c r="C103" i="32"/>
  <c r="B103" i="32"/>
  <c r="F102" i="32"/>
  <c r="E102" i="32"/>
  <c r="D102" i="32"/>
  <c r="C102" i="32"/>
  <c r="B102" i="32"/>
  <c r="F101" i="32"/>
  <c r="E101" i="32"/>
  <c r="D101" i="32"/>
  <c r="C101" i="32"/>
  <c r="B101" i="32"/>
  <c r="F100" i="32"/>
  <c r="E100" i="32"/>
  <c r="D100" i="32"/>
  <c r="C100" i="32"/>
  <c r="B100" i="32"/>
  <c r="F99" i="32"/>
  <c r="E99" i="32"/>
  <c r="D99" i="32"/>
  <c r="C99" i="32"/>
  <c r="B99" i="32"/>
  <c r="F98" i="32"/>
  <c r="E98" i="32"/>
  <c r="D98" i="32"/>
  <c r="C98" i="32"/>
  <c r="B98" i="32"/>
  <c r="F97" i="32"/>
  <c r="E97" i="32"/>
  <c r="D97" i="32"/>
  <c r="C97" i="32"/>
  <c r="B97" i="32"/>
  <c r="F96" i="32"/>
  <c r="E96" i="32"/>
  <c r="D96" i="32"/>
  <c r="C96" i="32"/>
  <c r="B96" i="32"/>
  <c r="F95" i="32"/>
  <c r="E95" i="32"/>
  <c r="D95" i="32"/>
  <c r="C95" i="32"/>
  <c r="B95" i="32"/>
  <c r="F94" i="32"/>
  <c r="E94" i="32"/>
  <c r="D94" i="32"/>
  <c r="C94" i="32"/>
  <c r="B94" i="32"/>
  <c r="F93" i="32"/>
  <c r="E93" i="32"/>
  <c r="D93" i="32"/>
  <c r="C93" i="32"/>
  <c r="B93" i="32"/>
  <c r="F92" i="32"/>
  <c r="E92" i="32"/>
  <c r="D92" i="32"/>
  <c r="C92" i="32"/>
  <c r="B92" i="32"/>
  <c r="F91" i="32"/>
  <c r="E91" i="32"/>
  <c r="D91" i="32"/>
  <c r="C91" i="32"/>
  <c r="B91" i="32"/>
  <c r="F90" i="32"/>
  <c r="E90" i="32"/>
  <c r="D90" i="32"/>
  <c r="C90" i="32"/>
  <c r="B90" i="32"/>
  <c r="F89" i="32"/>
  <c r="E89" i="32"/>
  <c r="D89" i="32"/>
  <c r="C89" i="32"/>
  <c r="B89" i="32"/>
  <c r="F88" i="32"/>
  <c r="E88" i="32"/>
  <c r="D88" i="32"/>
  <c r="C88" i="32"/>
  <c r="B88" i="32"/>
  <c r="F87" i="32"/>
  <c r="E87" i="32"/>
  <c r="D87" i="32"/>
  <c r="C87" i="32"/>
  <c r="B87" i="32"/>
  <c r="F86" i="32"/>
  <c r="E86" i="32"/>
  <c r="D86" i="32"/>
  <c r="C86" i="32"/>
  <c r="B86" i="32"/>
  <c r="F85" i="32"/>
  <c r="E85" i="32"/>
  <c r="D85" i="32"/>
  <c r="C85" i="32"/>
  <c r="B85" i="32"/>
  <c r="F84" i="32"/>
  <c r="E84" i="32"/>
  <c r="D84" i="32"/>
  <c r="C84" i="32"/>
  <c r="B84" i="32"/>
  <c r="F83" i="32"/>
  <c r="E83" i="32"/>
  <c r="D83" i="32"/>
  <c r="C83" i="32"/>
  <c r="B83" i="32"/>
  <c r="A161" i="32"/>
  <c r="R211" i="31" l="1"/>
  <c r="I104" i="32" l="1"/>
  <c r="G98" i="32" l="1"/>
  <c r="G80" i="32" l="1"/>
  <c r="G159" i="32"/>
  <c r="G158" i="32"/>
  <c r="G157" i="32"/>
  <c r="G156" i="32"/>
  <c r="G155" i="32"/>
  <c r="G154" i="32"/>
  <c r="G153" i="32"/>
  <c r="G152" i="32"/>
  <c r="G151" i="32"/>
  <c r="G150" i="32"/>
  <c r="G149" i="32"/>
  <c r="G148" i="32"/>
  <c r="G147" i="32"/>
  <c r="G146" i="32"/>
  <c r="G145" i="32"/>
  <c r="G144" i="32"/>
  <c r="G143" i="32"/>
  <c r="G142" i="32"/>
  <c r="G141" i="32"/>
  <c r="G140" i="32"/>
  <c r="G139" i="32"/>
  <c r="G138" i="32"/>
  <c r="G136" i="32"/>
  <c r="G135" i="32"/>
  <c r="G134" i="32"/>
  <c r="G133" i="32"/>
  <c r="G132" i="32"/>
  <c r="G131" i="32"/>
  <c r="G130" i="32"/>
  <c r="G129" i="32"/>
  <c r="G128" i="32"/>
  <c r="G127" i="32"/>
  <c r="G126" i="32"/>
  <c r="G125" i="32"/>
  <c r="G124" i="32"/>
  <c r="G123" i="32"/>
  <c r="G122" i="32"/>
  <c r="G121" i="32"/>
  <c r="G120" i="32"/>
  <c r="G119" i="32"/>
  <c r="G118" i="32"/>
  <c r="G117" i="32"/>
  <c r="G116" i="32"/>
  <c r="G115" i="32"/>
  <c r="G114" i="32"/>
  <c r="G113" i="32"/>
  <c r="G112" i="32"/>
  <c r="G111" i="32"/>
  <c r="G106" i="32"/>
  <c r="G105" i="32"/>
  <c r="J104" i="32"/>
  <c r="G104" i="32"/>
  <c r="G103" i="32"/>
  <c r="G102" i="32"/>
  <c r="G101" i="32"/>
  <c r="G100" i="32"/>
  <c r="G99" i="32"/>
  <c r="G97" i="32"/>
  <c r="G96" i="32"/>
  <c r="G95" i="32"/>
  <c r="G94" i="32"/>
  <c r="G93" i="32"/>
  <c r="G92" i="32"/>
  <c r="G91" i="32"/>
  <c r="G90" i="32"/>
  <c r="G89" i="32"/>
  <c r="G88" i="32"/>
  <c r="G87" i="32"/>
  <c r="G86" i="32"/>
  <c r="G85" i="32"/>
  <c r="G84" i="32"/>
  <c r="G160" i="32" l="1"/>
  <c r="H80" i="32"/>
  <c r="J100" i="32"/>
  <c r="I100" i="32"/>
  <c r="J116" i="32"/>
  <c r="I116" i="32"/>
  <c r="J122" i="32"/>
  <c r="I122" i="32"/>
  <c r="J84" i="32"/>
  <c r="I84" i="32"/>
  <c r="J88" i="32"/>
  <c r="I88" i="32"/>
  <c r="J92" i="32"/>
  <c r="I92" i="32"/>
  <c r="J94" i="32"/>
  <c r="I94" i="32"/>
  <c r="J99" i="32"/>
  <c r="I99" i="32"/>
  <c r="J115" i="32"/>
  <c r="I115" i="32"/>
  <c r="J119" i="32"/>
  <c r="I119" i="32"/>
  <c r="J123" i="32"/>
  <c r="I123" i="32"/>
  <c r="J127" i="32"/>
  <c r="I127" i="32"/>
  <c r="J131" i="32"/>
  <c r="I131" i="32"/>
  <c r="J135" i="32"/>
  <c r="I135" i="32"/>
  <c r="J139" i="32"/>
  <c r="I139" i="32"/>
  <c r="J143" i="32"/>
  <c r="I143" i="32"/>
  <c r="J147" i="32"/>
  <c r="I147" i="32"/>
  <c r="J151" i="32"/>
  <c r="I151" i="32"/>
  <c r="J153" i="32"/>
  <c r="I153" i="32"/>
  <c r="J155" i="32"/>
  <c r="I155" i="32"/>
  <c r="J157" i="32"/>
  <c r="I157" i="32"/>
  <c r="J159" i="32"/>
  <c r="I159" i="32"/>
  <c r="J102" i="32"/>
  <c r="I102" i="32"/>
  <c r="J106" i="32"/>
  <c r="I106" i="32"/>
  <c r="J112" i="32"/>
  <c r="I112" i="32"/>
  <c r="J118" i="32"/>
  <c r="I118" i="32"/>
  <c r="J124" i="32"/>
  <c r="I124" i="32"/>
  <c r="J128" i="32"/>
  <c r="I128" i="32"/>
  <c r="J86" i="32"/>
  <c r="I86" i="32"/>
  <c r="J90" i="32"/>
  <c r="I90" i="32"/>
  <c r="J96" i="32"/>
  <c r="I96" i="32"/>
  <c r="J101" i="32"/>
  <c r="I101" i="32"/>
  <c r="J103" i="32"/>
  <c r="I103" i="32"/>
  <c r="J105" i="32"/>
  <c r="I105" i="32"/>
  <c r="J111" i="32"/>
  <c r="I111" i="32"/>
  <c r="J113" i="32"/>
  <c r="I113" i="32"/>
  <c r="J117" i="32"/>
  <c r="I117" i="32"/>
  <c r="J121" i="32"/>
  <c r="I121" i="32"/>
  <c r="J125" i="32"/>
  <c r="I125" i="32"/>
  <c r="J129" i="32"/>
  <c r="I129" i="32"/>
  <c r="J133" i="32"/>
  <c r="I133" i="32"/>
  <c r="J137" i="32"/>
  <c r="I137" i="32"/>
  <c r="J141" i="32"/>
  <c r="I141" i="32"/>
  <c r="J145" i="32"/>
  <c r="I145" i="32"/>
  <c r="J149" i="32"/>
  <c r="I149" i="32"/>
  <c r="J85" i="32"/>
  <c r="I85" i="32"/>
  <c r="J87" i="32"/>
  <c r="I87" i="32"/>
  <c r="J89" i="32"/>
  <c r="I89" i="32"/>
  <c r="J91" i="32"/>
  <c r="I91" i="32"/>
  <c r="J93" i="32"/>
  <c r="I93" i="32"/>
  <c r="J95" i="32"/>
  <c r="I95" i="32"/>
  <c r="J97" i="32"/>
  <c r="I97" i="32"/>
  <c r="J98" i="32"/>
  <c r="I98" i="32"/>
  <c r="J114" i="32"/>
  <c r="I114" i="32"/>
  <c r="J120" i="32"/>
  <c r="I120" i="32"/>
  <c r="J126" i="32"/>
  <c r="I126" i="32"/>
  <c r="J130" i="32"/>
  <c r="I130" i="32"/>
  <c r="J132" i="32"/>
  <c r="I132" i="32"/>
  <c r="J134" i="32"/>
  <c r="I134" i="32"/>
  <c r="J136" i="32"/>
  <c r="I136" i="32"/>
  <c r="J138" i="32"/>
  <c r="I138" i="32"/>
  <c r="J140" i="32"/>
  <c r="I140" i="32"/>
  <c r="J142" i="32"/>
  <c r="I142" i="32"/>
  <c r="J144" i="32"/>
  <c r="I144" i="32"/>
  <c r="J146" i="32"/>
  <c r="I146" i="32"/>
  <c r="J148" i="32"/>
  <c r="I148" i="32"/>
  <c r="J150" i="32"/>
  <c r="I150" i="32"/>
  <c r="J152" i="32"/>
  <c r="I152" i="32"/>
  <c r="J154" i="32"/>
  <c r="I154" i="32"/>
  <c r="J156" i="32"/>
  <c r="I156" i="32"/>
  <c r="J158" i="32"/>
  <c r="I158" i="32"/>
  <c r="J80" i="32"/>
  <c r="J160" i="32" s="1"/>
  <c r="I160" i="32"/>
  <c r="I83" i="32"/>
  <c r="AA80" i="32" l="1"/>
  <c r="W80" i="32"/>
  <c r="S80" i="32"/>
  <c r="O80" i="32"/>
  <c r="K80" i="32"/>
  <c r="J62" i="53"/>
  <c r="J61" i="53"/>
  <c r="J60" i="53" l="1"/>
  <c r="J83" i="32" l="1"/>
  <c r="G83" i="32" l="1"/>
  <c r="K68" i="21" l="1"/>
  <c r="K67" i="21"/>
  <c r="K66" i="21"/>
  <c r="K65" i="21"/>
  <c r="K64" i="21"/>
  <c r="K63" i="21"/>
  <c r="K62" i="21"/>
  <c r="K61" i="21"/>
  <c r="K60" i="21"/>
  <c r="K69" i="21" l="1"/>
  <c r="K71" i="21"/>
  <c r="K70" i="21"/>
  <c r="K72" i="21" l="1"/>
  <c r="K73" i="21" l="1"/>
  <c r="K74" i="21" l="1"/>
  <c r="K75" i="21" l="1"/>
  <c r="K76" i="21" l="1"/>
  <c r="K77" i="21" l="1"/>
  <c r="K78" i="21" l="1"/>
  <c r="K79" i="21" l="1"/>
  <c r="K80" i="21" l="1"/>
  <c r="A1" i="21" l="1"/>
  <c r="B1" i="32"/>
  <c r="A1" i="32"/>
  <c r="H90" i="32" l="1"/>
  <c r="H91" i="32"/>
  <c r="H139" i="32"/>
  <c r="H144" i="32"/>
  <c r="H101" i="32"/>
  <c r="H149" i="32"/>
  <c r="H102" i="32"/>
  <c r="H126" i="32"/>
  <c r="H150" i="32"/>
  <c r="H95" i="32"/>
  <c r="H111" i="32"/>
  <c r="H127" i="32"/>
  <c r="H143" i="32"/>
  <c r="H159" i="32"/>
  <c r="A159" i="32"/>
  <c r="H84" i="32"/>
  <c r="H100" i="32"/>
  <c r="H116" i="32"/>
  <c r="H132" i="32"/>
  <c r="H148" i="32"/>
  <c r="H94" i="32"/>
  <c r="H89" i="32"/>
  <c r="H105" i="32"/>
  <c r="H121" i="32"/>
  <c r="H137" i="32"/>
  <c r="H153" i="32"/>
  <c r="A153" i="32"/>
  <c r="H142" i="32"/>
  <c r="H123" i="32"/>
  <c r="H155" i="32"/>
  <c r="A155" i="32"/>
  <c r="H112" i="32"/>
  <c r="AI80" i="32"/>
  <c r="A160" i="32"/>
  <c r="H133" i="32"/>
  <c r="H86" i="32"/>
  <c r="H106" i="32"/>
  <c r="H130" i="32"/>
  <c r="H158" i="32"/>
  <c r="A158" i="32"/>
  <c r="H99" i="32"/>
  <c r="H115" i="32"/>
  <c r="H131" i="32"/>
  <c r="H147" i="32"/>
  <c r="H98" i="32"/>
  <c r="H88" i="32"/>
  <c r="H104" i="32"/>
  <c r="H120" i="32"/>
  <c r="H136" i="32"/>
  <c r="H152" i="32"/>
  <c r="A152" i="32"/>
  <c r="H93" i="32"/>
  <c r="H125" i="32"/>
  <c r="H141" i="32"/>
  <c r="H157" i="32"/>
  <c r="A157" i="32"/>
  <c r="H122" i="32"/>
  <c r="H138" i="32"/>
  <c r="H128" i="32"/>
  <c r="H85" i="32"/>
  <c r="H117" i="32"/>
  <c r="H154" i="32"/>
  <c r="A154" i="32"/>
  <c r="H118" i="32"/>
  <c r="H134" i="32"/>
  <c r="H87" i="32"/>
  <c r="H103" i="32"/>
  <c r="H119" i="32"/>
  <c r="H135" i="32"/>
  <c r="H151" i="32"/>
  <c r="H114" i="32"/>
  <c r="H92" i="32"/>
  <c r="H124" i="32"/>
  <c r="H140" i="32"/>
  <c r="H156" i="32"/>
  <c r="A156" i="32"/>
  <c r="H146" i="32"/>
  <c r="H97" i="32"/>
  <c r="H113" i="32"/>
  <c r="H129" i="32"/>
  <c r="H145" i="32"/>
  <c r="S90" i="32"/>
  <c r="AE87" i="32"/>
  <c r="AE102" i="32"/>
  <c r="AE86" i="32"/>
  <c r="AE124" i="32"/>
  <c r="AE100" i="32"/>
  <c r="AE123" i="32"/>
  <c r="AE139" i="32"/>
  <c r="AE95" i="32"/>
  <c r="AE122" i="32"/>
  <c r="AE118" i="32"/>
  <c r="AE115" i="32"/>
  <c r="AE146" i="32"/>
  <c r="AE91" i="32"/>
  <c r="AE105" i="32"/>
  <c r="AE133" i="32"/>
  <c r="AE90" i="32"/>
  <c r="AE85" i="32"/>
  <c r="AE104" i="32"/>
  <c r="AE84" i="32"/>
  <c r="AE99" i="32"/>
  <c r="AE119" i="32"/>
  <c r="AE113" i="32"/>
  <c r="AE150" i="32"/>
  <c r="AE94" i="32"/>
  <c r="AE121" i="32"/>
  <c r="AE97" i="32"/>
  <c r="AE154" i="32"/>
  <c r="AE89" i="32"/>
  <c r="AE157" i="32"/>
  <c r="AE88" i="32"/>
  <c r="AE103" i="32"/>
  <c r="AE93" i="32"/>
  <c r="AE120" i="32"/>
  <c r="AE112" i="32"/>
  <c r="AE83" i="32"/>
  <c r="AE98" i="32"/>
  <c r="AE153" i="32"/>
  <c r="AE101" i="32"/>
  <c r="AE96" i="32"/>
  <c r="AE111" i="32"/>
  <c r="AE135" i="32"/>
  <c r="AE92" i="32"/>
  <c r="AE106" i="32"/>
  <c r="AE134" i="32"/>
  <c r="AE117" i="32"/>
  <c r="AE114" i="32"/>
  <c r="AE116" i="32"/>
  <c r="AC115" i="32"/>
  <c r="AC146" i="32"/>
  <c r="AC96" i="32"/>
  <c r="AC111" i="32"/>
  <c r="AC135" i="32"/>
  <c r="AC92" i="32"/>
  <c r="AC106" i="32"/>
  <c r="AC93" i="32"/>
  <c r="AC118" i="32"/>
  <c r="AC112" i="32"/>
  <c r="AC105" i="32"/>
  <c r="AC133" i="32"/>
  <c r="AC90" i="32"/>
  <c r="AC140" i="32"/>
  <c r="AC100" i="32"/>
  <c r="AC139" i="32"/>
  <c r="AC95" i="32"/>
  <c r="AC134" i="32"/>
  <c r="AC116" i="32"/>
  <c r="AC119" i="32"/>
  <c r="AC158" i="32"/>
  <c r="AC86" i="32"/>
  <c r="AC94" i="32"/>
  <c r="AC113" i="32"/>
  <c r="AC124" i="32"/>
  <c r="AC123" i="32"/>
  <c r="AC83" i="32"/>
  <c r="AC98" i="32"/>
  <c r="AC121" i="32"/>
  <c r="AC97" i="32"/>
  <c r="AC85" i="32"/>
  <c r="AC104" i="32"/>
  <c r="AC143" i="32"/>
  <c r="AC84" i="32"/>
  <c r="AC99" i="32"/>
  <c r="AC122" i="32"/>
  <c r="AC114" i="32"/>
  <c r="AC91" i="32"/>
  <c r="AC120" i="32"/>
  <c r="AC87" i="32"/>
  <c r="AC102" i="32"/>
  <c r="AC125" i="32"/>
  <c r="AC153" i="32"/>
  <c r="AC101" i="32"/>
  <c r="AC154" i="32"/>
  <c r="AC89" i="32"/>
  <c r="AC157" i="32"/>
  <c r="AC88" i="32"/>
  <c r="AC103" i="32"/>
  <c r="AC117" i="32"/>
  <c r="AF90" i="32"/>
  <c r="L90" i="32"/>
  <c r="X90" i="32"/>
  <c r="AB90" i="32"/>
  <c r="T90" i="32"/>
  <c r="X97" i="32"/>
  <c r="AB97" i="32"/>
  <c r="T97" i="32"/>
  <c r="P97" i="32"/>
  <c r="L97" i="32"/>
  <c r="AF97" i="32"/>
  <c r="T87" i="32"/>
  <c r="L87" i="32"/>
  <c r="X87" i="32"/>
  <c r="P87" i="32"/>
  <c r="AB87" i="32"/>
  <c r="AF87" i="32"/>
  <c r="T94" i="32"/>
  <c r="P94" i="32"/>
  <c r="L94" i="32"/>
  <c r="AF94" i="32"/>
  <c r="AB94" i="32"/>
  <c r="X94" i="32"/>
  <c r="L125" i="32"/>
  <c r="P125" i="32"/>
  <c r="AF125" i="32"/>
  <c r="AB125" i="32"/>
  <c r="T125" i="32"/>
  <c r="X125" i="32"/>
  <c r="AF95" i="32"/>
  <c r="X95" i="32"/>
  <c r="AB95" i="32"/>
  <c r="L95" i="32"/>
  <c r="T95" i="32"/>
  <c r="P95" i="32"/>
  <c r="L116" i="32"/>
  <c r="X116" i="32"/>
  <c r="T116" i="32"/>
  <c r="AF116" i="32"/>
  <c r="P116" i="32"/>
  <c r="AB116" i="32"/>
  <c r="AF86" i="32"/>
  <c r="X86" i="32"/>
  <c r="T86" i="32"/>
  <c r="L86" i="32"/>
  <c r="AB86" i="32"/>
  <c r="P86" i="32"/>
  <c r="L124" i="32"/>
  <c r="AB124" i="32"/>
  <c r="AF124" i="32"/>
  <c r="X124" i="32"/>
  <c r="T124" i="32"/>
  <c r="P124" i="32"/>
  <c r="AB98" i="32"/>
  <c r="X98" i="32"/>
  <c r="L98" i="32"/>
  <c r="AF98" i="32"/>
  <c r="T98" i="32"/>
  <c r="P98" i="32"/>
  <c r="T100" i="32"/>
  <c r="X100" i="32"/>
  <c r="AB100" i="32"/>
  <c r="AF100" i="32"/>
  <c r="L100" i="32"/>
  <c r="P100" i="32"/>
  <c r="X99" i="32"/>
  <c r="P99" i="32"/>
  <c r="AF99" i="32"/>
  <c r="AB99" i="32"/>
  <c r="T99" i="32"/>
  <c r="L99" i="32"/>
  <c r="X112" i="32"/>
  <c r="P112" i="32"/>
  <c r="AF112" i="32"/>
  <c r="L112" i="32"/>
  <c r="AB112" i="32"/>
  <c r="T112" i="32"/>
  <c r="X134" i="32"/>
  <c r="L134" i="32"/>
  <c r="AF134" i="32"/>
  <c r="AB134" i="32"/>
  <c r="T134" i="32"/>
  <c r="P134" i="32"/>
  <c r="L129" i="32"/>
  <c r="X129" i="32"/>
  <c r="AB88" i="32"/>
  <c r="AF88" i="32"/>
  <c r="T88" i="32"/>
  <c r="P88" i="32"/>
  <c r="X88" i="32"/>
  <c r="L88" i="32"/>
  <c r="AB101" i="32"/>
  <c r="P101" i="32"/>
  <c r="T101" i="32"/>
  <c r="X101" i="32"/>
  <c r="L101" i="32"/>
  <c r="AF101" i="32"/>
  <c r="AB119" i="32"/>
  <c r="X119" i="32"/>
  <c r="L119" i="32"/>
  <c r="AF119" i="32"/>
  <c r="T119" i="32"/>
  <c r="P119" i="32"/>
  <c r="L106" i="32"/>
  <c r="AF106" i="32"/>
  <c r="P106" i="32"/>
  <c r="T106" i="32"/>
  <c r="X106" i="32"/>
  <c r="AB106" i="32"/>
  <c r="AB111" i="32"/>
  <c r="X111" i="32"/>
  <c r="L111" i="32"/>
  <c r="T111" i="32"/>
  <c r="AF111" i="32"/>
  <c r="P111" i="32"/>
  <c r="AB89" i="32"/>
  <c r="X89" i="32"/>
  <c r="T89" i="32"/>
  <c r="L89" i="32"/>
  <c r="AF89" i="32"/>
  <c r="P89" i="32"/>
  <c r="AF122" i="32"/>
  <c r="L122" i="32"/>
  <c r="P122" i="32"/>
  <c r="AB122" i="32"/>
  <c r="X122" i="32"/>
  <c r="T122" i="32"/>
  <c r="X114" i="32"/>
  <c r="P114" i="32"/>
  <c r="AB114" i="32"/>
  <c r="T114" i="32"/>
  <c r="L114" i="32"/>
  <c r="AF114" i="32"/>
  <c r="L118" i="32"/>
  <c r="AF118" i="32"/>
  <c r="X118" i="32"/>
  <c r="P118" i="32"/>
  <c r="AB118" i="32"/>
  <c r="T118" i="32"/>
  <c r="T96" i="32"/>
  <c r="AF96" i="32"/>
  <c r="AB96" i="32"/>
  <c r="P96" i="32"/>
  <c r="L96" i="32"/>
  <c r="X96" i="32"/>
  <c r="AF133" i="32"/>
  <c r="P133" i="32"/>
  <c r="AF91" i="32"/>
  <c r="AB91" i="32"/>
  <c r="T91" i="32"/>
  <c r="X91" i="32"/>
  <c r="L91" i="32"/>
  <c r="P91" i="32"/>
  <c r="AB85" i="32"/>
  <c r="T85" i="32"/>
  <c r="AF85" i="32"/>
  <c r="P85" i="32"/>
  <c r="X85" i="32"/>
  <c r="AF102" i="32"/>
  <c r="X102" i="32"/>
  <c r="P102" i="32"/>
  <c r="L102" i="32"/>
  <c r="T102" i="32"/>
  <c r="AB102" i="32"/>
  <c r="AF123" i="32"/>
  <c r="T123" i="32"/>
  <c r="X123" i="32"/>
  <c r="L123" i="32"/>
  <c r="P123" i="32"/>
  <c r="AB123" i="32"/>
  <c r="AB117" i="32"/>
  <c r="X117" i="32"/>
  <c r="T117" i="32"/>
  <c r="AF117" i="32"/>
  <c r="P117" i="32"/>
  <c r="L117" i="32"/>
  <c r="AF92" i="32"/>
  <c r="T92" i="32"/>
  <c r="X92" i="32"/>
  <c r="AB92" i="32"/>
  <c r="L92" i="32"/>
  <c r="P92" i="32"/>
  <c r="L120" i="32"/>
  <c r="AB120" i="32"/>
  <c r="AF120" i="32"/>
  <c r="X120" i="32"/>
  <c r="P120" i="32"/>
  <c r="T120" i="32"/>
  <c r="L139" i="32"/>
  <c r="P113" i="32"/>
  <c r="L113" i="32"/>
  <c r="X113" i="32"/>
  <c r="AF113" i="32"/>
  <c r="T113" i="32"/>
  <c r="AB113" i="32"/>
  <c r="X115" i="32"/>
  <c r="AB115" i="32"/>
  <c r="P115" i="32"/>
  <c r="L115" i="32"/>
  <c r="T115" i="32"/>
  <c r="AF115" i="32"/>
  <c r="AF135" i="32"/>
  <c r="T135" i="32"/>
  <c r="P135" i="32"/>
  <c r="AB135" i="32"/>
  <c r="X135" i="32"/>
  <c r="L135" i="32"/>
  <c r="P103" i="32"/>
  <c r="AB103" i="32"/>
  <c r="X103" i="32"/>
  <c r="AF103" i="32"/>
  <c r="T103" i="32"/>
  <c r="L103" i="32"/>
  <c r="P105" i="32"/>
  <c r="X105" i="32"/>
  <c r="AB105" i="32"/>
  <c r="T105" i="32"/>
  <c r="AF105" i="32"/>
  <c r="L105" i="32"/>
  <c r="AF121" i="32"/>
  <c r="T121" i="32"/>
  <c r="X121" i="32"/>
  <c r="AB121" i="32"/>
  <c r="L121" i="32"/>
  <c r="P121" i="32"/>
  <c r="AB93" i="32"/>
  <c r="AF93" i="32"/>
  <c r="L93" i="32"/>
  <c r="T93" i="32"/>
  <c r="X93" i="32"/>
  <c r="AF104" i="32"/>
  <c r="T104" i="32"/>
  <c r="AB104" i="32"/>
  <c r="X104" i="32"/>
  <c r="L104" i="32"/>
  <c r="P104" i="32"/>
  <c r="X128" i="32"/>
  <c r="H160" i="32" l="1"/>
  <c r="AI160" i="32"/>
  <c r="AE158" i="32"/>
  <c r="AC151" i="32"/>
  <c r="P151" i="32"/>
  <c r="A422" i="21"/>
  <c r="C422" i="21" s="1"/>
  <c r="A423" i="21"/>
  <c r="C423" i="21" s="1"/>
  <c r="O151" i="32"/>
  <c r="AC129" i="32"/>
  <c r="P129" i="32"/>
  <c r="X133" i="32"/>
  <c r="L133" i="32"/>
  <c r="T133" i="32"/>
  <c r="AB133" i="32"/>
  <c r="T129" i="32"/>
  <c r="AB129" i="32"/>
  <c r="AF129" i="32"/>
  <c r="AC147" i="32"/>
  <c r="AE147" i="32"/>
  <c r="AE151" i="32"/>
  <c r="AH129" i="32"/>
  <c r="AA151" i="32"/>
  <c r="AE156" i="32"/>
  <c r="A410" i="21"/>
  <c r="C410" i="21" s="1"/>
  <c r="AG148" i="32"/>
  <c r="AC145" i="32"/>
  <c r="P145" i="32"/>
  <c r="D429" i="21"/>
  <c r="AG152" i="32"/>
  <c r="AD152" i="32"/>
  <c r="AE152" i="32"/>
  <c r="O152" i="32"/>
  <c r="T156" i="32"/>
  <c r="AF145" i="32"/>
  <c r="AE145" i="32"/>
  <c r="AD153" i="32"/>
  <c r="A448" i="21"/>
  <c r="C448" i="21" s="1"/>
  <c r="AC156" i="32"/>
  <c r="AH150" i="32"/>
  <c r="AC148" i="32"/>
  <c r="AE148" i="32"/>
  <c r="AH146" i="32"/>
  <c r="S147" i="32"/>
  <c r="AE140" i="32"/>
  <c r="S143" i="32"/>
  <c r="AA140" i="32"/>
  <c r="W135" i="32"/>
  <c r="AH133" i="32"/>
  <c r="AB128" i="32"/>
  <c r="AG128" i="32"/>
  <c r="AF128" i="32"/>
  <c r="A383" i="21"/>
  <c r="C383" i="21" s="1"/>
  <c r="AB143" i="32"/>
  <c r="AE143" i="32"/>
  <c r="L128" i="32"/>
  <c r="T128" i="32"/>
  <c r="AE129" i="32"/>
  <c r="AC128" i="32"/>
  <c r="AA128" i="32"/>
  <c r="P128" i="32"/>
  <c r="AE128" i="32"/>
  <c r="AE125" i="32"/>
  <c r="T136" i="32"/>
  <c r="K151" i="32"/>
  <c r="W129" i="32"/>
  <c r="O129" i="32"/>
  <c r="W147" i="32"/>
  <c r="O148" i="32"/>
  <c r="S153" i="32"/>
  <c r="W125" i="32"/>
  <c r="K154" i="32"/>
  <c r="AD125" i="32"/>
  <c r="AD157" i="32"/>
  <c r="AF132" i="32"/>
  <c r="L80" i="32"/>
  <c r="L160" i="32" s="1"/>
  <c r="L130" i="32"/>
  <c r="AE138" i="32"/>
  <c r="O155" i="32"/>
  <c r="AE132" i="32"/>
  <c r="W159" i="32"/>
  <c r="AB136" i="32"/>
  <c r="A413" i="21"/>
  <c r="C413" i="21" s="1"/>
  <c r="P131" i="32"/>
  <c r="AC127" i="32"/>
  <c r="AA127" i="32"/>
  <c r="X127" i="32"/>
  <c r="L138" i="32"/>
  <c r="A387" i="21"/>
  <c r="C387" i="21" s="1"/>
  <c r="AB142" i="32"/>
  <c r="T131" i="32"/>
  <c r="AB126" i="32"/>
  <c r="AE141" i="32"/>
  <c r="AG137" i="32"/>
  <c r="AE142" i="32"/>
  <c r="AE144" i="32"/>
  <c r="AG155" i="32"/>
  <c r="AA144" i="32"/>
  <c r="A374" i="21"/>
  <c r="C374" i="21" s="1"/>
  <c r="AF137" i="32"/>
  <c r="AB80" i="32"/>
  <c r="A469" i="21" s="1"/>
  <c r="C469" i="21" s="1"/>
  <c r="A445" i="21"/>
  <c r="C445" i="21" s="1"/>
  <c r="T138" i="32"/>
  <c r="A388" i="21"/>
  <c r="C388" i="21" s="1"/>
  <c r="A378" i="21"/>
  <c r="C378" i="21" s="1"/>
  <c r="AB159" i="32"/>
  <c r="AE130" i="32"/>
  <c r="AE127" i="32"/>
  <c r="P137" i="32"/>
  <c r="AF80" i="32"/>
  <c r="AF160" i="32" s="1"/>
  <c r="P80" i="32"/>
  <c r="A466" i="21" s="1"/>
  <c r="C466" i="21" s="1"/>
  <c r="A371" i="21"/>
  <c r="C371" i="21" s="1"/>
  <c r="P138" i="32"/>
  <c r="X138" i="32"/>
  <c r="A390" i="21"/>
  <c r="C390" i="21" s="1"/>
  <c r="A389" i="21"/>
  <c r="C389" i="21" s="1"/>
  <c r="A376" i="21"/>
  <c r="C376" i="21" s="1"/>
  <c r="A380" i="21"/>
  <c r="C380" i="21" s="1"/>
  <c r="AF130" i="32"/>
  <c r="AF131" i="32"/>
  <c r="X131" i="32"/>
  <c r="A465" i="21"/>
  <c r="C465" i="21" s="1"/>
  <c r="T126" i="32"/>
  <c r="AC136" i="32"/>
  <c r="AH159" i="32"/>
  <c r="AH131" i="32"/>
  <c r="AE137" i="32"/>
  <c r="AG126" i="32"/>
  <c r="AE155" i="32"/>
  <c r="AD142" i="32"/>
  <c r="K144" i="32"/>
  <c r="AA136" i="32"/>
  <c r="S159" i="32"/>
  <c r="O132" i="32"/>
  <c r="T155" i="32"/>
  <c r="X136" i="32"/>
  <c r="T127" i="32"/>
  <c r="AB127" i="32"/>
  <c r="T137" i="32"/>
  <c r="AB137" i="32"/>
  <c r="T80" i="32"/>
  <c r="T160" i="32" s="1"/>
  <c r="T141" i="32"/>
  <c r="A441" i="21"/>
  <c r="C441" i="21" s="1"/>
  <c r="X155" i="32"/>
  <c r="L136" i="32"/>
  <c r="AF127" i="32"/>
  <c r="P127" i="32"/>
  <c r="L149" i="32"/>
  <c r="P149" i="32"/>
  <c r="L132" i="32"/>
  <c r="AB132" i="32"/>
  <c r="AF138" i="32"/>
  <c r="L144" i="32"/>
  <c r="L142" i="32"/>
  <c r="AB130" i="32"/>
  <c r="T130" i="32"/>
  <c r="AB131" i="32"/>
  <c r="T159" i="32"/>
  <c r="X126" i="32"/>
  <c r="P126" i="32"/>
  <c r="AC142" i="32"/>
  <c r="AC141" i="32"/>
  <c r="AC149" i="32"/>
  <c r="AC80" i="32"/>
  <c r="AC160" i="32" s="1"/>
  <c r="AC130" i="32"/>
  <c r="AG136" i="32"/>
  <c r="AE159" i="32"/>
  <c r="AE131" i="32"/>
  <c r="AH149" i="32"/>
  <c r="AH80" i="32"/>
  <c r="AH160" i="32" s="1"/>
  <c r="AE126" i="32"/>
  <c r="AD126" i="32"/>
  <c r="K136" i="32"/>
  <c r="W136" i="32"/>
  <c r="AD159" i="32"/>
  <c r="S132" i="32"/>
  <c r="AD149" i="32"/>
  <c r="A414" i="21"/>
  <c r="C414" i="21" s="1"/>
  <c r="A412" i="21"/>
  <c r="C412" i="21" s="1"/>
  <c r="X132" i="32"/>
  <c r="P132" i="32"/>
  <c r="L137" i="32"/>
  <c r="X137" i="32"/>
  <c r="X80" i="32"/>
  <c r="A468" i="21" s="1"/>
  <c r="C468" i="21" s="1"/>
  <c r="A373" i="21"/>
  <c r="C373" i="21" s="1"/>
  <c r="A375" i="21"/>
  <c r="C375" i="21" s="1"/>
  <c r="A444" i="21"/>
  <c r="C444" i="21" s="1"/>
  <c r="AF136" i="32"/>
  <c r="P136" i="32"/>
  <c r="L127" i="32"/>
  <c r="A415" i="21"/>
  <c r="C415" i="21" s="1"/>
  <c r="T132" i="32"/>
  <c r="AB138" i="32"/>
  <c r="A386" i="21"/>
  <c r="C386" i="21" s="1"/>
  <c r="A377" i="21"/>
  <c r="C377" i="21" s="1"/>
  <c r="X130" i="32"/>
  <c r="P130" i="32"/>
  <c r="L131" i="32"/>
  <c r="A461" i="21"/>
  <c r="C461" i="21" s="1"/>
  <c r="X159" i="32"/>
  <c r="L126" i="32"/>
  <c r="AF126" i="32"/>
  <c r="AC126" i="32"/>
  <c r="AC131" i="32"/>
  <c r="AC132" i="32"/>
  <c r="AC138" i="32"/>
  <c r="AC144" i="32"/>
  <c r="AC137" i="32"/>
  <c r="AC159" i="32"/>
  <c r="AC155" i="32"/>
  <c r="AE136" i="32"/>
  <c r="AH141" i="32"/>
  <c r="AH130" i="32"/>
  <c r="AG132" i="32"/>
  <c r="AE149" i="32"/>
  <c r="AE80" i="32"/>
  <c r="AE160" i="32" s="1"/>
  <c r="AH142" i="32"/>
  <c r="AG127" i="32"/>
  <c r="AG138" i="32"/>
  <c r="O142" i="32"/>
  <c r="K126" i="32"/>
  <c r="AD155" i="32"/>
  <c r="AA138" i="32"/>
  <c r="AD141" i="32"/>
  <c r="K159" i="32"/>
  <c r="S130" i="32"/>
  <c r="AD132" i="32"/>
  <c r="K130" i="32"/>
  <c r="AD130" i="32"/>
  <c r="O157" i="32"/>
  <c r="AD131" i="32"/>
  <c r="K89" i="32"/>
  <c r="K132" i="32"/>
  <c r="AA97" i="32"/>
  <c r="S149" i="32"/>
  <c r="O137" i="32"/>
  <c r="AA150" i="32"/>
  <c r="AD137" i="32"/>
  <c r="O150" i="32"/>
  <c r="O160" i="32"/>
  <c r="AD121" i="32"/>
  <c r="AA160" i="32"/>
  <c r="K156" i="32"/>
  <c r="AA156" i="32"/>
  <c r="W160" i="32"/>
  <c r="S93" i="32"/>
  <c r="K160" i="32"/>
  <c r="P90" i="32"/>
  <c r="V80" i="32"/>
  <c r="O156" i="32"/>
  <c r="P93" i="32"/>
  <c r="A430" i="21"/>
  <c r="C430" i="21" s="1"/>
  <c r="AF152" i="32"/>
  <c r="A408" i="21"/>
  <c r="C408" i="21" s="1"/>
  <c r="X148" i="32"/>
  <c r="A433" i="21"/>
  <c r="C433" i="21" s="1"/>
  <c r="X153" i="32"/>
  <c r="A398" i="21"/>
  <c r="C398" i="21" s="1"/>
  <c r="X146" i="32"/>
  <c r="A365" i="21"/>
  <c r="C365" i="21" s="1"/>
  <c r="AF139" i="32"/>
  <c r="AC152" i="32"/>
  <c r="AG117" i="32"/>
  <c r="AH117" i="32"/>
  <c r="AG97" i="32"/>
  <c r="AH97" i="32"/>
  <c r="AG121" i="32"/>
  <c r="AH121" i="32"/>
  <c r="AG84" i="32"/>
  <c r="AH84" i="32"/>
  <c r="AG139" i="32"/>
  <c r="AH139" i="32"/>
  <c r="AG100" i="32"/>
  <c r="AH100" i="32"/>
  <c r="AG86" i="32"/>
  <c r="AH86" i="32"/>
  <c r="O113" i="32"/>
  <c r="W113" i="32"/>
  <c r="W99" i="32"/>
  <c r="AD99" i="32"/>
  <c r="AA99" i="32"/>
  <c r="AD85" i="32"/>
  <c r="AA85" i="32"/>
  <c r="AD90" i="32"/>
  <c r="AA90" i="32"/>
  <c r="K91" i="32"/>
  <c r="S115" i="32"/>
  <c r="AD122" i="32"/>
  <c r="AA122" i="32"/>
  <c r="AD123" i="32"/>
  <c r="AA123" i="32"/>
  <c r="S152" i="32"/>
  <c r="K124" i="32"/>
  <c r="W86" i="32"/>
  <c r="AD87" i="32"/>
  <c r="AA87" i="32"/>
  <c r="O114" i="32"/>
  <c r="K134" i="32"/>
  <c r="W92" i="32"/>
  <c r="S88" i="32"/>
  <c r="W97" i="32"/>
  <c r="O94" i="32"/>
  <c r="X156" i="32"/>
  <c r="A370" i="21"/>
  <c r="C370" i="21" s="1"/>
  <c r="AF140" i="32"/>
  <c r="A426" i="21"/>
  <c r="C426" i="21" s="1"/>
  <c r="P152" i="32"/>
  <c r="A428" i="21"/>
  <c r="C428" i="21" s="1"/>
  <c r="X152" i="32"/>
  <c r="L148" i="32"/>
  <c r="A409" i="21"/>
  <c r="C409" i="21" s="1"/>
  <c r="AB148" i="32"/>
  <c r="A381" i="21"/>
  <c r="C381" i="21" s="1"/>
  <c r="P143" i="32"/>
  <c r="A431" i="21"/>
  <c r="C431" i="21" s="1"/>
  <c r="P153" i="32"/>
  <c r="A432" i="21"/>
  <c r="C432" i="21" s="1"/>
  <c r="T153" i="32"/>
  <c r="A399" i="21"/>
  <c r="C399" i="21" s="1"/>
  <c r="AB146" i="32"/>
  <c r="A397" i="21"/>
  <c r="C397" i="21" s="1"/>
  <c r="T146" i="32"/>
  <c r="A405" i="21"/>
  <c r="C405" i="21" s="1"/>
  <c r="AF147" i="32"/>
  <c r="A439" i="21"/>
  <c r="C439" i="21" s="1"/>
  <c r="AB154" i="32"/>
  <c r="L150" i="32"/>
  <c r="A420" i="21"/>
  <c r="C420" i="21" s="1"/>
  <c r="AF150" i="32"/>
  <c r="A391" i="21"/>
  <c r="C391" i="21" s="1"/>
  <c r="A392" i="21"/>
  <c r="C392" i="21" s="1"/>
  <c r="T145" i="32"/>
  <c r="L157" i="32"/>
  <c r="A454" i="21"/>
  <c r="C454" i="21" s="1"/>
  <c r="AB157" i="32"/>
  <c r="A458" i="21"/>
  <c r="C458" i="21" s="1"/>
  <c r="X158" i="32"/>
  <c r="AG153" i="32"/>
  <c r="AH153" i="32"/>
  <c r="AG112" i="32"/>
  <c r="AH112" i="32"/>
  <c r="AG93" i="32"/>
  <c r="AH93" i="32"/>
  <c r="AG94" i="32"/>
  <c r="AH94" i="32"/>
  <c r="AG105" i="32"/>
  <c r="AH105" i="32"/>
  <c r="AG115" i="32"/>
  <c r="AH115" i="32"/>
  <c r="AG118" i="32"/>
  <c r="AH118" i="32"/>
  <c r="AG87" i="32"/>
  <c r="AH87" i="32"/>
  <c r="K113" i="32"/>
  <c r="S119" i="32"/>
  <c r="AD119" i="32"/>
  <c r="AA119" i="32"/>
  <c r="S99" i="32"/>
  <c r="K84" i="32"/>
  <c r="AD84" i="32"/>
  <c r="AA84" i="32"/>
  <c r="W143" i="32"/>
  <c r="O104" i="32"/>
  <c r="K85" i="32"/>
  <c r="W85" i="32"/>
  <c r="O90" i="32"/>
  <c r="AD133" i="32"/>
  <c r="AA133" i="32"/>
  <c r="O105" i="32"/>
  <c r="O91" i="32"/>
  <c r="S146" i="32"/>
  <c r="AD146" i="32"/>
  <c r="AA146" i="32"/>
  <c r="O102" i="32"/>
  <c r="O115" i="32"/>
  <c r="W118" i="32"/>
  <c r="K122" i="32"/>
  <c r="O95" i="32"/>
  <c r="AD95" i="32"/>
  <c r="AA95" i="32"/>
  <c r="S151" i="32"/>
  <c r="S139" i="32"/>
  <c r="W123" i="32"/>
  <c r="O100" i="32"/>
  <c r="AD100" i="32"/>
  <c r="AA100" i="32"/>
  <c r="S140" i="32"/>
  <c r="O124" i="32"/>
  <c r="S86" i="32"/>
  <c r="AD86" i="32"/>
  <c r="AA86" i="32"/>
  <c r="AD145" i="32"/>
  <c r="AA145" i="32"/>
  <c r="W87" i="32"/>
  <c r="K116" i="32"/>
  <c r="W116" i="32"/>
  <c r="W114" i="32"/>
  <c r="S117" i="32"/>
  <c r="S134" i="32"/>
  <c r="S106" i="32"/>
  <c r="AD106" i="32"/>
  <c r="AA106" i="32"/>
  <c r="S92" i="32"/>
  <c r="K111" i="32"/>
  <c r="AD111" i="32"/>
  <c r="AA111" i="32"/>
  <c r="S96" i="32"/>
  <c r="S148" i="32"/>
  <c r="K101" i="32"/>
  <c r="W101" i="32"/>
  <c r="S98" i="32"/>
  <c r="AD98" i="32"/>
  <c r="AA98" i="32"/>
  <c r="K83" i="32"/>
  <c r="O112" i="32"/>
  <c r="AD120" i="32"/>
  <c r="AA120" i="32"/>
  <c r="AD93" i="32"/>
  <c r="AA93" i="32"/>
  <c r="S103" i="32"/>
  <c r="K88" i="32"/>
  <c r="AD88" i="32"/>
  <c r="AA88" i="32"/>
  <c r="O89" i="32"/>
  <c r="W89" i="32"/>
  <c r="K97" i="32"/>
  <c r="K121" i="32"/>
  <c r="S94" i="32"/>
  <c r="H96" i="32"/>
  <c r="L140" i="32"/>
  <c r="A382" i="21"/>
  <c r="C382" i="21" s="1"/>
  <c r="T143" i="32"/>
  <c r="A402" i="21"/>
  <c r="C402" i="21" s="1"/>
  <c r="T147" i="32"/>
  <c r="A440" i="21"/>
  <c r="C440" i="21" s="1"/>
  <c r="AF154" i="32"/>
  <c r="L158" i="32"/>
  <c r="AG116" i="32"/>
  <c r="AH116" i="32"/>
  <c r="AG134" i="32"/>
  <c r="AH134" i="32"/>
  <c r="AG88" i="32"/>
  <c r="AH88" i="32"/>
  <c r="AG85" i="32"/>
  <c r="AH85" i="32"/>
  <c r="AG95" i="32"/>
  <c r="AH95" i="32"/>
  <c r="AG140" i="32"/>
  <c r="AH140" i="32"/>
  <c r="K119" i="32"/>
  <c r="S84" i="32"/>
  <c r="K104" i="32"/>
  <c r="AD104" i="32"/>
  <c r="AA104" i="32"/>
  <c r="K90" i="32"/>
  <c r="K105" i="32"/>
  <c r="AD91" i="32"/>
  <c r="AA91" i="32"/>
  <c r="O158" i="32"/>
  <c r="S102" i="32"/>
  <c r="AD115" i="32"/>
  <c r="AA115" i="32"/>
  <c r="O118" i="32"/>
  <c r="S122" i="32"/>
  <c r="K95" i="32"/>
  <c r="O139" i="32"/>
  <c r="K123" i="32"/>
  <c r="S100" i="32"/>
  <c r="O140" i="32"/>
  <c r="W124" i="32"/>
  <c r="O87" i="32"/>
  <c r="AD116" i="32"/>
  <c r="AA116" i="32"/>
  <c r="K117" i="32"/>
  <c r="AD134" i="32"/>
  <c r="AA134" i="32"/>
  <c r="W106" i="32"/>
  <c r="S135" i="32"/>
  <c r="O111" i="32"/>
  <c r="W98" i="32"/>
  <c r="K112" i="32"/>
  <c r="S120" i="32"/>
  <c r="K103" i="32"/>
  <c r="AD103" i="32"/>
  <c r="AA103" i="32"/>
  <c r="O97" i="32"/>
  <c r="S121" i="32"/>
  <c r="AD94" i="32"/>
  <c r="AA94" i="32"/>
  <c r="A449" i="21"/>
  <c r="C449" i="21" s="1"/>
  <c r="AB156" i="32"/>
  <c r="L156" i="32"/>
  <c r="A366" i="21"/>
  <c r="C366" i="21" s="1"/>
  <c r="P140" i="32"/>
  <c r="A368" i="21"/>
  <c r="C368" i="21" s="1"/>
  <c r="X140" i="32"/>
  <c r="A429" i="21"/>
  <c r="C429" i="21" s="1"/>
  <c r="AB152" i="32"/>
  <c r="L152" i="32"/>
  <c r="A406" i="21"/>
  <c r="C406" i="21" s="1"/>
  <c r="P148" i="32"/>
  <c r="L143" i="32"/>
  <c r="L153" i="32"/>
  <c r="A434" i="21"/>
  <c r="C434" i="21" s="1"/>
  <c r="AB153" i="32"/>
  <c r="X149" i="32"/>
  <c r="A396" i="21"/>
  <c r="C396" i="21" s="1"/>
  <c r="P146" i="32"/>
  <c r="A400" i="21"/>
  <c r="C400" i="21" s="1"/>
  <c r="AF146" i="32"/>
  <c r="A404" i="21"/>
  <c r="C404" i="21" s="1"/>
  <c r="AB147" i="32"/>
  <c r="A363" i="21"/>
  <c r="C363" i="21" s="1"/>
  <c r="X139" i="32"/>
  <c r="A436" i="21"/>
  <c r="C436" i="21" s="1"/>
  <c r="P154" i="32"/>
  <c r="L85" i="32"/>
  <c r="A416" i="21"/>
  <c r="C416" i="21" s="1"/>
  <c r="P150" i="32"/>
  <c r="A418" i="21"/>
  <c r="C418" i="21" s="1"/>
  <c r="X150" i="32"/>
  <c r="A425" i="21"/>
  <c r="C425" i="21" s="1"/>
  <c r="AF151" i="32"/>
  <c r="A424" i="21"/>
  <c r="C424" i="21" s="1"/>
  <c r="AB151" i="32"/>
  <c r="A395" i="21"/>
  <c r="C395" i="21" s="1"/>
  <c r="L145" i="32"/>
  <c r="A451" i="21"/>
  <c r="C451" i="21" s="1"/>
  <c r="P157" i="32"/>
  <c r="A455" i="21"/>
  <c r="C455" i="21" s="1"/>
  <c r="AF157" i="32"/>
  <c r="A457" i="21"/>
  <c r="C457" i="21" s="1"/>
  <c r="T158" i="32"/>
  <c r="AG96" i="32"/>
  <c r="AH96" i="32"/>
  <c r="AG98" i="32"/>
  <c r="AH98" i="32"/>
  <c r="AG83" i="32"/>
  <c r="AH83" i="32"/>
  <c r="AG103" i="32"/>
  <c r="AH103" i="32"/>
  <c r="AG157" i="32"/>
  <c r="AH157" i="32"/>
  <c r="AG89" i="32"/>
  <c r="AH89" i="32"/>
  <c r="AG154" i="32"/>
  <c r="AH154" i="32"/>
  <c r="AG99" i="32"/>
  <c r="AH99" i="32"/>
  <c r="AG143" i="32"/>
  <c r="AH143" i="32"/>
  <c r="AG104" i="32"/>
  <c r="AH104" i="32"/>
  <c r="AG90" i="32"/>
  <c r="AH90" i="32"/>
  <c r="AG122" i="32"/>
  <c r="AH122" i="32"/>
  <c r="AG151" i="32"/>
  <c r="AH151" i="32"/>
  <c r="AG123" i="32"/>
  <c r="AH123" i="32"/>
  <c r="AG124" i="32"/>
  <c r="AH124" i="32"/>
  <c r="AG129" i="32"/>
  <c r="S113" i="32"/>
  <c r="O119" i="32"/>
  <c r="O99" i="32"/>
  <c r="W84" i="32"/>
  <c r="AD143" i="32"/>
  <c r="AA143" i="32"/>
  <c r="W104" i="32"/>
  <c r="S85" i="32"/>
  <c r="U90" i="32"/>
  <c r="V90" i="32"/>
  <c r="O133" i="32"/>
  <c r="AD105" i="32"/>
  <c r="AA105" i="32"/>
  <c r="W91" i="32"/>
  <c r="K146" i="32"/>
  <c r="S158" i="32"/>
  <c r="AD158" i="32"/>
  <c r="AA158" i="32"/>
  <c r="W102" i="32"/>
  <c r="W115" i="32"/>
  <c r="K118" i="32"/>
  <c r="AD118" i="32"/>
  <c r="AA118" i="32"/>
  <c r="O122" i="32"/>
  <c r="S95" i="32"/>
  <c r="W139" i="32"/>
  <c r="O123" i="32"/>
  <c r="K100" i="32"/>
  <c r="K152" i="32"/>
  <c r="W152" i="32"/>
  <c r="AD140" i="32"/>
  <c r="S124" i="32"/>
  <c r="O86" i="32"/>
  <c r="O145" i="32"/>
  <c r="W145" i="32"/>
  <c r="AD129" i="32"/>
  <c r="AA129" i="32"/>
  <c r="S87" i="32"/>
  <c r="O116" i="32"/>
  <c r="S114" i="32"/>
  <c r="AD114" i="32"/>
  <c r="AA114" i="32"/>
  <c r="AD117" i="32"/>
  <c r="AA117" i="32"/>
  <c r="O134" i="32"/>
  <c r="K106" i="32"/>
  <c r="O92" i="32"/>
  <c r="AD92" i="32"/>
  <c r="AA92" i="32"/>
  <c r="W111" i="32"/>
  <c r="W96" i="32"/>
  <c r="AD96" i="32"/>
  <c r="AA96" i="32"/>
  <c r="AD148" i="32"/>
  <c r="AA148" i="32"/>
  <c r="S101" i="32"/>
  <c r="O125" i="32"/>
  <c r="O98" i="32"/>
  <c r="W83" i="32"/>
  <c r="AD83" i="32"/>
  <c r="AA83" i="32"/>
  <c r="S112" i="32"/>
  <c r="K120" i="32"/>
  <c r="W120" i="32"/>
  <c r="W93" i="32"/>
  <c r="O103" i="32"/>
  <c r="O88" i="32"/>
  <c r="K157" i="32"/>
  <c r="S89" i="32"/>
  <c r="AD154" i="32"/>
  <c r="AA154" i="32"/>
  <c r="S97" i="32"/>
  <c r="AA121" i="32"/>
  <c r="K94" i="32"/>
  <c r="A385" i="21"/>
  <c r="C385" i="21" s="1"/>
  <c r="AF143" i="32"/>
  <c r="A401" i="21"/>
  <c r="C401" i="21" s="1"/>
  <c r="P147" i="32"/>
  <c r="A361" i="21"/>
  <c r="C361" i="21" s="1"/>
  <c r="P139" i="32"/>
  <c r="A438" i="21"/>
  <c r="C438" i="21" s="1"/>
  <c r="X154" i="32"/>
  <c r="A417" i="21"/>
  <c r="C417" i="21" s="1"/>
  <c r="T150" i="32"/>
  <c r="L151" i="32"/>
  <c r="A394" i="21"/>
  <c r="C394" i="21" s="1"/>
  <c r="AB145" i="32"/>
  <c r="A453" i="21"/>
  <c r="C453" i="21" s="1"/>
  <c r="X157" i="32"/>
  <c r="A459" i="21"/>
  <c r="C459" i="21" s="1"/>
  <c r="AB158" i="32"/>
  <c r="AG114" i="32"/>
  <c r="AH114" i="32"/>
  <c r="AG106" i="32"/>
  <c r="AH106" i="32"/>
  <c r="AG101" i="32"/>
  <c r="AH101" i="32"/>
  <c r="AG119" i="32"/>
  <c r="AH119" i="32"/>
  <c r="AD135" i="32"/>
  <c r="AA135" i="32"/>
  <c r="AD101" i="32"/>
  <c r="AA101" i="32"/>
  <c r="O83" i="32"/>
  <c r="W112" i="32"/>
  <c r="O93" i="32"/>
  <c r="AD89" i="32"/>
  <c r="AA89" i="32"/>
  <c r="A450" i="21"/>
  <c r="C450" i="21" s="1"/>
  <c r="AF156" i="32"/>
  <c r="A446" i="21"/>
  <c r="C446" i="21" s="1"/>
  <c r="P156" i="32"/>
  <c r="A369" i="21"/>
  <c r="C369" i="21" s="1"/>
  <c r="AB140" i="32"/>
  <c r="A367" i="21"/>
  <c r="C367" i="21" s="1"/>
  <c r="T140" i="32"/>
  <c r="A427" i="21"/>
  <c r="C427" i="21" s="1"/>
  <c r="T152" i="32"/>
  <c r="A407" i="21"/>
  <c r="C407" i="21" s="1"/>
  <c r="T148" i="32"/>
  <c r="A435" i="21"/>
  <c r="C435" i="21" s="1"/>
  <c r="AF153" i="32"/>
  <c r="L146" i="32"/>
  <c r="A403" i="21"/>
  <c r="C403" i="21" s="1"/>
  <c r="X147" i="32"/>
  <c r="A362" i="21"/>
  <c r="C362" i="21" s="1"/>
  <c r="T139" i="32"/>
  <c r="A364" i="21"/>
  <c r="C364" i="21" s="1"/>
  <c r="AB139" i="32"/>
  <c r="A437" i="21"/>
  <c r="C437" i="21" s="1"/>
  <c r="T154" i="32"/>
  <c r="L154" i="32"/>
  <c r="A419" i="21"/>
  <c r="C419" i="21" s="1"/>
  <c r="AB150" i="32"/>
  <c r="A421" i="21"/>
  <c r="C421" i="21" s="1"/>
  <c r="A393" i="21"/>
  <c r="C393" i="21" s="1"/>
  <c r="X145" i="32"/>
  <c r="A452" i="21"/>
  <c r="C452" i="21" s="1"/>
  <c r="T157" i="32"/>
  <c r="A460" i="21"/>
  <c r="C460" i="21" s="1"/>
  <c r="AF158" i="32"/>
  <c r="A456" i="21"/>
  <c r="C456" i="21" s="1"/>
  <c r="P158" i="32"/>
  <c r="D419" i="21"/>
  <c r="AC150" i="32"/>
  <c r="AG92" i="32"/>
  <c r="AH92" i="32"/>
  <c r="AG147" i="32"/>
  <c r="AH147" i="32"/>
  <c r="AG135" i="32"/>
  <c r="AH135" i="32"/>
  <c r="AG111" i="32"/>
  <c r="AH111" i="32"/>
  <c r="AG125" i="32"/>
  <c r="AH125" i="32"/>
  <c r="AG120" i="32"/>
  <c r="AH120" i="32"/>
  <c r="AG113" i="32"/>
  <c r="AH113" i="32"/>
  <c r="AG91" i="32"/>
  <c r="AH91" i="32"/>
  <c r="AG158" i="32"/>
  <c r="AH158" i="32"/>
  <c r="AG156" i="32"/>
  <c r="AH156" i="32"/>
  <c r="AG145" i="32"/>
  <c r="AH145" i="32"/>
  <c r="AG102" i="32"/>
  <c r="AH102" i="32"/>
  <c r="AD113" i="32"/>
  <c r="AA113" i="32"/>
  <c r="W119" i="32"/>
  <c r="K99" i="32"/>
  <c r="O84" i="32"/>
  <c r="S104" i="32"/>
  <c r="O85" i="32"/>
  <c r="W128" i="32"/>
  <c r="W90" i="32"/>
  <c r="K133" i="32"/>
  <c r="S105" i="32"/>
  <c r="W105" i="32"/>
  <c r="S91" i="32"/>
  <c r="O146" i="32"/>
  <c r="K158" i="32"/>
  <c r="K102" i="32"/>
  <c r="AD102" i="32"/>
  <c r="AA102" i="32"/>
  <c r="K115" i="32"/>
  <c r="S118" i="32"/>
  <c r="W122" i="32"/>
  <c r="W95" i="32"/>
  <c r="K139" i="32"/>
  <c r="AD139" i="32"/>
  <c r="AA139" i="32"/>
  <c r="S123" i="32"/>
  <c r="W100" i="32"/>
  <c r="K140" i="32"/>
  <c r="W140" i="32"/>
  <c r="AD124" i="32"/>
  <c r="AA124" i="32"/>
  <c r="K86" i="32"/>
  <c r="K145" i="32"/>
  <c r="K87" i="32"/>
  <c r="S116" i="32"/>
  <c r="K114" i="32"/>
  <c r="O117" i="32"/>
  <c r="W117" i="32"/>
  <c r="W134" i="32"/>
  <c r="O106" i="32"/>
  <c r="K92" i="32"/>
  <c r="AD147" i="32"/>
  <c r="AA147" i="32"/>
  <c r="K135" i="32"/>
  <c r="S111" i="32"/>
  <c r="K96" i="32"/>
  <c r="K148" i="32"/>
  <c r="W148" i="32"/>
  <c r="O101" i="32"/>
  <c r="K98" i="32"/>
  <c r="S83" i="32"/>
  <c r="AD112" i="32"/>
  <c r="AA112" i="32"/>
  <c r="O120" i="32"/>
  <c r="K93" i="32"/>
  <c r="W88" i="32"/>
  <c r="AD97" i="32"/>
  <c r="K137" i="32"/>
  <c r="O121" i="32"/>
  <c r="W121" i="32"/>
  <c r="W94" i="32"/>
  <c r="P83" i="32"/>
  <c r="H83" i="32"/>
  <c r="D399" i="21"/>
  <c r="D369" i="21"/>
  <c r="D364" i="21"/>
  <c r="D384" i="21"/>
  <c r="D409" i="21"/>
  <c r="D439" i="21"/>
  <c r="D454" i="21"/>
  <c r="D459" i="21"/>
  <c r="D434" i="21"/>
  <c r="A470" i="21" l="1"/>
  <c r="C470" i="21" s="1"/>
  <c r="Z80" i="32"/>
  <c r="Z160" i="32" s="1"/>
  <c r="W158" i="32"/>
  <c r="AD80" i="32"/>
  <c r="AD160" i="32" s="1"/>
  <c r="AG80" i="32"/>
  <c r="AG160" i="32" s="1"/>
  <c r="R80" i="32"/>
  <c r="Q80" i="32" s="1"/>
  <c r="A447" i="21"/>
  <c r="C447" i="21" s="1"/>
  <c r="AA153" i="32"/>
  <c r="K153" i="32"/>
  <c r="AA157" i="32"/>
  <c r="AD151" i="32"/>
  <c r="D424" i="21"/>
  <c r="X151" i="32"/>
  <c r="N151" i="32"/>
  <c r="T151" i="32"/>
  <c r="AH152" i="32"/>
  <c r="O153" i="32"/>
  <c r="W155" i="32"/>
  <c r="W157" i="32"/>
  <c r="W133" i="32"/>
  <c r="AG142" i="32"/>
  <c r="L147" i="32"/>
  <c r="K125" i="32"/>
  <c r="O147" i="32"/>
  <c r="D404" i="21"/>
  <c r="K147" i="32"/>
  <c r="K128" i="32"/>
  <c r="W154" i="32"/>
  <c r="AF148" i="32"/>
  <c r="AA149" i="32"/>
  <c r="AH148" i="32"/>
  <c r="AG150" i="32"/>
  <c r="D394" i="21"/>
  <c r="AA152" i="32"/>
  <c r="S157" i="32"/>
  <c r="A443" i="21"/>
  <c r="C443" i="21" s="1"/>
  <c r="A464" i="21"/>
  <c r="C464" i="21" s="1"/>
  <c r="D449" i="21"/>
  <c r="AA159" i="32"/>
  <c r="S145" i="32"/>
  <c r="Z147" i="32"/>
  <c r="AG146" i="32"/>
  <c r="W153" i="32"/>
  <c r="O154" i="32"/>
  <c r="V153" i="32"/>
  <c r="K143" i="32"/>
  <c r="AD144" i="32"/>
  <c r="AF159" i="32"/>
  <c r="K155" i="32"/>
  <c r="D464" i="21"/>
  <c r="A462" i="21"/>
  <c r="C462" i="21" s="1"/>
  <c r="W146" i="32"/>
  <c r="O149" i="32"/>
  <c r="AH128" i="32"/>
  <c r="S141" i="32"/>
  <c r="X143" i="32"/>
  <c r="A384" i="21"/>
  <c r="C384" i="21" s="1"/>
  <c r="A463" i="21"/>
  <c r="C463" i="21" s="1"/>
  <c r="O135" i="32"/>
  <c r="AG133" i="32"/>
  <c r="S137" i="32"/>
  <c r="AD136" i="32"/>
  <c r="S133" i="32"/>
  <c r="D374" i="21"/>
  <c r="AH136" i="32"/>
  <c r="O143" i="32"/>
  <c r="K142" i="32"/>
  <c r="AD150" i="32"/>
  <c r="K129" i="32"/>
  <c r="X141" i="32"/>
  <c r="O159" i="32"/>
  <c r="X144" i="32"/>
  <c r="AF142" i="32"/>
  <c r="P155" i="32"/>
  <c r="W138" i="32"/>
  <c r="O136" i="32"/>
  <c r="W142" i="32"/>
  <c r="AA126" i="32"/>
  <c r="W132" i="32"/>
  <c r="AG131" i="32"/>
  <c r="AD128" i="32"/>
  <c r="O128" i="32"/>
  <c r="Q129" i="32"/>
  <c r="AA142" i="32"/>
  <c r="O131" i="32"/>
  <c r="W127" i="32"/>
  <c r="Z129" i="32"/>
  <c r="S128" i="32"/>
  <c r="AG130" i="32"/>
  <c r="M130" i="32"/>
  <c r="S129" i="32"/>
  <c r="AA130" i="32"/>
  <c r="W141" i="32"/>
  <c r="W144" i="32"/>
  <c r="M136" i="32"/>
  <c r="D444" i="21"/>
  <c r="S125" i="32"/>
  <c r="S136" i="32"/>
  <c r="AA132" i="32"/>
  <c r="A467" i="21"/>
  <c r="C467" i="21" s="1"/>
  <c r="AF141" i="32"/>
  <c r="AD127" i="32"/>
  <c r="N126" i="32"/>
  <c r="Y125" i="32"/>
  <c r="AA125" i="32"/>
  <c r="AG159" i="32"/>
  <c r="S144" i="32"/>
  <c r="AH137" i="32"/>
  <c r="W151" i="32"/>
  <c r="A372" i="21"/>
  <c r="C372" i="21" s="1"/>
  <c r="AH138" i="32"/>
  <c r="AD138" i="32"/>
  <c r="A442" i="21"/>
  <c r="C442" i="21" s="1"/>
  <c r="V132" i="32"/>
  <c r="O141" i="32"/>
  <c r="AG141" i="32"/>
  <c r="N156" i="32"/>
  <c r="X142" i="32"/>
  <c r="AB149" i="32"/>
  <c r="AH127" i="32"/>
  <c r="K149" i="32"/>
  <c r="AA141" i="32"/>
  <c r="K141" i="32"/>
  <c r="AA137" i="32"/>
  <c r="AA155" i="32"/>
  <c r="O127" i="32"/>
  <c r="AF144" i="32"/>
  <c r="AH132" i="32"/>
  <c r="P160" i="32"/>
  <c r="W137" i="32"/>
  <c r="P144" i="32"/>
  <c r="AB160" i="32"/>
  <c r="K138" i="32"/>
  <c r="D414" i="21"/>
  <c r="T144" i="32"/>
  <c r="W126" i="32"/>
  <c r="AH155" i="32"/>
  <c r="P141" i="32"/>
  <c r="A411" i="21"/>
  <c r="C411" i="21" s="1"/>
  <c r="W131" i="32"/>
  <c r="AF155" i="32"/>
  <c r="V159" i="32"/>
  <c r="AB144" i="32"/>
  <c r="Z136" i="32"/>
  <c r="AH144" i="32"/>
  <c r="U130" i="32"/>
  <c r="Q137" i="32"/>
  <c r="V149" i="32"/>
  <c r="D435" i="21"/>
  <c r="P159" i="32"/>
  <c r="L141" i="32"/>
  <c r="D385" i="21"/>
  <c r="N80" i="32"/>
  <c r="M80" i="32" s="1"/>
  <c r="AD156" i="32"/>
  <c r="K127" i="32"/>
  <c r="W149" i="32"/>
  <c r="D380" i="21"/>
  <c r="W130" i="32"/>
  <c r="S155" i="32"/>
  <c r="S127" i="32"/>
  <c r="S150" i="32"/>
  <c r="O138" i="32"/>
  <c r="L159" i="32"/>
  <c r="S126" i="32"/>
  <c r="AG149" i="32"/>
  <c r="A379" i="21"/>
  <c r="C379" i="21" s="1"/>
  <c r="AB141" i="32"/>
  <c r="P142" i="32"/>
  <c r="O130" i="32"/>
  <c r="O126" i="32"/>
  <c r="X160" i="32"/>
  <c r="K131" i="32"/>
  <c r="D379" i="21"/>
  <c r="W156" i="32"/>
  <c r="M132" i="32"/>
  <c r="AG144" i="32"/>
  <c r="D390" i="21"/>
  <c r="R150" i="32"/>
  <c r="S154" i="32"/>
  <c r="S138" i="32"/>
  <c r="O144" i="32"/>
  <c r="S142" i="32"/>
  <c r="AF149" i="32"/>
  <c r="AB155" i="32"/>
  <c r="S131" i="32"/>
  <c r="L155" i="32"/>
  <c r="T142" i="32"/>
  <c r="AH126" i="32"/>
  <c r="D445" i="21"/>
  <c r="D389" i="21"/>
  <c r="R157" i="32"/>
  <c r="T149" i="32"/>
  <c r="D469" i="21"/>
  <c r="D365" i="21"/>
  <c r="W103" i="32"/>
  <c r="K150" i="32"/>
  <c r="AA131" i="32"/>
  <c r="S156" i="32"/>
  <c r="D370" i="21"/>
  <c r="S160" i="32"/>
  <c r="W150" i="32"/>
  <c r="D460" i="21"/>
  <c r="D455" i="21"/>
  <c r="D410" i="21"/>
  <c r="D430" i="21"/>
  <c r="D425" i="21"/>
  <c r="D405" i="21"/>
  <c r="D440" i="21"/>
  <c r="D450" i="21"/>
  <c r="D395" i="21"/>
  <c r="N89" i="32"/>
  <c r="M89" i="32"/>
  <c r="N148" i="32"/>
  <c r="V111" i="32"/>
  <c r="U111" i="32"/>
  <c r="N92" i="32"/>
  <c r="M92" i="32"/>
  <c r="N140" i="32"/>
  <c r="Y100" i="32"/>
  <c r="Z100" i="32"/>
  <c r="Y112" i="32"/>
  <c r="Z112" i="32"/>
  <c r="U125" i="32"/>
  <c r="V125" i="32"/>
  <c r="N94" i="32"/>
  <c r="M94" i="32"/>
  <c r="Z137" i="32"/>
  <c r="Y137" i="32"/>
  <c r="N149" i="32"/>
  <c r="N154" i="32"/>
  <c r="Z157" i="32"/>
  <c r="R88" i="32"/>
  <c r="Q88" i="32"/>
  <c r="Y130" i="32"/>
  <c r="Z130" i="32"/>
  <c r="Z120" i="32"/>
  <c r="Y120" i="32"/>
  <c r="Z83" i="32"/>
  <c r="Y83" i="32"/>
  <c r="Q125" i="32"/>
  <c r="R125" i="32"/>
  <c r="Z153" i="32"/>
  <c r="V101" i="32"/>
  <c r="U101" i="32"/>
  <c r="Y96" i="32"/>
  <c r="Z96" i="32"/>
  <c r="Z135" i="32"/>
  <c r="Y135" i="32"/>
  <c r="N106" i="32"/>
  <c r="M106" i="32"/>
  <c r="V114" i="32"/>
  <c r="U114" i="32"/>
  <c r="U87" i="32"/>
  <c r="V87" i="32"/>
  <c r="Z145" i="32"/>
  <c r="Q86" i="32"/>
  <c r="R86" i="32"/>
  <c r="N152" i="32"/>
  <c r="Q123" i="32"/>
  <c r="R123" i="32"/>
  <c r="U95" i="32"/>
  <c r="V95" i="32"/>
  <c r="Y138" i="32"/>
  <c r="Z138" i="32"/>
  <c r="M118" i="32"/>
  <c r="N118" i="32"/>
  <c r="Y115" i="32"/>
  <c r="Z115" i="32"/>
  <c r="N146" i="32"/>
  <c r="Q133" i="32"/>
  <c r="R133" i="32"/>
  <c r="Z144" i="32"/>
  <c r="U85" i="32"/>
  <c r="V85" i="32"/>
  <c r="M127" i="32"/>
  <c r="N127" i="32"/>
  <c r="R143" i="32"/>
  <c r="Q99" i="32"/>
  <c r="R99" i="32"/>
  <c r="Q119" i="32"/>
  <c r="R119" i="32"/>
  <c r="R154" i="32"/>
  <c r="V157" i="32"/>
  <c r="M103" i="32"/>
  <c r="N103" i="32"/>
  <c r="M112" i="32"/>
  <c r="N112" i="32"/>
  <c r="N141" i="32"/>
  <c r="Q111" i="32"/>
  <c r="R111" i="32"/>
  <c r="V147" i="32"/>
  <c r="V145" i="32"/>
  <c r="R140" i="32"/>
  <c r="M123" i="32"/>
  <c r="N123" i="32"/>
  <c r="M95" i="32"/>
  <c r="N95" i="32"/>
  <c r="Q118" i="32"/>
  <c r="R118" i="32"/>
  <c r="U102" i="32"/>
  <c r="V102" i="32"/>
  <c r="V155" i="32"/>
  <c r="V144" i="32"/>
  <c r="M104" i="32"/>
  <c r="N104" i="32"/>
  <c r="U84" i="32"/>
  <c r="V84" i="32"/>
  <c r="M119" i="32"/>
  <c r="N119" i="32"/>
  <c r="O96" i="32"/>
  <c r="V156" i="32"/>
  <c r="V94" i="32"/>
  <c r="U94" i="32"/>
  <c r="R149" i="32"/>
  <c r="Y89" i="32"/>
  <c r="Z89" i="32"/>
  <c r="N88" i="32"/>
  <c r="M88" i="32"/>
  <c r="Q130" i="32"/>
  <c r="R130" i="32"/>
  <c r="Z159" i="32"/>
  <c r="M125" i="32"/>
  <c r="N125" i="32"/>
  <c r="M101" i="32"/>
  <c r="N101" i="32"/>
  <c r="V148" i="32"/>
  <c r="Q135" i="32"/>
  <c r="R135" i="32"/>
  <c r="U92" i="32"/>
  <c r="V92" i="32"/>
  <c r="U106" i="32"/>
  <c r="V106" i="32"/>
  <c r="U117" i="32"/>
  <c r="V117" i="32"/>
  <c r="Y116" i="32"/>
  <c r="Z116" i="32"/>
  <c r="Y87" i="32"/>
  <c r="Z87" i="32"/>
  <c r="U86" i="32"/>
  <c r="V86" i="32"/>
  <c r="V140" i="32"/>
  <c r="Y123" i="32"/>
  <c r="Z123" i="32"/>
  <c r="V151" i="32"/>
  <c r="Q95" i="32"/>
  <c r="R95" i="32"/>
  <c r="Q138" i="32"/>
  <c r="R138" i="32"/>
  <c r="Q115" i="32"/>
  <c r="R115" i="32"/>
  <c r="Z158" i="32"/>
  <c r="V146" i="32"/>
  <c r="Q105" i="32"/>
  <c r="R105" i="32"/>
  <c r="Q90" i="32"/>
  <c r="R90" i="32"/>
  <c r="M85" i="32"/>
  <c r="N85" i="32"/>
  <c r="Q127" i="32"/>
  <c r="R127" i="32"/>
  <c r="U99" i="32"/>
  <c r="V99" i="32"/>
  <c r="Z142" i="32"/>
  <c r="U119" i="32"/>
  <c r="V119" i="32"/>
  <c r="Z150" i="32"/>
  <c r="Q132" i="32"/>
  <c r="R132" i="32"/>
  <c r="U131" i="32"/>
  <c r="V131" i="32"/>
  <c r="R153" i="32"/>
  <c r="Y92" i="32"/>
  <c r="Z92" i="32"/>
  <c r="Q114" i="32"/>
  <c r="R114" i="32"/>
  <c r="M124" i="32"/>
  <c r="N124" i="32"/>
  <c r="Z146" i="32"/>
  <c r="U133" i="32"/>
  <c r="V133" i="32"/>
  <c r="M128" i="32"/>
  <c r="N128" i="32"/>
  <c r="N143" i="32"/>
  <c r="Y99" i="32"/>
  <c r="Z99" i="32"/>
  <c r="Y113" i="32"/>
  <c r="Z113" i="32"/>
  <c r="Y103" i="32"/>
  <c r="Z103" i="32"/>
  <c r="R120" i="32"/>
  <c r="Q120" i="32"/>
  <c r="Z134" i="32"/>
  <c r="Y134" i="32"/>
  <c r="R117" i="32"/>
  <c r="Q117" i="32"/>
  <c r="V116" i="32"/>
  <c r="U116" i="32"/>
  <c r="N145" i="32"/>
  <c r="Y122" i="32"/>
  <c r="Z122" i="32"/>
  <c r="V138" i="32"/>
  <c r="U138" i="32"/>
  <c r="N158" i="32"/>
  <c r="U91" i="32"/>
  <c r="V91" i="32"/>
  <c r="U105" i="32"/>
  <c r="V105" i="32"/>
  <c r="Z155" i="32"/>
  <c r="Y128" i="32"/>
  <c r="Z128" i="32"/>
  <c r="R144" i="32"/>
  <c r="U104" i="32"/>
  <c r="V104" i="32"/>
  <c r="Y127" i="32"/>
  <c r="Z127" i="32"/>
  <c r="Q84" i="32"/>
  <c r="R84" i="32"/>
  <c r="V142" i="32"/>
  <c r="Z121" i="32"/>
  <c r="Y121" i="32"/>
  <c r="N137" i="32"/>
  <c r="M137" i="32"/>
  <c r="R159" i="32"/>
  <c r="N98" i="32"/>
  <c r="M98" i="32"/>
  <c r="Z141" i="32"/>
  <c r="N153" i="32"/>
  <c r="Z156" i="32"/>
  <c r="Z94" i="32"/>
  <c r="Y94" i="32"/>
  <c r="R121" i="32"/>
  <c r="Q121" i="32"/>
  <c r="Z132" i="32"/>
  <c r="Y132" i="32"/>
  <c r="V154" i="32"/>
  <c r="N131" i="32"/>
  <c r="M131" i="32"/>
  <c r="Y88" i="32"/>
  <c r="Z88" i="32"/>
  <c r="M93" i="32"/>
  <c r="N93" i="32"/>
  <c r="V83" i="32"/>
  <c r="U83" i="32"/>
  <c r="V141" i="32"/>
  <c r="R101" i="32"/>
  <c r="Q101" i="32"/>
  <c r="Z148" i="32"/>
  <c r="N96" i="32"/>
  <c r="M96" i="32"/>
  <c r="N135" i="32"/>
  <c r="M135" i="32"/>
  <c r="N147" i="32"/>
  <c r="R106" i="32"/>
  <c r="Q106" i="32"/>
  <c r="Z117" i="32"/>
  <c r="Y117" i="32"/>
  <c r="N114" i="32"/>
  <c r="M114" i="32"/>
  <c r="M87" i="32"/>
  <c r="N87" i="32"/>
  <c r="V129" i="32"/>
  <c r="U129" i="32"/>
  <c r="M86" i="32"/>
  <c r="N86" i="32"/>
  <c r="Z140" i="32"/>
  <c r="R152" i="32"/>
  <c r="U123" i="32"/>
  <c r="V123" i="32"/>
  <c r="M139" i="32"/>
  <c r="N139" i="32"/>
  <c r="Y95" i="32"/>
  <c r="Z95" i="32"/>
  <c r="U118" i="32"/>
  <c r="V118" i="32"/>
  <c r="M115" i="32"/>
  <c r="N115" i="32"/>
  <c r="M102" i="32"/>
  <c r="N102" i="32"/>
  <c r="R146" i="32"/>
  <c r="Y105" i="32"/>
  <c r="Z105" i="32"/>
  <c r="M133" i="32"/>
  <c r="N133" i="32"/>
  <c r="Y90" i="32"/>
  <c r="Z90" i="32"/>
  <c r="Q128" i="32"/>
  <c r="R128" i="32"/>
  <c r="Q85" i="32"/>
  <c r="R85" i="32"/>
  <c r="V143" i="32"/>
  <c r="M99" i="32"/>
  <c r="N99" i="32"/>
  <c r="U126" i="32"/>
  <c r="V126" i="32"/>
  <c r="Y119" i="32"/>
  <c r="Z119" i="32"/>
  <c r="Q93" i="32"/>
  <c r="R93" i="32"/>
  <c r="Q83" i="32"/>
  <c r="R83" i="32"/>
  <c r="N150" i="32"/>
  <c r="V137" i="32"/>
  <c r="U137" i="32"/>
  <c r="V97" i="32"/>
  <c r="U97" i="32"/>
  <c r="V89" i="32"/>
  <c r="U89" i="32"/>
  <c r="Y131" i="32"/>
  <c r="Z131" i="32"/>
  <c r="N157" i="32"/>
  <c r="R103" i="32"/>
  <c r="Q103" i="32"/>
  <c r="Z93" i="32"/>
  <c r="Y93" i="32"/>
  <c r="N120" i="32"/>
  <c r="M120" i="32"/>
  <c r="V112" i="32"/>
  <c r="U112" i="32"/>
  <c r="Q98" i="32"/>
  <c r="R98" i="32"/>
  <c r="V136" i="32"/>
  <c r="U136" i="32"/>
  <c r="Z111" i="32"/>
  <c r="Y111" i="32"/>
  <c r="Q92" i="32"/>
  <c r="R92" i="32"/>
  <c r="R134" i="32"/>
  <c r="Q134" i="32"/>
  <c r="R116" i="32"/>
  <c r="Q116" i="32"/>
  <c r="R145" i="32"/>
  <c r="U124" i="32"/>
  <c r="V124" i="32"/>
  <c r="Z152" i="32"/>
  <c r="M100" i="32"/>
  <c r="N100" i="32"/>
  <c r="Z139" i="32"/>
  <c r="R151" i="32"/>
  <c r="Q122" i="32"/>
  <c r="R122" i="32"/>
  <c r="Y102" i="32"/>
  <c r="Z102" i="32"/>
  <c r="V158" i="32"/>
  <c r="Y91" i="32"/>
  <c r="Z91" i="32"/>
  <c r="Y133" i="32"/>
  <c r="Z133" i="32"/>
  <c r="R155" i="32"/>
  <c r="N144" i="32"/>
  <c r="Y104" i="32"/>
  <c r="Z104" i="32"/>
  <c r="Y84" i="32"/>
  <c r="Z84" i="32"/>
  <c r="Y126" i="32"/>
  <c r="Z126" i="32"/>
  <c r="N142" i="32"/>
  <c r="U113" i="32"/>
  <c r="V113" i="32"/>
  <c r="U80" i="32"/>
  <c r="V160" i="32"/>
  <c r="U121" i="32"/>
  <c r="V121" i="32"/>
  <c r="Q97" i="32"/>
  <c r="R97" i="32"/>
  <c r="U120" i="32"/>
  <c r="V120" i="32"/>
  <c r="Y98" i="32"/>
  <c r="Z98" i="32"/>
  <c r="U135" i="32"/>
  <c r="V135" i="32"/>
  <c r="Y106" i="32"/>
  <c r="Z106" i="32"/>
  <c r="M117" i="32"/>
  <c r="N117" i="32"/>
  <c r="Q87" i="32"/>
  <c r="R87" i="32"/>
  <c r="Y124" i="32"/>
  <c r="Z124" i="32"/>
  <c r="U100" i="32"/>
  <c r="V100" i="32"/>
  <c r="R139" i="32"/>
  <c r="U122" i="32"/>
  <c r="V122" i="32"/>
  <c r="R158" i="32"/>
  <c r="M105" i="32"/>
  <c r="N105" i="32"/>
  <c r="M90" i="32"/>
  <c r="N90" i="32"/>
  <c r="U127" i="32"/>
  <c r="V127" i="32"/>
  <c r="U93" i="32"/>
  <c r="V93" i="32"/>
  <c r="V150" i="32"/>
  <c r="M121" i="32"/>
  <c r="N121" i="32"/>
  <c r="Z149" i="32"/>
  <c r="N97" i="32"/>
  <c r="M97" i="32"/>
  <c r="Z154" i="32"/>
  <c r="R89" i="32"/>
  <c r="Q89" i="32"/>
  <c r="Q131" i="32"/>
  <c r="R131" i="32"/>
  <c r="U103" i="32"/>
  <c r="V103" i="32"/>
  <c r="Q112" i="32"/>
  <c r="R112" i="32"/>
  <c r="M83" i="32"/>
  <c r="N83" i="32"/>
  <c r="U98" i="32"/>
  <c r="V98" i="32"/>
  <c r="R141" i="32"/>
  <c r="Y101" i="32"/>
  <c r="Z101" i="32"/>
  <c r="Q136" i="32"/>
  <c r="R136" i="32"/>
  <c r="U96" i="32"/>
  <c r="V96" i="32"/>
  <c r="M111" i="32"/>
  <c r="N111" i="32"/>
  <c r="R147" i="32"/>
  <c r="U134" i="32"/>
  <c r="V134" i="32"/>
  <c r="Y114" i="32"/>
  <c r="Z114" i="32"/>
  <c r="M116" i="32"/>
  <c r="N116" i="32"/>
  <c r="M129" i="32"/>
  <c r="N129" i="32"/>
  <c r="Q124" i="32"/>
  <c r="R124" i="32"/>
  <c r="Q100" i="32"/>
  <c r="R100" i="32"/>
  <c r="V139" i="32"/>
  <c r="M122" i="32"/>
  <c r="N122" i="32"/>
  <c r="Y118" i="32"/>
  <c r="Z118" i="32"/>
  <c r="Q102" i="32"/>
  <c r="R102" i="32"/>
  <c r="Q91" i="32"/>
  <c r="R91" i="32"/>
  <c r="N155" i="32"/>
  <c r="U128" i="32"/>
  <c r="V128" i="32"/>
  <c r="Y85" i="32"/>
  <c r="Z85" i="32"/>
  <c r="Q104" i="32"/>
  <c r="R104" i="32"/>
  <c r="Z143" i="32"/>
  <c r="M84" i="32"/>
  <c r="N84" i="32"/>
  <c r="Q126" i="32"/>
  <c r="R126" i="32"/>
  <c r="M113" i="32"/>
  <c r="N113" i="32"/>
  <c r="Q94" i="32"/>
  <c r="R94" i="32"/>
  <c r="Y97" i="32"/>
  <c r="Z97" i="32"/>
  <c r="U88" i="32"/>
  <c r="V88" i="32"/>
  <c r="R148" i="32"/>
  <c r="M134" i="32"/>
  <c r="N134" i="32"/>
  <c r="Y86" i="32"/>
  <c r="Z86" i="32"/>
  <c r="V152" i="32"/>
  <c r="Z151" i="32"/>
  <c r="M138" i="32"/>
  <c r="N138" i="32"/>
  <c r="U115" i="32"/>
  <c r="V115" i="32"/>
  <c r="M91" i="32"/>
  <c r="N91" i="32"/>
  <c r="Q113" i="32"/>
  <c r="R113" i="32"/>
  <c r="K58" i="21"/>
  <c r="K57" i="21"/>
  <c r="K56" i="21"/>
  <c r="K55" i="21"/>
  <c r="Y80" i="32" l="1"/>
  <c r="D468" i="21" s="1"/>
  <c r="D470" i="21"/>
  <c r="R160" i="32"/>
  <c r="M156" i="32"/>
  <c r="D420" i="21"/>
  <c r="D400" i="21"/>
  <c r="R142" i="32"/>
  <c r="M126" i="32"/>
  <c r="Y129" i="32"/>
  <c r="R129" i="32"/>
  <c r="N130" i="32"/>
  <c r="Z125" i="32"/>
  <c r="N136" i="32"/>
  <c r="U132" i="32"/>
  <c r="D465" i="21"/>
  <c r="D375" i="21"/>
  <c r="D412" i="21"/>
  <c r="N159" i="32"/>
  <c r="Y136" i="32"/>
  <c r="Q157" i="32"/>
  <c r="V130" i="32"/>
  <c r="D462" i="21"/>
  <c r="R156" i="32"/>
  <c r="N132" i="32"/>
  <c r="R137" i="32"/>
  <c r="D416" i="21"/>
  <c r="N160" i="32"/>
  <c r="D415" i="21"/>
  <c r="Q148" i="32"/>
  <c r="D406" i="21"/>
  <c r="M155" i="32"/>
  <c r="D362" i="21"/>
  <c r="U139" i="32"/>
  <c r="Q141" i="32"/>
  <c r="D371" i="21"/>
  <c r="Q158" i="32"/>
  <c r="D456" i="21"/>
  <c r="Q155" i="32"/>
  <c r="D441" i="21"/>
  <c r="Y152" i="32"/>
  <c r="D428" i="21"/>
  <c r="D396" i="21"/>
  <c r="Q146" i="32"/>
  <c r="Q96" i="32"/>
  <c r="R96" i="32"/>
  <c r="M149" i="32"/>
  <c r="M148" i="32"/>
  <c r="U153" i="32"/>
  <c r="D432" i="21"/>
  <c r="M157" i="32"/>
  <c r="M147" i="32"/>
  <c r="U154" i="32"/>
  <c r="D437" i="21"/>
  <c r="D448" i="21"/>
  <c r="Y156" i="32"/>
  <c r="Y141" i="32"/>
  <c r="D373" i="21"/>
  <c r="Q159" i="32"/>
  <c r="D461" i="21"/>
  <c r="M158" i="32"/>
  <c r="M145" i="32"/>
  <c r="M143" i="32"/>
  <c r="Q153" i="32"/>
  <c r="D431" i="21"/>
  <c r="Y150" i="32"/>
  <c r="D418" i="21"/>
  <c r="Y158" i="32"/>
  <c r="D458" i="21"/>
  <c r="Y159" i="32"/>
  <c r="D463" i="21"/>
  <c r="D387" i="21"/>
  <c r="U144" i="32"/>
  <c r="Q140" i="32"/>
  <c r="D366" i="21"/>
  <c r="U147" i="32"/>
  <c r="D402" i="21"/>
  <c r="M141" i="32"/>
  <c r="Q154" i="32"/>
  <c r="D436" i="21"/>
  <c r="Y144" i="32"/>
  <c r="D388" i="21"/>
  <c r="M146" i="32"/>
  <c r="M152" i="32"/>
  <c r="Y145" i="32"/>
  <c r="D393" i="21"/>
  <c r="Y143" i="32"/>
  <c r="D383" i="21"/>
  <c r="Q142" i="32"/>
  <c r="D376" i="21"/>
  <c r="Q139" i="32"/>
  <c r="D361" i="21"/>
  <c r="D391" i="21"/>
  <c r="Q145" i="32"/>
  <c r="D382" i="21"/>
  <c r="U143" i="32"/>
  <c r="D368" i="21"/>
  <c r="Y140" i="32"/>
  <c r="U152" i="32"/>
  <c r="D427" i="21"/>
  <c r="Q147" i="32"/>
  <c r="D401" i="21"/>
  <c r="Y154" i="32"/>
  <c r="D438" i="21"/>
  <c r="Y149" i="32"/>
  <c r="D413" i="21"/>
  <c r="U150" i="32"/>
  <c r="D417" i="21"/>
  <c r="D467" i="21"/>
  <c r="U160" i="32"/>
  <c r="M142" i="32"/>
  <c r="M144" i="32"/>
  <c r="U158" i="32"/>
  <c r="D457" i="21"/>
  <c r="D421" i="21"/>
  <c r="Q151" i="32"/>
  <c r="Q152" i="32"/>
  <c r="D426" i="21"/>
  <c r="Y155" i="32"/>
  <c r="D443" i="21"/>
  <c r="D433" i="21"/>
  <c r="Y153" i="32"/>
  <c r="Y157" i="32"/>
  <c r="D453" i="21"/>
  <c r="M154" i="32"/>
  <c r="Q160" i="32"/>
  <c r="D466" i="21"/>
  <c r="Y151" i="32"/>
  <c r="D423" i="21"/>
  <c r="Q156" i="32"/>
  <c r="D446" i="21"/>
  <c r="Y139" i="32"/>
  <c r="D363" i="21"/>
  <c r="Y148" i="32"/>
  <c r="D408" i="21"/>
  <c r="Y147" i="32"/>
  <c r="D403" i="21"/>
  <c r="M150" i="32"/>
  <c r="U141" i="32"/>
  <c r="D372" i="21"/>
  <c r="M160" i="32"/>
  <c r="M153" i="32"/>
  <c r="U142" i="32"/>
  <c r="D377" i="21"/>
  <c r="Q144" i="32"/>
  <c r="D386" i="21"/>
  <c r="M151" i="32"/>
  <c r="Y146" i="32"/>
  <c r="D398" i="21"/>
  <c r="M159" i="32"/>
  <c r="Y142" i="32"/>
  <c r="D378" i="21"/>
  <c r="U146" i="32"/>
  <c r="D397" i="21"/>
  <c r="U151" i="32"/>
  <c r="D422" i="21"/>
  <c r="U140" i="32"/>
  <c r="D367" i="21"/>
  <c r="U148" i="32"/>
  <c r="D407" i="21"/>
  <c r="Q149" i="32"/>
  <c r="D411" i="21"/>
  <c r="U156" i="32"/>
  <c r="D447" i="21"/>
  <c r="D442" i="21"/>
  <c r="U155" i="32"/>
  <c r="D392" i="21"/>
  <c r="U145" i="32"/>
  <c r="U157" i="32"/>
  <c r="D452" i="21"/>
  <c r="Q143" i="32"/>
  <c r="D381" i="21"/>
  <c r="M140" i="32"/>
  <c r="K46" i="21"/>
  <c r="K59" i="21"/>
  <c r="K42" i="21"/>
  <c r="K51" i="21"/>
  <c r="K53" i="21"/>
  <c r="K54" i="21"/>
  <c r="K50" i="21"/>
  <c r="K52" i="21"/>
  <c r="K48" i="21"/>
  <c r="K44" i="21"/>
  <c r="K43" i="21"/>
  <c r="K45" i="21"/>
  <c r="K47" i="21"/>
  <c r="K41" i="21"/>
  <c r="K40" i="21"/>
  <c r="K39" i="21"/>
  <c r="Y160" i="32" l="1"/>
  <c r="U149" i="32"/>
  <c r="Q150" i="32"/>
  <c r="U159" i="32"/>
  <c r="D451" i="21"/>
  <c r="D350" i="21" l="1"/>
  <c r="D348" i="21"/>
  <c r="D346" i="21"/>
  <c r="D349" i="21"/>
  <c r="D347" i="21"/>
  <c r="A348" i="21"/>
  <c r="C348" i="21" s="1"/>
  <c r="A350" i="21"/>
  <c r="C350" i="21" s="1"/>
  <c r="A346" i="21"/>
  <c r="C346" i="21" s="1"/>
  <c r="A347" i="21"/>
  <c r="C347" i="21" s="1"/>
  <c r="D290" i="21"/>
  <c r="D288" i="21"/>
  <c r="D286" i="21"/>
  <c r="D289" i="21"/>
  <c r="D287" i="21"/>
  <c r="C288" i="21"/>
  <c r="C290" i="21"/>
  <c r="C286" i="21"/>
  <c r="C289" i="21"/>
  <c r="C287" i="21"/>
  <c r="D325" i="21"/>
  <c r="D323" i="21"/>
  <c r="D321" i="21"/>
  <c r="D324" i="21"/>
  <c r="D322" i="21"/>
  <c r="A325" i="21"/>
  <c r="C325" i="21" s="1"/>
  <c r="A321" i="21"/>
  <c r="C321" i="21" s="1"/>
  <c r="A323" i="21"/>
  <c r="C323" i="21" s="1"/>
  <c r="A322" i="21"/>
  <c r="C322" i="21" s="1"/>
  <c r="A324" i="21"/>
  <c r="C324" i="21" s="1"/>
  <c r="D305" i="21"/>
  <c r="D303" i="21"/>
  <c r="D301" i="21"/>
  <c r="D304" i="21"/>
  <c r="D302" i="21"/>
  <c r="A305" i="21"/>
  <c r="C305" i="21" s="1"/>
  <c r="A301" i="21"/>
  <c r="C301" i="21" s="1"/>
  <c r="A303" i="21"/>
  <c r="C303" i="21" s="1"/>
  <c r="A302" i="21"/>
  <c r="C302" i="21" s="1"/>
  <c r="A304" i="21"/>
  <c r="C304" i="21" s="1"/>
  <c r="D359" i="21"/>
  <c r="D357" i="21"/>
  <c r="D360" i="21"/>
  <c r="D358" i="21"/>
  <c r="D356" i="21"/>
  <c r="A358" i="21"/>
  <c r="C358" i="21" s="1"/>
  <c r="A360" i="21"/>
  <c r="C360" i="21" s="1"/>
  <c r="A356" i="21"/>
  <c r="C356" i="21" s="1"/>
  <c r="A359" i="21"/>
  <c r="C359" i="21" s="1"/>
  <c r="A357" i="21"/>
  <c r="C357" i="21" s="1"/>
  <c r="D279" i="21"/>
  <c r="D277" i="21"/>
  <c r="D280" i="21"/>
  <c r="D278" i="21"/>
  <c r="D276" i="21"/>
  <c r="A278" i="21"/>
  <c r="C278" i="21" s="1"/>
  <c r="A280" i="21"/>
  <c r="C280" i="21" s="1"/>
  <c r="A276" i="21"/>
  <c r="C276" i="21" s="1"/>
  <c r="A279" i="21"/>
  <c r="C279" i="21" s="1"/>
  <c r="A277" i="21"/>
  <c r="C277" i="21" s="1"/>
  <c r="D274" i="21"/>
  <c r="D272" i="21"/>
  <c r="D275" i="21"/>
  <c r="D273" i="21"/>
  <c r="D271" i="21"/>
  <c r="A275" i="21"/>
  <c r="C275" i="21" s="1"/>
  <c r="A271" i="21"/>
  <c r="C271" i="21" s="1"/>
  <c r="A273" i="21"/>
  <c r="C273" i="21" s="1"/>
  <c r="A272" i="21"/>
  <c r="C272" i="21" s="1"/>
  <c r="A274" i="21"/>
  <c r="C274" i="21" s="1"/>
  <c r="D354" i="21"/>
  <c r="D352" i="21"/>
  <c r="D355" i="21"/>
  <c r="D353" i="21"/>
  <c r="D351" i="21"/>
  <c r="A355" i="21"/>
  <c r="C355" i="21" s="1"/>
  <c r="A351" i="21"/>
  <c r="C351" i="21" s="1"/>
  <c r="A353" i="21"/>
  <c r="C353" i="21" s="1"/>
  <c r="A352" i="21"/>
  <c r="C352" i="21" s="1"/>
  <c r="A354" i="21"/>
  <c r="C354" i="21" s="1"/>
  <c r="D310" i="21"/>
  <c r="D308" i="21"/>
  <c r="D306" i="21"/>
  <c r="D309" i="21"/>
  <c r="D307" i="21"/>
  <c r="A308" i="21"/>
  <c r="C308" i="21" s="1"/>
  <c r="A310" i="21"/>
  <c r="C310" i="21" s="1"/>
  <c r="A306" i="21"/>
  <c r="C306" i="21" s="1"/>
  <c r="A309" i="21"/>
  <c r="C309" i="21" s="1"/>
  <c r="A307" i="21"/>
  <c r="C307" i="21" s="1"/>
  <c r="D345" i="21"/>
  <c r="D343" i="21"/>
  <c r="D341" i="21"/>
  <c r="D344" i="21"/>
  <c r="D342" i="21"/>
  <c r="A345" i="21"/>
  <c r="C345" i="21" s="1"/>
  <c r="A341" i="21"/>
  <c r="C341" i="21" s="1"/>
  <c r="A343" i="21"/>
  <c r="C343" i="21" s="1"/>
  <c r="A342" i="21"/>
  <c r="C342" i="21" s="1"/>
  <c r="A344" i="21"/>
  <c r="C344" i="21" s="1"/>
  <c r="D299" i="21"/>
  <c r="D297" i="21"/>
  <c r="D300" i="21"/>
  <c r="D298" i="21"/>
  <c r="D296" i="21"/>
  <c r="A298" i="21"/>
  <c r="C298" i="21" s="1"/>
  <c r="A300" i="21"/>
  <c r="C300" i="21" s="1"/>
  <c r="A296" i="21"/>
  <c r="C296" i="21" s="1"/>
  <c r="A299" i="21"/>
  <c r="C299" i="21" s="1"/>
  <c r="A297" i="21"/>
  <c r="C297" i="21" s="1"/>
  <c r="D294" i="21"/>
  <c r="D292" i="21"/>
  <c r="D295" i="21"/>
  <c r="D293" i="21"/>
  <c r="D291" i="21"/>
  <c r="A295" i="21"/>
  <c r="C295" i="21" s="1"/>
  <c r="C291" i="21"/>
  <c r="A293" i="21"/>
  <c r="C293" i="21" s="1"/>
  <c r="A292" i="21"/>
  <c r="C292" i="21" s="1"/>
  <c r="A294" i="21"/>
  <c r="C294" i="21" s="1"/>
  <c r="D319" i="21"/>
  <c r="D317" i="21"/>
  <c r="D320" i="21"/>
  <c r="D318" i="21"/>
  <c r="D316" i="21"/>
  <c r="A318" i="21"/>
  <c r="C318" i="21" s="1"/>
  <c r="A320" i="21"/>
  <c r="C320" i="21" s="1"/>
  <c r="A316" i="21"/>
  <c r="C316" i="21" s="1"/>
  <c r="A319" i="21"/>
  <c r="C319" i="21" s="1"/>
  <c r="A317" i="21"/>
  <c r="C317" i="21" s="1"/>
  <c r="D334" i="21"/>
  <c r="D332" i="21"/>
  <c r="D335" i="21"/>
  <c r="D333" i="21"/>
  <c r="D331" i="21"/>
  <c r="A335" i="21"/>
  <c r="C335" i="21" s="1"/>
  <c r="A331" i="21"/>
  <c r="C331" i="21" s="1"/>
  <c r="A333" i="21"/>
  <c r="C333" i="21" s="1"/>
  <c r="A332" i="21"/>
  <c r="C332" i="21" s="1"/>
  <c r="A334" i="21"/>
  <c r="C334" i="21" s="1"/>
  <c r="D265" i="21"/>
  <c r="D263" i="21"/>
  <c r="D261" i="21"/>
  <c r="D264" i="21"/>
  <c r="D262" i="21"/>
  <c r="A265" i="21"/>
  <c r="C265" i="21" s="1"/>
  <c r="A261" i="21"/>
  <c r="C261" i="21" s="1"/>
  <c r="A263" i="21"/>
  <c r="C263" i="21" s="1"/>
  <c r="A262" i="21"/>
  <c r="C262" i="21" s="1"/>
  <c r="A264" i="21"/>
  <c r="C264" i="21" s="1"/>
  <c r="D330" i="21"/>
  <c r="D328" i="21"/>
  <c r="D326" i="21"/>
  <c r="D329" i="21"/>
  <c r="D327" i="21"/>
  <c r="A328" i="21"/>
  <c r="C328" i="21" s="1"/>
  <c r="A330" i="21"/>
  <c r="C330" i="21" s="1"/>
  <c r="A326" i="21"/>
  <c r="C326" i="21" s="1"/>
  <c r="A329" i="21"/>
  <c r="C329" i="21" s="1"/>
  <c r="A327" i="21"/>
  <c r="C327" i="21" s="1"/>
  <c r="D270" i="21"/>
  <c r="D268" i="21"/>
  <c r="D266" i="21"/>
  <c r="D269" i="21"/>
  <c r="D267" i="21"/>
  <c r="A268" i="21"/>
  <c r="C268" i="21" s="1"/>
  <c r="A270" i="21"/>
  <c r="C270" i="21" s="1"/>
  <c r="A266" i="21"/>
  <c r="C266" i="21" s="1"/>
  <c r="A269" i="21"/>
  <c r="C269" i="21" s="1"/>
  <c r="A267" i="21"/>
  <c r="C267" i="21" s="1"/>
  <c r="D285" i="21"/>
  <c r="D283" i="21"/>
  <c r="D281" i="21"/>
  <c r="D284" i="21"/>
  <c r="D282" i="21"/>
  <c r="C285" i="21"/>
  <c r="A281" i="21"/>
  <c r="C281" i="21" s="1"/>
  <c r="C283" i="21"/>
  <c r="C282" i="21"/>
  <c r="C284" i="21"/>
  <c r="D339" i="21"/>
  <c r="D337" i="21"/>
  <c r="D340" i="21"/>
  <c r="D338" i="21"/>
  <c r="D336" i="21"/>
  <c r="A338" i="21"/>
  <c r="C338" i="21" s="1"/>
  <c r="A340" i="21"/>
  <c r="C340" i="21" s="1"/>
  <c r="A336" i="21"/>
  <c r="C336" i="21" s="1"/>
  <c r="A339" i="21"/>
  <c r="C339" i="21" s="1"/>
  <c r="A337" i="21"/>
  <c r="C337" i="21" s="1"/>
  <c r="D314" i="21"/>
  <c r="D312" i="21"/>
  <c r="D315" i="21"/>
  <c r="D313" i="21"/>
  <c r="D311" i="21"/>
  <c r="A315" i="21"/>
  <c r="C315" i="21" s="1"/>
  <c r="A311" i="21"/>
  <c r="C311" i="21" s="1"/>
  <c r="A313" i="21"/>
  <c r="C313" i="21" s="1"/>
  <c r="A312" i="21"/>
  <c r="C312" i="21" s="1"/>
  <c r="A314" i="21"/>
  <c r="C314" i="21" s="1"/>
  <c r="A349" i="21"/>
  <c r="C349" i="21" s="1"/>
  <c r="L84" i="32" l="1"/>
  <c r="X84" i="32"/>
  <c r="T84" i="32"/>
  <c r="AF84" i="32"/>
  <c r="P84" i="32"/>
  <c r="AB84" i="32"/>
  <c r="L83" i="32"/>
  <c r="X83" i="32"/>
  <c r="T83" i="32"/>
  <c r="AF83" i="32"/>
  <c r="AB83" i="32"/>
  <c r="A230" i="21" l="1"/>
  <c r="C230" i="21" s="1"/>
  <c r="D229" i="21"/>
  <c r="A229" i="21"/>
  <c r="C229" i="21" s="1"/>
  <c r="D228" i="21"/>
  <c r="A228" i="21"/>
  <c r="C228" i="21" s="1"/>
  <c r="D227" i="21"/>
  <c r="A227" i="21"/>
  <c r="C227" i="21" s="1"/>
  <c r="A226" i="21"/>
  <c r="C226" i="21" s="1"/>
  <c r="A225" i="21"/>
  <c r="C225" i="21" s="1"/>
  <c r="D224" i="21"/>
  <c r="A224" i="21"/>
  <c r="C224" i="21" s="1"/>
  <c r="D223" i="21"/>
  <c r="A223" i="21"/>
  <c r="C223" i="21" s="1"/>
  <c r="D222" i="21"/>
  <c r="A222" i="21"/>
  <c r="C222" i="21" s="1"/>
  <c r="A221" i="21"/>
  <c r="C221" i="21" s="1"/>
  <c r="K30" i="21"/>
  <c r="K29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K49" i="21"/>
  <c r="K5" i="21"/>
  <c r="K3" i="21"/>
  <c r="A260" i="21"/>
  <c r="C260" i="21" s="1"/>
  <c r="D259" i="21"/>
  <c r="A259" i="21"/>
  <c r="C259" i="21" s="1"/>
  <c r="D258" i="21"/>
  <c r="A258" i="21"/>
  <c r="C258" i="21" s="1"/>
  <c r="D257" i="21"/>
  <c r="A257" i="21"/>
  <c r="C257" i="21" s="1"/>
  <c r="A256" i="21"/>
  <c r="C256" i="21" s="1"/>
  <c r="A255" i="21"/>
  <c r="C255" i="21" s="1"/>
  <c r="D254" i="21"/>
  <c r="A254" i="21"/>
  <c r="C254" i="21" s="1"/>
  <c r="D253" i="21"/>
  <c r="A253" i="21"/>
  <c r="C253" i="21" s="1"/>
  <c r="D252" i="21"/>
  <c r="A252" i="21"/>
  <c r="C252" i="21" s="1"/>
  <c r="A251" i="21"/>
  <c r="C251" i="21" s="1"/>
  <c r="A250" i="21"/>
  <c r="C250" i="21" s="1"/>
  <c r="D249" i="21"/>
  <c r="A249" i="21"/>
  <c r="C249" i="21" s="1"/>
  <c r="D248" i="21"/>
  <c r="A248" i="21"/>
  <c r="C248" i="21" s="1"/>
  <c r="D247" i="21"/>
  <c r="A247" i="21"/>
  <c r="C247" i="21" s="1"/>
  <c r="A246" i="21"/>
  <c r="C246" i="21" s="1"/>
  <c r="A245" i="21"/>
  <c r="C245" i="21" s="1"/>
  <c r="D244" i="21"/>
  <c r="A244" i="21"/>
  <c r="C244" i="21" s="1"/>
  <c r="D243" i="21"/>
  <c r="A243" i="21"/>
  <c r="C243" i="21" s="1"/>
  <c r="D242" i="21"/>
  <c r="A242" i="21"/>
  <c r="C242" i="21" s="1"/>
  <c r="A241" i="21"/>
  <c r="C241" i="21" s="1"/>
  <c r="A240" i="21"/>
  <c r="C240" i="21" s="1"/>
  <c r="D239" i="21"/>
  <c r="A239" i="21"/>
  <c r="C239" i="21" s="1"/>
  <c r="D238" i="21"/>
  <c r="A238" i="21"/>
  <c r="C238" i="21" s="1"/>
  <c r="D237" i="21"/>
  <c r="A237" i="21"/>
  <c r="C237" i="21" s="1"/>
  <c r="A236" i="21"/>
  <c r="C236" i="21" s="1"/>
  <c r="A235" i="21"/>
  <c r="C235" i="21" s="1"/>
  <c r="D234" i="21"/>
  <c r="A234" i="21"/>
  <c r="C234" i="21" s="1"/>
  <c r="D233" i="21"/>
  <c r="A233" i="21"/>
  <c r="C233" i="21" s="1"/>
  <c r="D232" i="21"/>
  <c r="A232" i="21"/>
  <c r="C232" i="21" s="1"/>
  <c r="A231" i="21"/>
  <c r="C231" i="21" s="1"/>
  <c r="K81" i="21" l="1"/>
  <c r="K34" i="21"/>
  <c r="K35" i="21"/>
  <c r="K36" i="21"/>
  <c r="K37" i="21"/>
  <c r="K38" i="21"/>
  <c r="K4" i="21"/>
  <c r="K6" i="21"/>
  <c r="K7" i="21"/>
  <c r="K8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31" i="21"/>
  <c r="K32" i="21"/>
  <c r="K33" i="21"/>
  <c r="K9" i="21"/>
  <c r="D260" i="21"/>
  <c r="D256" i="21"/>
  <c r="D255" i="21"/>
  <c r="D251" i="21"/>
  <c r="D250" i="21"/>
  <c r="D246" i="21"/>
  <c r="D245" i="21"/>
  <c r="D241" i="21"/>
  <c r="D240" i="21"/>
  <c r="D236" i="21"/>
  <c r="D235" i="21"/>
  <c r="D231" i="21"/>
  <c r="D230" i="21"/>
  <c r="D226" i="21"/>
  <c r="D225" i="21"/>
  <c r="D221" i="21"/>
  <c r="K82" i="21" l="1"/>
  <c r="K83" i="21" l="1"/>
  <c r="K84" i="21"/>
  <c r="K85" i="21" l="1"/>
  <c r="K86" i="21" l="1"/>
  <c r="K87" i="21" l="1"/>
  <c r="I107" i="32"/>
  <c r="J30" i="32"/>
  <c r="J110" i="32" s="1"/>
  <c r="J29" i="32"/>
  <c r="J109" i="32" s="1"/>
  <c r="H28" i="32"/>
  <c r="H29" i="32"/>
  <c r="H30" i="32"/>
  <c r="J28" i="32"/>
  <c r="J108" i="32" s="1"/>
  <c r="F110" i="32"/>
  <c r="F109" i="32"/>
  <c r="F108" i="32"/>
  <c r="F107" i="32"/>
  <c r="E109" i="32"/>
  <c r="E110" i="32"/>
  <c r="D108" i="32"/>
  <c r="D109" i="32"/>
  <c r="D110" i="32"/>
  <c r="E107" i="32"/>
  <c r="D107" i="32"/>
  <c r="E108" i="32"/>
  <c r="C109" i="32"/>
  <c r="C107" i="32"/>
  <c r="C108" i="32"/>
  <c r="C110" i="32"/>
  <c r="K88" i="21" l="1"/>
  <c r="S30" i="32"/>
  <c r="AA30" i="32"/>
  <c r="W30" i="32"/>
  <c r="O30" i="32"/>
  <c r="K30" i="32"/>
  <c r="K29" i="32"/>
  <c r="AA29" i="32"/>
  <c r="W29" i="32"/>
  <c r="O29" i="32"/>
  <c r="S29" i="32"/>
  <c r="AA28" i="32"/>
  <c r="W28" i="32"/>
  <c r="S28" i="32"/>
  <c r="O28" i="32"/>
  <c r="K28" i="32"/>
  <c r="G107" i="32"/>
  <c r="H27" i="32"/>
  <c r="G110" i="32"/>
  <c r="G109" i="32"/>
  <c r="X29" i="32"/>
  <c r="A162" i="21" s="1"/>
  <c r="C162" i="21" s="1"/>
  <c r="G108" i="32"/>
  <c r="I108" i="32"/>
  <c r="J27" i="32"/>
  <c r="J107" i="32" s="1"/>
  <c r="I109" i="32"/>
  <c r="I110" i="32"/>
  <c r="K89" i="21" l="1"/>
  <c r="AH27" i="32"/>
  <c r="AH107" i="32" s="1"/>
  <c r="AA27" i="32"/>
  <c r="AD27" i="32" s="1"/>
  <c r="AD107" i="32" s="1"/>
  <c r="W27" i="32"/>
  <c r="Z27" i="32" s="1"/>
  <c r="S27" i="32"/>
  <c r="V27" i="32" s="1"/>
  <c r="O27" i="32"/>
  <c r="R27" i="32" s="1"/>
  <c r="K27" i="32"/>
  <c r="K107" i="32" s="1"/>
  <c r="H107" i="32"/>
  <c r="AC27" i="32"/>
  <c r="AB27" i="32"/>
  <c r="T27" i="32"/>
  <c r="X27" i="32"/>
  <c r="AE27" i="32"/>
  <c r="AE107" i="32" s="1"/>
  <c r="AI27" i="32"/>
  <c r="AI107" i="32" s="1"/>
  <c r="P27" i="32"/>
  <c r="AF27" i="32"/>
  <c r="AF29" i="32"/>
  <c r="L27" i="32"/>
  <c r="Z29" i="32"/>
  <c r="P29" i="32"/>
  <c r="AH29" i="32"/>
  <c r="AH109" i="32" s="1"/>
  <c r="AI29" i="32"/>
  <c r="AI109" i="32" s="1"/>
  <c r="AC29" i="32"/>
  <c r="L29" i="32"/>
  <c r="A159" i="21" s="1"/>
  <c r="C159" i="21" s="1"/>
  <c r="AB29" i="32"/>
  <c r="AE29" i="32"/>
  <c r="AE109" i="32" s="1"/>
  <c r="R29" i="32"/>
  <c r="N29" i="32"/>
  <c r="T29" i="32"/>
  <c r="H109" i="32"/>
  <c r="AD29" i="32"/>
  <c r="AD109" i="32" s="1"/>
  <c r="S109" i="32"/>
  <c r="L28" i="32"/>
  <c r="A153" i="21" s="1"/>
  <c r="C153" i="21" s="1"/>
  <c r="P28" i="32"/>
  <c r="A154" i="21" s="1"/>
  <c r="C154" i="21" s="1"/>
  <c r="AH28" i="32"/>
  <c r="AH108" i="32" s="1"/>
  <c r="T28" i="32"/>
  <c r="A155" i="21" s="1"/>
  <c r="C155" i="21" s="1"/>
  <c r="AE28" i="32"/>
  <c r="AE108" i="32" s="1"/>
  <c r="AC28" i="32"/>
  <c r="D157" i="21" s="1"/>
  <c r="X28" i="32"/>
  <c r="A156" i="21" s="1"/>
  <c r="C156" i="21" s="1"/>
  <c r="AI28" i="32"/>
  <c r="AI108" i="32" s="1"/>
  <c r="AB28" i="32"/>
  <c r="A157" i="21" s="1"/>
  <c r="C157" i="21" s="1"/>
  <c r="H108" i="32"/>
  <c r="AF28" i="32"/>
  <c r="A158" i="21" s="1"/>
  <c r="C158" i="21" s="1"/>
  <c r="T30" i="32"/>
  <c r="A167" i="21" s="1"/>
  <c r="C167" i="21" s="1"/>
  <c r="AE30" i="32"/>
  <c r="AE110" i="32" s="1"/>
  <c r="P30" i="32"/>
  <c r="A166" i="21" s="1"/>
  <c r="C166" i="21" s="1"/>
  <c r="AI30" i="32"/>
  <c r="AI110" i="32" s="1"/>
  <c r="AH30" i="32"/>
  <c r="AH110" i="32" s="1"/>
  <c r="X30" i="32"/>
  <c r="A168" i="21" s="1"/>
  <c r="C168" i="21" s="1"/>
  <c r="H110" i="32"/>
  <c r="AF30" i="32"/>
  <c r="A170" i="21" s="1"/>
  <c r="C170" i="21" s="1"/>
  <c r="AB30" i="32"/>
  <c r="A169" i="21" s="1"/>
  <c r="C169" i="21" s="1"/>
  <c r="L30" i="32"/>
  <c r="A165" i="21" s="1"/>
  <c r="C165" i="21" s="1"/>
  <c r="AC30" i="32"/>
  <c r="D169" i="21" s="1"/>
  <c r="A213" i="21"/>
  <c r="C213" i="21" s="1"/>
  <c r="X109" i="32"/>
  <c r="X107" i="32" l="1"/>
  <c r="A150" i="21"/>
  <c r="C150" i="21" s="1"/>
  <c r="C212" i="21"/>
  <c r="A161" i="21"/>
  <c r="C161" i="21" s="1"/>
  <c r="AC109" i="32"/>
  <c r="D163" i="21"/>
  <c r="AF109" i="32"/>
  <c r="A164" i="21"/>
  <c r="C164" i="21" s="1"/>
  <c r="T107" i="32"/>
  <c r="A149" i="21"/>
  <c r="C149" i="21" s="1"/>
  <c r="C205" i="21"/>
  <c r="A152" i="21"/>
  <c r="C152" i="21" s="1"/>
  <c r="C204" i="21"/>
  <c r="A151" i="21"/>
  <c r="C151" i="21" s="1"/>
  <c r="C201" i="21"/>
  <c r="A148" i="21"/>
  <c r="C148" i="21" s="1"/>
  <c r="AC107" i="32"/>
  <c r="D151" i="21"/>
  <c r="L107" i="32"/>
  <c r="A147" i="21"/>
  <c r="C147" i="21" s="1"/>
  <c r="C211" i="21"/>
  <c r="A160" i="21"/>
  <c r="C160" i="21" s="1"/>
  <c r="AB109" i="32"/>
  <c r="A163" i="21"/>
  <c r="C163" i="21" s="1"/>
  <c r="K90" i="21"/>
  <c r="AG27" i="32"/>
  <c r="T109" i="32"/>
  <c r="AA107" i="32"/>
  <c r="C203" i="21"/>
  <c r="A215" i="21"/>
  <c r="C215" i="21" s="1"/>
  <c r="N27" i="32"/>
  <c r="N107" i="32" s="1"/>
  <c r="AG29" i="32"/>
  <c r="S107" i="32"/>
  <c r="P107" i="32"/>
  <c r="AF107" i="32"/>
  <c r="O109" i="32"/>
  <c r="O107" i="32"/>
  <c r="AB107" i="32"/>
  <c r="W107" i="32"/>
  <c r="C202" i="21"/>
  <c r="W109" i="32"/>
  <c r="V29" i="32"/>
  <c r="V109" i="32" s="1"/>
  <c r="D214" i="21"/>
  <c r="P109" i="32"/>
  <c r="L109" i="32"/>
  <c r="AA109" i="32"/>
  <c r="A214" i="21"/>
  <c r="C214" i="21" s="1"/>
  <c r="AG28" i="32"/>
  <c r="D158" i="21" s="1"/>
  <c r="K109" i="32"/>
  <c r="AG30" i="32"/>
  <c r="N109" i="32"/>
  <c r="M29" i="32"/>
  <c r="D159" i="21" s="1"/>
  <c r="R107" i="32"/>
  <c r="Q27" i="32"/>
  <c r="D148" i="21" s="1"/>
  <c r="A219" i="21"/>
  <c r="C219" i="21" s="1"/>
  <c r="AB110" i="32"/>
  <c r="T110" i="32"/>
  <c r="A217" i="21"/>
  <c r="C217" i="21" s="1"/>
  <c r="Z30" i="32"/>
  <c r="W110" i="32"/>
  <c r="A218" i="21"/>
  <c r="C218" i="21" s="1"/>
  <c r="X110" i="32"/>
  <c r="N28" i="32"/>
  <c r="K108" i="32"/>
  <c r="C207" i="21"/>
  <c r="T108" i="32"/>
  <c r="R109" i="32"/>
  <c r="Q29" i="32"/>
  <c r="D160" i="21" s="1"/>
  <c r="V30" i="32"/>
  <c r="S110" i="32"/>
  <c r="C209" i="21"/>
  <c r="AB108" i="32"/>
  <c r="C208" i="21"/>
  <c r="X108" i="32"/>
  <c r="Z107" i="32"/>
  <c r="Y27" i="32"/>
  <c r="D150" i="21" s="1"/>
  <c r="R30" i="32"/>
  <c r="O110" i="32"/>
  <c r="K110" i="32"/>
  <c r="N30" i="32"/>
  <c r="AF108" i="32"/>
  <c r="C210" i="21"/>
  <c r="AC108" i="32"/>
  <c r="V28" i="32"/>
  <c r="S108" i="32"/>
  <c r="Z109" i="32"/>
  <c r="Y29" i="32"/>
  <c r="D162" i="21" s="1"/>
  <c r="AC110" i="32"/>
  <c r="D219" i="21"/>
  <c r="A220" i="21"/>
  <c r="C220" i="21" s="1"/>
  <c r="AF110" i="32"/>
  <c r="AA110" i="32"/>
  <c r="AD30" i="32"/>
  <c r="AD110" i="32" s="1"/>
  <c r="P110" i="32"/>
  <c r="A216" i="21"/>
  <c r="C216" i="21" s="1"/>
  <c r="AA108" i="32"/>
  <c r="AD28" i="32"/>
  <c r="AD108" i="32" s="1"/>
  <c r="R28" i="32"/>
  <c r="O108" i="32"/>
  <c r="P108" i="32"/>
  <c r="C206" i="21"/>
  <c r="V107" i="32"/>
  <c r="U27" i="32"/>
  <c r="D149" i="21" s="1"/>
  <c r="L110" i="32"/>
  <c r="W108" i="32"/>
  <c r="Z28" i="32"/>
  <c r="L108" i="32"/>
  <c r="D220" i="21" l="1"/>
  <c r="D170" i="21"/>
  <c r="D215" i="21"/>
  <c r="D164" i="21"/>
  <c r="AG107" i="32"/>
  <c r="D152" i="21"/>
  <c r="K91" i="21"/>
  <c r="M27" i="32"/>
  <c r="AG109" i="32"/>
  <c r="U29" i="32"/>
  <c r="D161" i="21" s="1"/>
  <c r="AG108" i="32"/>
  <c r="AG110" i="32"/>
  <c r="Z108" i="32"/>
  <c r="Y28" i="32"/>
  <c r="D156" i="21" s="1"/>
  <c r="U107" i="32"/>
  <c r="Y107" i="32"/>
  <c r="Q109" i="32"/>
  <c r="Q107" i="32"/>
  <c r="V108" i="32"/>
  <c r="U28" i="32"/>
  <c r="D155" i="21" s="1"/>
  <c r="N108" i="32"/>
  <c r="M28" i="32"/>
  <c r="D153" i="21" s="1"/>
  <c r="N110" i="32"/>
  <c r="M30" i="32"/>
  <c r="D165" i="21" s="1"/>
  <c r="M109" i="32"/>
  <c r="V110" i="32"/>
  <c r="U30" i="32"/>
  <c r="D167" i="21" s="1"/>
  <c r="Y109" i="32"/>
  <c r="D213" i="21"/>
  <c r="R108" i="32"/>
  <c r="Q28" i="32"/>
  <c r="D154" i="21" s="1"/>
  <c r="R110" i="32"/>
  <c r="Q30" i="32"/>
  <c r="D166" i="21" s="1"/>
  <c r="Z110" i="32"/>
  <c r="Y30" i="32"/>
  <c r="D168" i="21" s="1"/>
  <c r="M107" i="32" l="1"/>
  <c r="D147" i="21"/>
  <c r="K92" i="21"/>
  <c r="U109" i="32"/>
  <c r="D216" i="21"/>
  <c r="Q110" i="32"/>
  <c r="U108" i="32"/>
  <c r="D217" i="21"/>
  <c r="U110" i="32"/>
  <c r="M110" i="32"/>
  <c r="Q108" i="32"/>
  <c r="M108" i="32"/>
  <c r="Y108" i="32"/>
  <c r="D218" i="21"/>
  <c r="Y110" i="32"/>
  <c r="K93" i="21" l="1"/>
  <c r="D472" i="21"/>
  <c r="K94" i="21" l="1"/>
  <c r="K95" i="21" l="1"/>
  <c r="K96" i="21" l="1"/>
  <c r="K97" i="21" l="1"/>
  <c r="K98" i="21" l="1"/>
  <c r="K99" i="21" l="1"/>
  <c r="K100" i="21" l="1"/>
  <c r="K101" i="21" l="1"/>
  <c r="K102" i="21" l="1"/>
  <c r="K103" i="21" l="1"/>
  <c r="K104" i="21" l="1"/>
  <c r="K105" i="21" l="1"/>
  <c r="K106" i="21" l="1"/>
  <c r="K107" i="21" l="1"/>
  <c r="K108" i="21" l="1"/>
  <c r="K109" i="21" l="1"/>
  <c r="K110" i="21" l="1"/>
  <c r="K111" i="21" l="1"/>
  <c r="K112" i="21" l="1"/>
  <c r="K113" i="21" l="1"/>
  <c r="K114" i="21" l="1"/>
  <c r="K115" i="21" l="1"/>
  <c r="K116" i="21" l="1"/>
  <c r="K117" i="21" l="1"/>
  <c r="K118" i="21" l="1"/>
  <c r="K119" i="21" l="1"/>
  <c r="K120" i="21" l="1"/>
  <c r="K121" i="21" l="1"/>
  <c r="K122" i="21" l="1"/>
  <c r="K123" i="21" l="1"/>
  <c r="K124" i="21" l="1"/>
  <c r="K125" i="21" l="1"/>
  <c r="K126" i="21" l="1"/>
  <c r="K127" i="21" l="1"/>
  <c r="K128" i="21" l="1"/>
  <c r="K129" i="21" l="1"/>
  <c r="K130" i="21" l="1"/>
  <c r="K131" i="21" l="1"/>
  <c r="K132" i="21" l="1"/>
  <c r="K133" i="21" l="1"/>
  <c r="K134" i="21" l="1"/>
  <c r="K135" i="21" l="1"/>
  <c r="K136" i="21" l="1"/>
  <c r="K137" i="21" l="1"/>
  <c r="K138" i="21" l="1"/>
  <c r="K139" i="21" l="1"/>
  <c r="K140" i="21" l="1"/>
  <c r="K141" i="21" l="1"/>
  <c r="K142" i="21" l="1"/>
  <c r="K143" i="21" l="1"/>
  <c r="K144" i="21" l="1"/>
  <c r="K145" i="21" l="1"/>
  <c r="K146" i="21" l="1"/>
  <c r="K147" i="21" l="1"/>
  <c r="K148" i="21" l="1"/>
  <c r="K149" i="21" l="1"/>
  <c r="K150" i="21" l="1"/>
  <c r="K151" i="21" l="1"/>
  <c r="K152" i="21" l="1"/>
  <c r="K153" i="21" l="1"/>
  <c r="K154" i="21" l="1"/>
  <c r="K155" i="21" l="1"/>
  <c r="K156" i="21" l="1"/>
  <c r="K157" i="21" l="1"/>
  <c r="K158" i="21" l="1"/>
  <c r="K159" i="21" l="1"/>
  <c r="K160" i="21" l="1"/>
  <c r="K161" i="21" l="1"/>
  <c r="K162" i="21" l="1"/>
  <c r="K163" i="21" l="1"/>
  <c r="K164" i="21" l="1"/>
  <c r="K165" i="21" l="1"/>
  <c r="K166" i="21" l="1"/>
  <c r="H168" i="21" l="1"/>
  <c r="K167" i="21"/>
  <c r="H169" i="21" l="1"/>
  <c r="K168" i="21"/>
  <c r="H170" i="21" l="1"/>
  <c r="K169" i="21"/>
  <c r="K170" i="21" l="1"/>
  <c r="K171" i="21" l="1"/>
  <c r="H172" i="21"/>
  <c r="K172" i="21" l="1"/>
  <c r="H173" i="21"/>
  <c r="H174" i="21" l="1"/>
  <c r="K173" i="21"/>
  <c r="H175" i="21" l="1"/>
  <c r="K174" i="21"/>
  <c r="K175" i="21" l="1"/>
  <c r="H176" i="21"/>
  <c r="K176" i="21" l="1"/>
  <c r="K177" i="21" l="1"/>
  <c r="H178" i="21"/>
  <c r="K178" i="21" l="1"/>
  <c r="H179" i="21"/>
  <c r="H180" i="21" l="1"/>
  <c r="K179" i="21"/>
  <c r="K180" i="21" l="1"/>
  <c r="H181" i="21"/>
  <c r="H182" i="21" l="1"/>
  <c r="K181" i="21"/>
  <c r="K182" i="21" l="1"/>
  <c r="H184" i="21" l="1"/>
  <c r="K183" i="21"/>
  <c r="K184" i="21" l="1"/>
  <c r="H185" i="21"/>
  <c r="K185" i="21" l="1"/>
  <c r="H186" i="21"/>
  <c r="K186" i="21" l="1"/>
  <c r="H187" i="21"/>
  <c r="H188" i="21" l="1"/>
  <c r="K187" i="21"/>
  <c r="K188" i="21" l="1"/>
  <c r="K189" i="21" l="1"/>
  <c r="H190" i="21"/>
  <c r="K190" i="21" l="1"/>
  <c r="H191" i="21"/>
  <c r="K191" i="21" l="1"/>
  <c r="H192" i="21"/>
  <c r="K192" i="21" l="1"/>
  <c r="H193" i="21"/>
  <c r="H194" i="21" l="1"/>
  <c r="K193" i="21"/>
  <c r="K194" i="21" l="1"/>
  <c r="K195" i="21" l="1"/>
  <c r="H196" i="21"/>
  <c r="H197" i="21" l="1"/>
  <c r="K196" i="21"/>
  <c r="K197" i="21" l="1"/>
  <c r="H198" i="21"/>
  <c r="H199" i="21" l="1"/>
  <c r="K198" i="21"/>
  <c r="K199" i="21" l="1"/>
  <c r="H200" i="21"/>
  <c r="K200" i="21" l="1"/>
  <c r="H202" i="21" l="1"/>
  <c r="K201" i="21"/>
  <c r="H203" i="21" l="1"/>
  <c r="K202" i="21"/>
  <c r="H204" i="21" l="1"/>
  <c r="K203" i="21"/>
  <c r="H205" i="21" l="1"/>
  <c r="K204" i="21"/>
  <c r="K205" i="21" l="1"/>
  <c r="H206" i="21"/>
  <c r="K206" i="21" l="1"/>
  <c r="K207" i="21" l="1"/>
  <c r="H208" i="21"/>
  <c r="K208" i="21" l="1"/>
  <c r="H209" i="21"/>
  <c r="H210" i="21" l="1"/>
  <c r="K209" i="21"/>
  <c r="K210" i="21" l="1"/>
  <c r="H211" i="21"/>
  <c r="K211" i="21" l="1"/>
  <c r="H212" i="21"/>
  <c r="K212" i="21" l="1"/>
  <c r="H213" i="21"/>
  <c r="K213" i="21" l="1"/>
  <c r="H214" i="21"/>
  <c r="K214" i="21" l="1"/>
  <c r="H215" i="21"/>
  <c r="K215" i="21" l="1"/>
  <c r="H216" i="21"/>
  <c r="H217" i="21" l="1"/>
  <c r="K216" i="21"/>
  <c r="H218" i="21" l="1"/>
  <c r="K217" i="21"/>
  <c r="H219" i="21" l="1"/>
  <c r="K218" i="21"/>
  <c r="H220" i="21" l="1"/>
  <c r="K219" i="21"/>
  <c r="K220" i="21" l="1"/>
  <c r="H221" i="21"/>
  <c r="K221" i="21" l="1"/>
  <c r="H222" i="21"/>
  <c r="K222" i="21" l="1"/>
  <c r="H223" i="21"/>
  <c r="K223" i="21" l="1"/>
  <c r="H224" i="21"/>
  <c r="H225" i="21" l="1"/>
  <c r="K224" i="21"/>
  <c r="K225" i="21" l="1"/>
  <c r="H226" i="21"/>
  <c r="H227" i="21" l="1"/>
  <c r="K226" i="21"/>
  <c r="H228" i="21" l="1"/>
  <c r="K227" i="21"/>
  <c r="H229" i="21" l="1"/>
  <c r="K228" i="21"/>
  <c r="H230" i="21" l="1"/>
  <c r="K229" i="21"/>
  <c r="K230" i="21" l="1"/>
  <c r="H231" i="21"/>
  <c r="H232" i="21" l="1"/>
  <c r="K231" i="21"/>
  <c r="K232" i="21" l="1"/>
  <c r="H233" i="21"/>
  <c r="H234" i="21" l="1"/>
  <c r="K233" i="21"/>
  <c r="H235" i="21" l="1"/>
  <c r="K234" i="21"/>
  <c r="K235" i="21" l="1"/>
  <c r="H236" i="21"/>
  <c r="H237" i="21" l="1"/>
  <c r="K236" i="21"/>
  <c r="H238" i="21" l="1"/>
  <c r="K237" i="21"/>
  <c r="H239" i="21" l="1"/>
  <c r="K238" i="21"/>
  <c r="H240" i="21" l="1"/>
  <c r="K239" i="21"/>
  <c r="K240" i="21" l="1"/>
  <c r="H241" i="21"/>
  <c r="K241" i="21" l="1"/>
  <c r="H242" i="21"/>
  <c r="H243" i="21" l="1"/>
  <c r="K242" i="21"/>
  <c r="H244" i="21" l="1"/>
  <c r="K243" i="21"/>
  <c r="K244" i="21" l="1"/>
  <c r="H245" i="21"/>
  <c r="K245" i="21" l="1"/>
  <c r="H246" i="21"/>
  <c r="H247" i="21" l="1"/>
  <c r="K246" i="21"/>
  <c r="K247" i="21" l="1"/>
  <c r="H248" i="21"/>
  <c r="H249" i="21" l="1"/>
  <c r="K248" i="21"/>
  <c r="H250" i="21" l="1"/>
  <c r="K249" i="21"/>
  <c r="K250" i="21" l="1"/>
  <c r="H251" i="21"/>
  <c r="H252" i="21" l="1"/>
  <c r="K251" i="21"/>
  <c r="H253" i="21" l="1"/>
  <c r="K252" i="21"/>
  <c r="H254" i="21" l="1"/>
  <c r="K253" i="21"/>
  <c r="H255" i="21" l="1"/>
  <c r="K254" i="21"/>
  <c r="K255" i="21" l="1"/>
  <c r="H256" i="21"/>
  <c r="K256" i="21" l="1"/>
  <c r="H257" i="21"/>
  <c r="K257" i="21" l="1"/>
  <c r="H258" i="21"/>
  <c r="H259" i="21" l="1"/>
  <c r="K258" i="21"/>
  <c r="K259" i="21" l="1"/>
  <c r="H260" i="21"/>
  <c r="K260" i="21" l="1"/>
  <c r="H261" i="21"/>
  <c r="H262" i="21" l="1"/>
  <c r="K261" i="21"/>
  <c r="H263" i="21" l="1"/>
  <c r="K262" i="21"/>
  <c r="H264" i="21" l="1"/>
  <c r="K263" i="21"/>
  <c r="H265" i="21" l="1"/>
  <c r="K264" i="21"/>
  <c r="K265" i="21" l="1"/>
  <c r="H266" i="21"/>
  <c r="H267" i="21" l="1"/>
  <c r="K266" i="21"/>
  <c r="H268" i="21" l="1"/>
  <c r="K267" i="21"/>
  <c r="K268" i="21" l="1"/>
  <c r="H269" i="21"/>
  <c r="K269" i="21" l="1"/>
  <c r="H270" i="21"/>
  <c r="K270" i="21" l="1"/>
  <c r="H271" i="21"/>
  <c r="H272" i="21" l="1"/>
  <c r="K271" i="21"/>
  <c r="H273" i="21" l="1"/>
  <c r="K272" i="21"/>
  <c r="K273" i="21" l="1"/>
  <c r="H274" i="21"/>
  <c r="H275" i="21" l="1"/>
  <c r="K274" i="21"/>
  <c r="K275" i="21" l="1"/>
  <c r="H276" i="21"/>
  <c r="H277" i="21" l="1"/>
  <c r="K276" i="21"/>
  <c r="K277" i="21" l="1"/>
  <c r="H278" i="21"/>
  <c r="H279" i="21" l="1"/>
  <c r="K278" i="21"/>
  <c r="H280" i="21" l="1"/>
  <c r="K279" i="21"/>
  <c r="K280" i="21" l="1"/>
  <c r="H281" i="21"/>
  <c r="H282" i="21" l="1"/>
  <c r="K281" i="21"/>
  <c r="H283" i="21" l="1"/>
  <c r="K282" i="21"/>
  <c r="K283" i="21" l="1"/>
  <c r="H284" i="21"/>
  <c r="H285" i="21" l="1"/>
  <c r="K284" i="21"/>
  <c r="K285" i="21" l="1"/>
  <c r="H286" i="21"/>
  <c r="H287" i="21" l="1"/>
  <c r="K286" i="21"/>
  <c r="K287" i="21" l="1"/>
  <c r="H288" i="21"/>
  <c r="H289" i="21" l="1"/>
  <c r="K288" i="21"/>
  <c r="H290" i="21" l="1"/>
  <c r="K289" i="21"/>
  <c r="K290" i="21" l="1"/>
  <c r="H291" i="21"/>
  <c r="H292" i="21" l="1"/>
  <c r="K291" i="21"/>
  <c r="K292" i="21" l="1"/>
  <c r="H293" i="21"/>
  <c r="K293" i="21" l="1"/>
  <c r="H294" i="21"/>
  <c r="H295" i="21" l="1"/>
  <c r="K294" i="21"/>
  <c r="K295" i="21" l="1"/>
  <c r="H296" i="21"/>
  <c r="H297" i="21" l="1"/>
  <c r="K296" i="21"/>
  <c r="H298" i="21" l="1"/>
  <c r="K297" i="21"/>
  <c r="K298" i="21" l="1"/>
  <c r="H299" i="21"/>
  <c r="H300" i="21" l="1"/>
  <c r="K299" i="21"/>
  <c r="K300" i="21" l="1"/>
  <c r="H301" i="21"/>
  <c r="H302" i="21" l="1"/>
  <c r="K301" i="21"/>
  <c r="K302" i="21" l="1"/>
  <c r="H303" i="21"/>
  <c r="H304" i="21" l="1"/>
  <c r="K303" i="21"/>
  <c r="H305" i="21" l="1"/>
  <c r="K304" i="21"/>
  <c r="K305" i="21" l="1"/>
  <c r="H306" i="21"/>
  <c r="H307" i="21" l="1"/>
  <c r="K306" i="21"/>
  <c r="H308" i="21" l="1"/>
  <c r="K307" i="21"/>
  <c r="H309" i="21" l="1"/>
  <c r="K308" i="21"/>
  <c r="H310" i="21" l="1"/>
  <c r="K309" i="21"/>
  <c r="K310" i="21" l="1"/>
  <c r="H311" i="21"/>
  <c r="H312" i="21" l="1"/>
  <c r="K311" i="21"/>
  <c r="K312" i="21" l="1"/>
  <c r="H313" i="21"/>
  <c r="K313" i="21" l="1"/>
  <c r="H314" i="21"/>
  <c r="H315" i="21" l="1"/>
  <c r="K314" i="21"/>
  <c r="K315" i="21" l="1"/>
  <c r="H316" i="21"/>
  <c r="H317" i="21" l="1"/>
  <c r="K316" i="21"/>
  <c r="H318" i="21" l="1"/>
  <c r="K317" i="21"/>
  <c r="H319" i="21" l="1"/>
  <c r="K318" i="21"/>
  <c r="H320" i="21" l="1"/>
  <c r="K319" i="21"/>
  <c r="K320" i="21" l="1"/>
  <c r="H321" i="21"/>
  <c r="H322" i="21" l="1"/>
  <c r="K321" i="21"/>
  <c r="H323" i="21" l="1"/>
  <c r="K322" i="21"/>
  <c r="K323" i="21" l="1"/>
  <c r="H324" i="21"/>
  <c r="H325" i="21" l="1"/>
  <c r="K324" i="21"/>
  <c r="K325" i="21" l="1"/>
  <c r="H326" i="21"/>
  <c r="H327" i="21" l="1"/>
  <c r="K326" i="21"/>
  <c r="K327" i="21" l="1"/>
  <c r="H328" i="21"/>
  <c r="K328" i="21" l="1"/>
  <c r="H329" i="21"/>
  <c r="H330" i="21" l="1"/>
  <c r="K329" i="21"/>
  <c r="K330" i="21" l="1"/>
  <c r="H331" i="21"/>
  <c r="H332" i="21" l="1"/>
  <c r="K331" i="21"/>
  <c r="H333" i="21" l="1"/>
  <c r="K332" i="21"/>
  <c r="K333" i="21" l="1"/>
  <c r="H334" i="21"/>
  <c r="H335" i="21" l="1"/>
  <c r="K334" i="21"/>
  <c r="K335" i="21" l="1"/>
  <c r="H336" i="21"/>
  <c r="H337" i="21" l="1"/>
  <c r="K336" i="21"/>
  <c r="H338" i="21" l="1"/>
  <c r="K337" i="21"/>
  <c r="H339" i="21" l="1"/>
  <c r="K338" i="21"/>
  <c r="K339" i="21" l="1"/>
  <c r="H340" i="21"/>
  <c r="K340" i="21" l="1"/>
  <c r="H341" i="21"/>
  <c r="H342" i="21" l="1"/>
  <c r="K341" i="21"/>
  <c r="K342" i="21" l="1"/>
  <c r="H343" i="21"/>
  <c r="K343" i="21" l="1"/>
  <c r="H344" i="21"/>
  <c r="H345" i="21" l="1"/>
  <c r="K344" i="21"/>
  <c r="K345" i="21" l="1"/>
  <c r="H346" i="21"/>
  <c r="H347" i="21" l="1"/>
  <c r="K346" i="21"/>
  <c r="H348" i="21" l="1"/>
  <c r="K347" i="21"/>
  <c r="K348" i="21" l="1"/>
  <c r="H349" i="21"/>
  <c r="H350" i="21" l="1"/>
  <c r="K349" i="21"/>
  <c r="K350" i="21" l="1"/>
  <c r="H351" i="21"/>
  <c r="H352" i="21" l="1"/>
  <c r="K351" i="21"/>
  <c r="K352" i="21" l="1"/>
  <c r="H353" i="21"/>
  <c r="K353" i="21" l="1"/>
  <c r="H354" i="21"/>
  <c r="H355" i="21" l="1"/>
  <c r="K354" i="21"/>
  <c r="K355" i="21" l="1"/>
  <c r="H356" i="21"/>
  <c r="H357" i="21" l="1"/>
  <c r="K356" i="21"/>
  <c r="H358" i="21" l="1"/>
  <c r="K357" i="21"/>
  <c r="H359" i="21" l="1"/>
  <c r="K358" i="21"/>
  <c r="H360" i="21" l="1"/>
  <c r="K359" i="21"/>
  <c r="K360" i="21" l="1"/>
  <c r="H361" i="21"/>
  <c r="K361" i="21" l="1"/>
  <c r="H362" i="21"/>
  <c r="H363" i="21" l="1"/>
  <c r="K362" i="21"/>
  <c r="H364" i="21" l="1"/>
  <c r="K363" i="21"/>
  <c r="H365" i="21" l="1"/>
  <c r="K364" i="21"/>
  <c r="K365" i="21" l="1"/>
  <c r="H366" i="21"/>
  <c r="H367" i="21" l="1"/>
  <c r="K366" i="21"/>
  <c r="K367" i="21" l="1"/>
  <c r="H368" i="21"/>
  <c r="K368" i="21" l="1"/>
  <c r="H369" i="21"/>
  <c r="K369" i="21" l="1"/>
  <c r="H370" i="21"/>
  <c r="K370" i="21" l="1"/>
  <c r="H371" i="21"/>
  <c r="H372" i="21" l="1"/>
  <c r="K371" i="21"/>
  <c r="K372" i="21" l="1"/>
  <c r="H373" i="21"/>
  <c r="H374" i="21" l="1"/>
  <c r="K373" i="21"/>
  <c r="H375" i="21" l="1"/>
  <c r="K374" i="21"/>
  <c r="K375" i="21" l="1"/>
  <c r="H376" i="21"/>
  <c r="H377" i="21" l="1"/>
  <c r="K376" i="21"/>
  <c r="H378" i="21" l="1"/>
  <c r="K377" i="21"/>
  <c r="H379" i="21" l="1"/>
  <c r="K378" i="21"/>
  <c r="H380" i="21" l="1"/>
  <c r="K379" i="21"/>
  <c r="K380" i="21" l="1"/>
  <c r="H381" i="21"/>
  <c r="H382" i="21" l="1"/>
  <c r="K381" i="21"/>
  <c r="H383" i="21" l="1"/>
  <c r="K382" i="21"/>
  <c r="K383" i="21" l="1"/>
  <c r="H384" i="21"/>
  <c r="K384" i="21" l="1"/>
  <c r="H385" i="21"/>
  <c r="K385" i="21" l="1"/>
  <c r="H386" i="21"/>
  <c r="K386" i="21" l="1"/>
  <c r="H387" i="21"/>
  <c r="H388" i="21" l="1"/>
  <c r="K387" i="21"/>
  <c r="H389" i="21" l="1"/>
  <c r="K388" i="21"/>
  <c r="H390" i="21" l="1"/>
  <c r="K389" i="21"/>
  <c r="K390" i="21" l="1"/>
  <c r="H391" i="21"/>
  <c r="K391" i="21" l="1"/>
  <c r="H392" i="21"/>
  <c r="H393" i="21" l="1"/>
  <c r="K392" i="21"/>
  <c r="K393" i="21" l="1"/>
  <c r="H394" i="21"/>
  <c r="H395" i="21" l="1"/>
  <c r="K394" i="21"/>
  <c r="K395" i="21" l="1"/>
  <c r="H396" i="21"/>
  <c r="H397" i="21" l="1"/>
  <c r="K396" i="21"/>
  <c r="H398" i="21" l="1"/>
  <c r="K397" i="21"/>
  <c r="K398" i="21" l="1"/>
  <c r="H399" i="21"/>
  <c r="H400" i="21" l="1"/>
  <c r="K399" i="21"/>
  <c r="K400" i="21" l="1"/>
  <c r="H401" i="21"/>
  <c r="H402" i="21" l="1"/>
  <c r="K401" i="21"/>
  <c r="H403" i="21" l="1"/>
  <c r="K402" i="21"/>
  <c r="H404" i="21" l="1"/>
  <c r="K403" i="21"/>
  <c r="H405" i="21" l="1"/>
  <c r="K404" i="21"/>
  <c r="K405" i="21" l="1"/>
  <c r="H406" i="21"/>
  <c r="H407" i="21" l="1"/>
  <c r="K406" i="21"/>
  <c r="K407" i="21" l="1"/>
  <c r="H408" i="21"/>
  <c r="H409" i="21" l="1"/>
  <c r="K408" i="21"/>
  <c r="H410" i="21" l="1"/>
  <c r="K409" i="21"/>
  <c r="K410" i="21" l="1"/>
  <c r="H411" i="21"/>
  <c r="H412" i="21" l="1"/>
  <c r="K411" i="21"/>
  <c r="H413" i="21" l="1"/>
  <c r="K412" i="21"/>
  <c r="K413" i="21" l="1"/>
  <c r="H414" i="21"/>
  <c r="H415" i="21" l="1"/>
  <c r="K414" i="21"/>
  <c r="K415" i="21" l="1"/>
  <c r="H416" i="21"/>
  <c r="H417" i="21" l="1"/>
  <c r="K416" i="21"/>
  <c r="H418" i="21" l="1"/>
  <c r="K417" i="21"/>
  <c r="H419" i="21" l="1"/>
  <c r="K418" i="21"/>
  <c r="H420" i="21" l="1"/>
  <c r="K419" i="21"/>
  <c r="K420" i="21" l="1"/>
  <c r="H421" i="21"/>
  <c r="K421" i="21" l="1"/>
  <c r="H422" i="21"/>
  <c r="H423" i="21" l="1"/>
  <c r="K422" i="21"/>
  <c r="K423" i="21" l="1"/>
  <c r="H424" i="21"/>
  <c r="H425" i="21" l="1"/>
  <c r="K424" i="21"/>
  <c r="K425" i="21" l="1"/>
  <c r="H426" i="21"/>
  <c r="H427" i="21" l="1"/>
  <c r="K426" i="21"/>
  <c r="H428" i="21" l="1"/>
  <c r="K427" i="21"/>
  <c r="K428" i="21" l="1"/>
  <c r="H429" i="21"/>
  <c r="K429" i="21" l="1"/>
  <c r="H430" i="21"/>
  <c r="K430" i="21" l="1"/>
  <c r="H431" i="21"/>
  <c r="H432" i="21" l="1"/>
  <c r="K431" i="21"/>
  <c r="K432" i="21" l="1"/>
  <c r="H433" i="21"/>
  <c r="H434" i="21" l="1"/>
  <c r="K433" i="21"/>
  <c r="H435" i="21" l="1"/>
  <c r="K434" i="21"/>
  <c r="K435" i="21" l="1"/>
  <c r="H436" i="21"/>
  <c r="K436" i="21" l="1"/>
  <c r="H437" i="21"/>
  <c r="H438" i="21" l="1"/>
  <c r="K437" i="21"/>
  <c r="H439" i="21" l="1"/>
  <c r="K438" i="21"/>
  <c r="H440" i="21" l="1"/>
  <c r="K439" i="21"/>
  <c r="K440" i="21" l="1"/>
  <c r="H441" i="21"/>
  <c r="H442" i="21" l="1"/>
  <c r="K441" i="21"/>
  <c r="K442" i="21" l="1"/>
  <c r="H443" i="21"/>
  <c r="K443" i="21" l="1"/>
  <c r="H444" i="21"/>
  <c r="H445" i="21" l="1"/>
  <c r="K444" i="21"/>
  <c r="K445" i="21" l="1"/>
  <c r="H446" i="21"/>
  <c r="K446" i="21" l="1"/>
  <c r="H447" i="21"/>
  <c r="H448" i="21" l="1"/>
  <c r="K447" i="21"/>
  <c r="H449" i="21" l="1"/>
  <c r="K448" i="21"/>
  <c r="H450" i="21" l="1"/>
  <c r="K449" i="21"/>
  <c r="K450" i="21" l="1"/>
  <c r="H451" i="21"/>
  <c r="H452" i="21" l="1"/>
  <c r="K451" i="21"/>
  <c r="H453" i="21" l="1"/>
  <c r="K452" i="21"/>
  <c r="H454" i="21" l="1"/>
  <c r="K453" i="21"/>
  <c r="H455" i="21" l="1"/>
  <c r="K454" i="21"/>
  <c r="K455" i="21" l="1"/>
  <c r="H456" i="21"/>
  <c r="H457" i="21" l="1"/>
  <c r="K456" i="21"/>
  <c r="H458" i="21" l="1"/>
  <c r="K457" i="21"/>
  <c r="H459" i="21" l="1"/>
  <c r="K458" i="21"/>
  <c r="H460" i="21" l="1"/>
  <c r="K459" i="21"/>
  <c r="K460" i="21" l="1"/>
  <c r="H461" i="21"/>
  <c r="H462" i="21" l="1"/>
  <c r="K461" i="21"/>
  <c r="K462" i="21" l="1"/>
  <c r="H463" i="21"/>
  <c r="H464" i="21" l="1"/>
  <c r="K463" i="21"/>
  <c r="K464" i="21" l="1"/>
  <c r="H465" i="21"/>
  <c r="K465" i="21" l="1"/>
  <c r="H466" i="21"/>
  <c r="H467" i="21" l="1"/>
  <c r="K466" i="21"/>
  <c r="K467" i="21" l="1"/>
  <c r="H468" i="21"/>
  <c r="H469" i="21" l="1"/>
  <c r="K468" i="21"/>
  <c r="K469" i="21" l="1"/>
  <c r="H470" i="21"/>
  <c r="K47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Zhuñi</author>
    <author>Auxprod6</author>
  </authors>
  <commentList>
    <comment ref="N5" authorId="0" shapeId="0" xr:uid="{12E1D3B9-E38A-4662-8F6C-9BA40EA4A321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" authorId="0" shapeId="0" xr:uid="{5EE9CF95-4C77-458D-BFB3-9FE0F4DFA3A2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" authorId="0" shapeId="0" xr:uid="{1D86C41B-03D6-47E3-9489-4C083CFCFE30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" authorId="1" shapeId="0" xr:uid="{5B6C8017-5D11-43E6-9EC3-37DBCB9C0889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9" authorId="1" shapeId="0" xr:uid="{9DAFA413-B8E0-43B9-8D29-6B99086B0BFE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N27" authorId="0" shapeId="0" xr:uid="{FD37D935-CFB4-4EAB-84F1-A5BCA8C007C2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D808E1BF-8749-4232-8CBD-E43DE761CE25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7" authorId="0" shapeId="0" xr:uid="{D52BE41B-A4D0-4067-A6E2-467751A81296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" authorId="1" shapeId="0" xr:uid="{9F516709-42AB-4CB5-BE2C-2A951E8B90B2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31" authorId="1" shapeId="0" xr:uid="{483D0F95-5DF4-46F6-921D-31F60ECD97AB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N49" authorId="0" shapeId="0" xr:uid="{373DF15C-E0E1-42B2-9920-4127CDAB221D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9" authorId="0" shapeId="0" xr:uid="{5BD8E15D-FFB6-4841-83DB-114C4642A1DA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9" authorId="0" shapeId="0" xr:uid="{CE7CED2F-67E9-4E1F-9AF5-60639A90D4DE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1" authorId="1" shapeId="0" xr:uid="{482B9913-81E6-4989-8067-983A627F4295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52" authorId="1" shapeId="0" xr:uid="{3DA1FD1F-1414-4C97-B395-2044C1DFF4E5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N71" authorId="0" shapeId="0" xr:uid="{25E5B8A1-6D8A-4053-9E63-AFCA2A3FE3B5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1" authorId="0" shapeId="0" xr:uid="{7DE07407-404E-4B4B-94D8-C63F48971550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71" authorId="0" shapeId="0" xr:uid="{DBE0665B-4993-4AE9-AAF5-2CE5536A84F0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3" authorId="1" shapeId="0" xr:uid="{003DF56A-386C-4969-ACA2-DD9518F49F97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74" authorId="1" shapeId="0" xr:uid="{1D9C44D0-2785-418C-9ACE-44195E5F71C7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N93" authorId="0" shapeId="0" xr:uid="{1AF5DBA6-7888-4C0A-B7E6-1F9149042449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3" authorId="0" shapeId="0" xr:uid="{1BB47371-5DAF-4131-9A6F-6A4DEF96114E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93" authorId="0" shapeId="0" xr:uid="{5258868A-E98A-42CB-A246-860FFC837A3B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6" authorId="1" shapeId="0" xr:uid="{D63A4F8D-8055-4512-84DB-1221F0DC826C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102" authorId="1" shapeId="0" xr:uid="{ACA5AAAC-A6C1-4F6E-9AD4-669692ED5AAF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N115" authorId="0" shapeId="0" xr:uid="{31B95BCE-D0F4-4F62-8612-B92B03A2B6F5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5" authorId="0" shapeId="0" xr:uid="{BF2ECBD9-C948-4047-91F9-B6097E2B969F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15" authorId="0" shapeId="0" xr:uid="{059014F1-1944-4BB5-82C6-9C0AF2A7A681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8" authorId="1" shapeId="0" xr:uid="{9662D834-CDC9-4576-AA3C-729574175799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124" authorId="1" shapeId="0" xr:uid="{AFFF1649-5A65-4B4C-90C6-681BD464DEB1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N137" authorId="0" shapeId="0" xr:uid="{F91BD86A-F8ED-4B78-A4E8-1D44AFAEFB37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7" authorId="0" shapeId="0" xr:uid="{64908C1E-69BC-48B0-85B6-68CDFA4A864F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7" authorId="0" shapeId="0" xr:uid="{F3506D20-B846-4EAC-AAC2-22D8ED5F78B1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9" authorId="1" shapeId="0" xr:uid="{2F923A14-D728-4556-BC6C-55DFCA9D46B4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146" authorId="1" shapeId="0" xr:uid="{F8160741-A8BB-47BD-AD1C-BD7518D35419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N159" authorId="0" shapeId="0" xr:uid="{FF5C142E-8E9C-49E6-8719-CF84A1E10359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9" authorId="0" shapeId="0" xr:uid="{84F71FA8-38AD-4A00-81E4-99521A0C178D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59" authorId="0" shapeId="0" xr:uid="{78E23609-147E-49FC-BFA5-2584DC33A528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1" authorId="1" shapeId="0" xr:uid="{45A9A70A-8171-4BF5-9A3C-1B22623068F5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168" authorId="1" shapeId="0" xr:uid="{7069200C-E007-4B11-A474-4F495997AB39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Zhuñi</author>
    <author>Auxprod6</author>
  </authors>
  <commentList>
    <comment ref="N5" authorId="0" shapeId="0" xr:uid="{A3CBFB5D-D1D7-43CB-A391-B8848E8B1427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" authorId="0" shapeId="0" xr:uid="{4334E42A-1CC5-4FD7-AFE9-074527D1B2C5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" authorId="0" shapeId="0" xr:uid="{7E153F7E-C8F3-475A-A4AD-F2E46E8592FD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" authorId="1" shapeId="0" xr:uid="{70051EB6-5281-431C-8A94-F91CEB01D8A6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9" authorId="1" shapeId="0" xr:uid="{303E8FC5-F45E-47E0-A794-FE8E826B9FA1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N27" authorId="0" shapeId="0" xr:uid="{C21579E6-9586-4E77-AFE9-8695D478D1E2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4D211F8F-3392-44B1-8D74-5B74A8DC63D1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7" authorId="0" shapeId="0" xr:uid="{EAC6D231-3E30-40AE-AC3F-18B2BD1E57C9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" authorId="1" shapeId="0" xr:uid="{3AEE34E1-131E-4BFF-8E67-8FCDFE03159C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I32" authorId="1" shapeId="0" xr:uid="{D111918C-254F-41A5-AEDF-6C2A2D1004F8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I36" authorId="1" shapeId="0" xr:uid="{41EC0E30-D9CB-475A-B7A4-7BD78BC945C1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N49" authorId="0" shapeId="0" xr:uid="{BFE24241-F75A-4657-9E48-7BFEBB06B093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9" authorId="0" shapeId="0" xr:uid="{340E1919-C3AB-4E19-9155-F1E61CF5B6A2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9" authorId="0" shapeId="0" xr:uid="{A348B8D0-87A1-4B24-B8ED-5B6D77F82BD0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1" authorId="1" shapeId="0" xr:uid="{02D48D2E-67B4-4931-BF22-D4F3F3362DC1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I54" authorId="1" shapeId="0" xr:uid="{F9E9EA54-D2B8-45CD-93F1-A3AC7FB6DF61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I58" authorId="1" shapeId="0" xr:uid="{896516AE-2357-4D09-9FC6-D290FE5390C1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N71" authorId="0" shapeId="0" xr:uid="{7E5B0BC0-12D1-40D6-9531-3A940C1B71B6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1" authorId="0" shapeId="0" xr:uid="{D65A392A-2E31-4094-971E-676F60B31B8C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71" authorId="0" shapeId="0" xr:uid="{2A5FE431-9B4E-43EA-BFAF-88423D7B72AB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3" authorId="1" shapeId="0" xr:uid="{DF48C3D6-7A04-419E-AB24-261602F6F451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74" authorId="1" shapeId="0" xr:uid="{B31808CB-1A62-4E61-8BF0-ED09F2BE05ED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N93" authorId="0" shapeId="0" xr:uid="{0DC14087-8468-4DE8-AE0E-C753120695FB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3" authorId="0" shapeId="0" xr:uid="{528AF55C-7DF7-4D1A-A8F7-ADABE887FFD9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93" authorId="0" shapeId="0" xr:uid="{528919D0-38C5-4D5D-9D06-AD7684BE16C4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6" authorId="1" shapeId="0" xr:uid="{18B49114-66D2-46A0-80C9-6B5A1204E1DF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102" authorId="1" shapeId="0" xr:uid="{2316A07B-FF93-4D78-8612-DA5287DE181C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N115" authorId="0" shapeId="0" xr:uid="{895ECC47-29D0-4771-9112-2C8EF26E8846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5" authorId="0" shapeId="0" xr:uid="{14710BAB-7E27-4872-AC53-66586CB1D68F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15" authorId="0" shapeId="0" xr:uid="{AD0AA449-29C6-4329-95D2-96BFCB616DBE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7" authorId="1" shapeId="0" xr:uid="{C3E5D55A-92C6-4A10-9751-ADF5FB2AD00B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I120" authorId="1" shapeId="0" xr:uid="{CDDB7FF2-B8DC-4502-A1EB-59899D2455EE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I124" authorId="1" shapeId="0" xr:uid="{C796BEF0-5419-4B99-97C1-E51098F08931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N137" authorId="0" shapeId="0" xr:uid="{1F076D4C-B13A-4935-A5A1-2ACB9C0F89E6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7" authorId="0" shapeId="0" xr:uid="{BBC8D498-1D6F-4C75-AE6D-52B525EB409B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7" authorId="0" shapeId="0" xr:uid="{C6C6634B-4B8E-46B5-8CF7-FD57FA3BF424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9" authorId="1" shapeId="0" xr:uid="{85B89D62-6E4E-41CD-8627-2859203188B7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I141" authorId="1" shapeId="0" xr:uid="{CFE8ABB7-D0A2-44D7-8C60-82C76BF94E58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I145" authorId="1" shapeId="0" xr:uid="{D29122BA-34FD-4A1A-8BC0-BA8CAC579957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 (polvo 5 veces mas concentrado)</t>
        </r>
      </text>
    </comment>
    <comment ref="N159" authorId="0" shapeId="0" xr:uid="{B8B8040F-4BDD-426A-A350-03CDDEB59FA1}">
      <text>
        <r>
          <rPr>
            <b/>
            <sz val="9"/>
            <color indexed="81"/>
            <rFont val="Tahoma"/>
            <family val="2"/>
          </rPr>
          <t>Antes de 2008, dosis 8,00 cc, actual 6,00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9" authorId="0" shapeId="0" xr:uid="{A4AA8677-5057-4275-9355-F8E0F015886A}">
      <text>
        <r>
          <rPr>
            <b/>
            <sz val="9"/>
            <color indexed="81"/>
            <rFont val="Tahoma"/>
            <family val="2"/>
          </rPr>
          <t>Antes de 2008, dosis 3,00 cc, actual 8,00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59" authorId="0" shapeId="0" xr:uid="{7155A801-5FA9-4DFF-9E17-1BDBB4ECD052}">
      <text>
        <r>
          <rPr>
            <b/>
            <sz val="9"/>
            <color indexed="81"/>
            <rFont val="Tahoma"/>
            <family val="2"/>
          </rPr>
          <t>Antes de 2008, dosis 5,00 fundas, actual 1,00 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1" authorId="1" shapeId="0" xr:uid="{6A4E0DF1-F3BE-4EBD-ABD2-D25B36ABC41C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  <comment ref="I168" authorId="1" shapeId="0" xr:uid="{DD1A7CD3-0835-448D-9FB4-2F24F4AB8F1E}">
      <text>
        <r>
          <rPr>
            <b/>
            <sz val="9"/>
            <color indexed="81"/>
            <rFont val="Tahoma"/>
            <family val="2"/>
          </rPr>
          <t>Auxprod6:</t>
        </r>
        <r>
          <rPr>
            <sz val="9"/>
            <color indexed="81"/>
            <rFont val="Tahoma"/>
            <family val="2"/>
          </rPr>
          <t xml:space="preserve">
semana 2216 cambia acido humico por humistar wg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Manuel Zhuñi</author>
  </authors>
  <commentList>
    <comment ref="G6" authorId="0" shapeId="0" xr:uid="{0FF3174E-1EE3-4390-BEAA-B31C1DCB3589}">
      <text>
        <r>
          <rPr>
            <sz val="9"/>
            <color indexed="81"/>
            <rFont val="Tahoma"/>
            <family val="2"/>
          </rPr>
          <t xml:space="preserve">pH 6.0 a 7.0 antes 1549
</t>
        </r>
      </text>
    </comment>
    <comment ref="H19" authorId="0" shapeId="0" xr:uid="{14177DD0-7BF1-4858-836C-31601ABBFA68}">
      <text>
        <r>
          <rPr>
            <sz val="9"/>
            <color indexed="81"/>
            <rFont val="Tahoma"/>
            <family val="2"/>
          </rPr>
          <t xml:space="preserve">Reingreso 2 antes de 1549
</t>
        </r>
      </text>
    </comment>
    <comment ref="G30" authorId="0" shapeId="0" xr:uid="{DA49E3A1-EF45-469A-8EBB-19C708394C3E}">
      <text>
        <r>
          <rPr>
            <sz val="9"/>
            <color indexed="81"/>
            <rFont val="Tahoma"/>
            <family val="2"/>
          </rPr>
          <t xml:space="preserve">pH  de 5.5  antes 1549
</t>
        </r>
      </text>
    </comment>
    <comment ref="H40" authorId="0" shapeId="0" xr:uid="{B6D2C15D-2B87-4870-A6D5-B26C2B2FD69F}">
      <text>
        <r>
          <rPr>
            <sz val="9"/>
            <color indexed="81"/>
            <rFont val="Tahoma"/>
            <family val="2"/>
          </rPr>
          <t xml:space="preserve">Reingreso 48 antes de 1549
</t>
        </r>
      </text>
    </comment>
    <comment ref="G62" authorId="0" shapeId="0" xr:uid="{CC930B9D-E366-4801-9926-720A5F7D6B2C}">
      <text>
        <r>
          <rPr>
            <sz val="9"/>
            <color indexed="81"/>
            <rFont val="Tahoma"/>
            <family val="2"/>
          </rPr>
          <t xml:space="preserve">pH 6.0 a 6.5 antes 1549
</t>
        </r>
      </text>
    </comment>
    <comment ref="G70" authorId="0" shapeId="0" xr:uid="{CAA4AB23-2491-4974-BF7F-6B4B05A3A705}">
      <text>
        <r>
          <rPr>
            <sz val="9"/>
            <color indexed="81"/>
            <rFont val="Tahoma"/>
            <family val="2"/>
          </rPr>
          <t xml:space="preserve">pH  de 5.5  antes 1549
</t>
        </r>
      </text>
    </comment>
    <comment ref="G113" authorId="0" shapeId="0" xr:uid="{E26D16F8-5E20-440A-93F9-40AB6A78FB64}">
      <text>
        <r>
          <rPr>
            <sz val="9"/>
            <color indexed="81"/>
            <rFont val="Tahoma"/>
            <family val="2"/>
          </rPr>
          <t xml:space="preserve">pH 6.0 a 6.5 antes 1549
</t>
        </r>
      </text>
    </comment>
    <comment ref="G114" authorId="0" shapeId="0" xr:uid="{589678FD-B97B-4548-B626-25555A3C5865}">
      <text>
        <r>
          <rPr>
            <sz val="9"/>
            <color indexed="81"/>
            <rFont val="Tahoma"/>
            <family val="2"/>
          </rPr>
          <t xml:space="preserve">pH 6.0 a 6.5 antes 1549
</t>
        </r>
      </text>
    </comment>
    <comment ref="G118" authorId="0" shapeId="0" xr:uid="{15C58CE0-B655-4FFF-8251-2E75E0D64BC5}">
      <text>
        <r>
          <rPr>
            <b/>
            <sz val="9"/>
            <color indexed="81"/>
            <rFont val="Tahoma"/>
            <family val="2"/>
          </rPr>
          <t>PH de fitoras 6.0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9" authorId="0" shapeId="0" xr:uid="{80BC338A-7A39-4AEF-85A5-14188DB4D3F0}">
      <text>
        <r>
          <rPr>
            <sz val="9"/>
            <color indexed="81"/>
            <rFont val="Tahoma"/>
            <family val="2"/>
          </rPr>
          <t xml:space="preserve">pH  4.5 a 7.5  antes 1549
</t>
        </r>
      </text>
    </comment>
    <comment ref="G176" authorId="0" shapeId="0" xr:uid="{94B4C902-5F95-4104-867D-02EB3EB1D8C6}">
      <text>
        <r>
          <rPr>
            <sz val="9"/>
            <color indexed="81"/>
            <rFont val="Tahoma"/>
            <family val="2"/>
          </rPr>
          <t xml:space="preserve">pH  de 5.5  antes 1549
</t>
        </r>
      </text>
    </comment>
    <comment ref="H176" authorId="0" shapeId="0" xr:uid="{E6C06EDB-5ADE-4358-AB44-72F8FD0C98FC}">
      <text>
        <r>
          <rPr>
            <b/>
            <sz val="9"/>
            <color indexed="81"/>
            <rFont val="Tahoma"/>
            <family val="2"/>
          </rPr>
          <t>Reingreso de Antracol 5.5 (Propineb)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2" authorId="0" shapeId="0" xr:uid="{1F5558A3-07AA-4765-87B0-0D82CC67E02C}">
      <text>
        <r>
          <rPr>
            <b/>
            <sz val="9"/>
            <color indexed="81"/>
            <rFont val="Tahoma"/>
            <family val="2"/>
          </rPr>
          <t>PH de fitoras 5.5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0" authorId="0" shapeId="0" xr:uid="{167C6C3B-0D1B-4CD8-BB03-DFA6F9490153}">
      <text>
        <r>
          <rPr>
            <sz val="9"/>
            <color indexed="81"/>
            <rFont val="Tahoma"/>
            <family val="2"/>
          </rPr>
          <t xml:space="preserve">pH  de 5.0  antes 1549
</t>
        </r>
      </text>
    </comment>
    <comment ref="G215" authorId="0" shapeId="0" xr:uid="{C7DB11C1-2444-45FE-B4D6-E85B97824ED5}">
      <text>
        <r>
          <rPr>
            <sz val="9"/>
            <color indexed="81"/>
            <rFont val="Tahoma"/>
            <family val="2"/>
          </rPr>
          <t xml:space="preserve">pH 4.5 a 7.5 antes 1549
</t>
        </r>
      </text>
    </comment>
    <comment ref="G255" authorId="0" shapeId="0" xr:uid="{C905C8F1-4D0C-47D0-A209-8775F39984BE}">
      <text>
        <r>
          <rPr>
            <sz val="9"/>
            <color indexed="81"/>
            <rFont val="Tahoma"/>
            <family val="2"/>
          </rPr>
          <t xml:space="preserve">pH 5.0 a 6.0 antes 1549
</t>
        </r>
      </text>
    </comment>
    <comment ref="G276" authorId="0" shapeId="0" xr:uid="{4CBEB7C7-9027-4BE3-BE1B-D883E219FD97}">
      <text>
        <r>
          <rPr>
            <sz val="9"/>
            <color indexed="81"/>
            <rFont val="Tahoma"/>
            <family val="2"/>
          </rPr>
          <t xml:space="preserve">pH  de 5.5  antes 1549
</t>
        </r>
      </text>
    </comment>
    <comment ref="G287" authorId="0" shapeId="0" xr:uid="{FA88280C-D501-45C1-957B-00675F75D983}">
      <text>
        <r>
          <rPr>
            <sz val="9"/>
            <color indexed="81"/>
            <rFont val="Tahoma"/>
            <family val="2"/>
          </rPr>
          <t xml:space="preserve">pH 5.0 a 6.0 antes 1549
</t>
        </r>
      </text>
    </comment>
    <comment ref="G289" authorId="0" shapeId="0" xr:uid="{69C28C7B-CA31-49E0-BA8F-9E906CD7E7F3}">
      <text>
        <r>
          <rPr>
            <sz val="9"/>
            <color indexed="81"/>
            <rFont val="Tahoma"/>
            <family val="2"/>
          </rPr>
          <t xml:space="preserve">pH  de 5.5  antes 1549
</t>
        </r>
      </text>
    </comment>
    <comment ref="G297" authorId="0" shapeId="0" xr:uid="{F858CD7F-36DC-478C-AD70-C04C0E3C37C7}">
      <text>
        <r>
          <rPr>
            <sz val="9"/>
            <color indexed="81"/>
            <rFont val="Tahoma"/>
            <family val="2"/>
          </rPr>
          <t xml:space="preserve">pH  de 5.5  antes 1549
</t>
        </r>
      </text>
    </comment>
    <comment ref="G299" authorId="0" shapeId="0" xr:uid="{4C8EB3A3-8C66-427E-88DC-BBE1836007CF}">
      <text>
        <r>
          <rPr>
            <sz val="9"/>
            <color indexed="81"/>
            <rFont val="Tahoma"/>
            <family val="2"/>
          </rPr>
          <t xml:space="preserve">pH 5.0 a 6.0 antes 1549
</t>
        </r>
      </text>
    </comment>
    <comment ref="H300" authorId="0" shapeId="0" xr:uid="{84460725-AC5A-472B-965C-BC7918BF2A41}">
      <text>
        <r>
          <rPr>
            <sz val="9"/>
            <color indexed="81"/>
            <rFont val="Tahoma"/>
            <family val="2"/>
          </rPr>
          <t xml:space="preserve">Reingreso 12 antes de 1549
</t>
        </r>
      </text>
    </comment>
    <comment ref="G305" authorId="0" shapeId="0" xr:uid="{225E6BF4-B211-4D8C-B54C-DC25B9F2B08D}">
      <text>
        <r>
          <rPr>
            <sz val="9"/>
            <color indexed="81"/>
            <rFont val="Tahoma"/>
            <family val="2"/>
          </rPr>
          <t xml:space="preserve">pH 5.0 a 7.0 antes 1549
</t>
        </r>
      </text>
    </comment>
    <comment ref="G311" authorId="0" shapeId="0" xr:uid="{0E3CB5E3-467A-4378-84C7-A87EF223F7CC}">
      <text>
        <r>
          <rPr>
            <sz val="9"/>
            <color indexed="81"/>
            <rFont val="Tahoma"/>
            <family val="2"/>
          </rPr>
          <t xml:space="preserve">pH  de 5.0  antes 1549
</t>
        </r>
      </text>
    </comment>
    <comment ref="G352" authorId="0" shapeId="0" xr:uid="{60F72C40-C431-4BA7-9083-80733B444C4E}">
      <text>
        <r>
          <rPr>
            <sz val="9"/>
            <color indexed="81"/>
            <rFont val="Tahoma"/>
            <family val="2"/>
          </rPr>
          <t xml:space="preserve">pH 5.0 a 6.0 antes 1549
</t>
        </r>
      </text>
    </comment>
    <comment ref="G366" authorId="0" shapeId="0" xr:uid="{1714600B-C0A0-473C-8A75-0F5C312D9CD2}">
      <text>
        <r>
          <rPr>
            <sz val="9"/>
            <color indexed="81"/>
            <rFont val="Tahoma"/>
            <family val="2"/>
          </rPr>
          <t xml:space="preserve">pH  de 5.0  antes 1549
</t>
        </r>
      </text>
    </comment>
    <comment ref="G402" authorId="0" shapeId="0" xr:uid="{6CCC23C3-3579-40A4-BB28-65397414C735}">
      <text>
        <r>
          <rPr>
            <sz val="9"/>
            <color indexed="81"/>
            <rFont val="Tahoma"/>
            <family val="2"/>
          </rPr>
          <t xml:space="preserve">pH 5.0 a 6.0 antes 1549
</t>
        </r>
      </text>
    </comment>
    <comment ref="G408" authorId="0" shapeId="0" xr:uid="{57F9AE6A-B9E1-48D1-B916-6A487748D007}">
      <text>
        <r>
          <rPr>
            <sz val="9"/>
            <color indexed="81"/>
            <rFont val="Tahoma"/>
            <family val="2"/>
          </rPr>
          <t xml:space="preserve">pH 5.0 a 6.0 antes 1549
</t>
        </r>
      </text>
    </comment>
    <comment ref="G415" authorId="0" shapeId="0" xr:uid="{47FEBE8B-460F-4EBE-8046-F54880209576}">
      <text>
        <r>
          <rPr>
            <sz val="9"/>
            <color indexed="81"/>
            <rFont val="Tahoma"/>
            <family val="2"/>
          </rPr>
          <t xml:space="preserve">pH 5.0 a 6.0 antes 1549
</t>
        </r>
      </text>
    </comment>
    <comment ref="A420" authorId="1" shapeId="0" xr:uid="{1D7D60FC-2DD0-45B2-BB2E-E4FE094F4FE1}">
      <text>
        <r>
          <rPr>
            <b/>
            <sz val="9"/>
            <color indexed="81"/>
            <rFont val="Tahoma"/>
            <family val="2"/>
          </rPr>
          <t>ACARAMIK 1,8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Auxprod4</author>
    <author>Carmen</author>
    <author>Manuel Zhuñi</author>
    <author>Auxprod5</author>
  </authors>
  <commentList>
    <comment ref="I3" authorId="0" shapeId="0" xr:uid="{1FA8ED9D-9648-407E-A74D-635A3F430827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" authorId="0" shapeId="0" xr:uid="{ED010859-E595-41EE-A7F8-C57430D8DFD6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" authorId="0" shapeId="0" xr:uid="{7467E33A-50AB-4FD0-8AC0-7789D4DF1D6A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0" shapeId="0" xr:uid="{69DD278D-EDC3-46AA-B6D7-A8DC8A256879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" authorId="0" shapeId="0" xr:uid="{745F507D-DD65-497B-A921-BAA017984572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5" authorId="0" shapeId="0" xr:uid="{1C4221C5-07ED-416C-9714-C1969D3CBAEA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" authorId="0" shapeId="0" xr:uid="{C15F7465-ADB1-4E87-B01C-C9AA43B0D076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" authorId="0" shapeId="0" xr:uid="{E7D8FE76-2C24-4EC3-9018-2A60626E9565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" authorId="0" shapeId="0" xr:uid="{A2C7E6BA-5EEE-4006-A5E2-587F5BDD8218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" authorId="0" shapeId="0" xr:uid="{80A7EB7C-D75F-4C2E-9135-C30726606709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" authorId="0" shapeId="0" xr:uid="{65242E3A-1C25-481B-99AD-19C6EBEC45A6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" authorId="0" shapeId="0" xr:uid="{DB932393-F860-4084-81B2-B69E84FE0E5E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" authorId="0" shapeId="0" xr:uid="{D94CD9B6-D105-4C32-978C-D8E9F98DC038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" authorId="0" shapeId="0" xr:uid="{15EE7A14-765D-41BE-B1CD-66C6597F78C6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" authorId="0" shapeId="0" xr:uid="{C92125AB-2D64-4712-99DE-79D46302C73D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0" shapeId="0" xr:uid="{55D609BE-3F4C-47DD-B177-730B06AD04A4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 xr:uid="{CC6EEFA9-55A1-42FF-B5C8-FDA3F2C2F596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FA655494-6659-4A15-A6FE-55AEC4D12A68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" authorId="0" shapeId="0" xr:uid="{F25A712A-9C16-449E-8ED1-59ED37DAE83C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" authorId="0" shapeId="0" xr:uid="{AF0CD0BA-AAC3-4A02-B21E-94DCB6937828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" authorId="0" shapeId="0" xr:uid="{6507BE49-86BE-4F8F-95F6-57F5EF8CF561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 xr:uid="{B1BF6E96-0522-4405-AE95-0AF7435A0C56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" authorId="0" shapeId="0" xr:uid="{900F7F00-E267-4421-8803-3B3917F3C0F8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0" shapeId="0" xr:uid="{8C8D0664-E991-4D9B-A31D-5B1FF795F1CA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" authorId="0" shapeId="0" xr:uid="{CEF5BF83-630F-47FA-9F0D-D6289BF77DC9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" authorId="0" shapeId="0" xr:uid="{48DF0903-E2EA-478C-90A0-ACB4C3A74A30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" authorId="0" shapeId="0" xr:uid="{A04C3EB4-DAA6-4847-88BA-8DBB7E92B64A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0" shapeId="0" xr:uid="{B32DE998-A8BA-4A80-9E56-795917E9F906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7" authorId="0" shapeId="0" xr:uid="{0A2A5319-AEEF-4AAB-A601-D76BA6CBAFBB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9A31E2D4-EF4C-41C2-A507-EA941967331C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0" shapeId="0" xr:uid="{5963AB19-63A4-440E-B741-83264A0EAA02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2CC4E4E9-0C8E-4830-88F4-E7745A1D9DCB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0" shapeId="0" xr:uid="{2AB34016-8510-4804-940A-612C21A16450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0" shapeId="0" xr:uid="{808195F4-93BD-4355-93D5-FD30FE31FDE7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" authorId="0" shapeId="0" xr:uid="{18BEFF53-593A-487B-804F-34F4A5E82234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" authorId="0" shapeId="0" xr:uid="{C661E675-ACA9-4795-B02E-6A10E0665023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1" authorId="0" shapeId="0" xr:uid="{54921640-D5F5-4244-921A-E81512F522E0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0" shapeId="0" xr:uid="{6E88D4EB-4511-4355-9A1C-E1977B5C4D97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" authorId="0" shapeId="0" xr:uid="{5F0AAC94-2C8C-47ED-A756-8CCA6A5AF814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28D13BC4-0B2D-4B3A-B29B-530260D0C3CD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" authorId="0" shapeId="0" xr:uid="{6FB19841-C99D-48B8-A4F1-D008C6F9759B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BD3BFB23-1A98-46E3-AA1E-DA3C39F733F6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4" authorId="0" shapeId="0" xr:uid="{8DDE09CA-1139-4CD9-9950-EDBA89ED36B2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5AD966D9-A00D-4504-9B31-A3DCD8A168E2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5" authorId="0" shapeId="0" xr:uid="{96D168B2-90D4-443D-B9DD-A3C020845C96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5" authorId="0" shapeId="0" xr:uid="{BDD8A3CC-88A9-40D2-A3AA-80892506486F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" authorId="0" shapeId="0" xr:uid="{380A9308-C3D2-4477-AEF6-57FAF24EDE4E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6" authorId="0" shapeId="0" xr:uid="{F99B431A-41A8-4CEC-96D3-71210723C41B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7" authorId="0" shapeId="0" xr:uid="{ED553877-5767-4FBA-9346-D4EB03258AE5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" authorId="0" shapeId="0" xr:uid="{46ABFC35-CC79-4584-A06E-C49D9D2B63FB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8" authorId="0" shapeId="0" xr:uid="{66ED77A4-1A01-430E-957C-44010CA8B630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8" authorId="0" shapeId="0" xr:uid="{D4C7CC99-8B2E-43FA-9A8E-6FEF11941023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" authorId="0" shapeId="0" xr:uid="{0CB058F6-E3D0-4CF6-A50F-24087F50C6EF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9" authorId="0" shapeId="0" xr:uid="{521A0256-CF5F-4B10-B1CD-19B13A46779F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0" authorId="0" shapeId="0" xr:uid="{453CB53B-9694-41FF-8ECB-01CF8DB84416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0" authorId="0" shapeId="0" xr:uid="{A6768B52-CC1D-42C0-9DC3-EBDE5420DBE2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1" authorId="0" shapeId="0" xr:uid="{155102BF-38E5-4FE8-A695-4EC2EAB2AD60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1" authorId="0" shapeId="0" xr:uid="{01F2AD62-DF2D-4324-8110-CFB577AF0DDA}">
      <text>
        <r>
          <rPr>
            <b/>
            <sz val="9"/>
            <color indexed="81"/>
            <rFont val="Tahoma"/>
            <family val="2"/>
          </rPr>
          <t>Cambio desde la semana 2131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8" authorId="1" shapeId="0" xr:uid="{F3651DE7-1F79-41AC-A34B-CA7DACEE0A4D}">
      <text>
        <r>
          <rPr>
            <sz val="9"/>
            <color indexed="81"/>
            <rFont val="Tahoma"/>
            <family val="2"/>
          </rPr>
          <t xml:space="preserve">Semana 1818 02/05/2018 se siembran 28450 plantas  de AND
</t>
        </r>
      </text>
    </comment>
    <comment ref="A189" authorId="1" shapeId="0" xr:uid="{9A490790-869D-45BA-8DE4-BF8B6929AE55}">
      <text>
        <r>
          <rPr>
            <b/>
            <sz val="9"/>
            <color indexed="81"/>
            <rFont val="Tahoma"/>
            <family val="2"/>
          </rPr>
          <t xml:space="preserve">*BQ 202C </t>
        </r>
        <r>
          <rPr>
            <sz val="9"/>
            <color indexed="81"/>
            <rFont val="Tahoma"/>
            <family val="2"/>
          </rPr>
          <t xml:space="preserve">Semana 1813 fecha 29/03/2018 se siembran 14224 plts de AND a 1778 p/c.
</t>
        </r>
        <r>
          <rPr>
            <b/>
            <sz val="9"/>
            <color indexed="81"/>
            <rFont val="Tahoma"/>
            <family val="2"/>
          </rPr>
          <t>*BQ 202B</t>
        </r>
        <r>
          <rPr>
            <sz val="9"/>
            <color indexed="81"/>
            <rFont val="Tahoma"/>
            <family val="2"/>
          </rPr>
          <t xml:space="preserve"> Semana 1814 fecha 06/04/2018 se siembran 14224 de AND a 1778p/c.
</t>
        </r>
        <r>
          <rPr>
            <b/>
            <sz val="9"/>
            <color indexed="81"/>
            <rFont val="Tahoma"/>
            <family val="2"/>
          </rPr>
          <t>esta adjuntado BQ 202C y 202B en la misma semana</t>
        </r>
      </text>
    </comment>
    <comment ref="A190" authorId="1" shapeId="0" xr:uid="{B63DB817-A2A5-46D8-B5EC-BA636E089DC8}">
      <text>
        <r>
          <rPr>
            <sz val="9"/>
            <color indexed="81"/>
            <rFont val="Tahoma"/>
            <family val="2"/>
          </rPr>
          <t xml:space="preserve">Semana 1815 13/04/2018 se siembran 21340 plantas  de AND
</t>
        </r>
      </text>
    </comment>
    <comment ref="A191" authorId="1" shapeId="0" xr:uid="{B8226BF5-9FEC-4F72-9A49-15E9A38E476B}">
      <text>
        <r>
          <rPr>
            <sz val="9"/>
            <color indexed="81"/>
            <rFont val="Tahoma"/>
            <family val="2"/>
          </rPr>
          <t xml:space="preserve">Semana 1815 12/04/2018 se siembran 28450 plantas  de AND
</t>
        </r>
      </text>
    </comment>
    <comment ref="A192" authorId="2" shapeId="0" xr:uid="{718ABF97-56C9-4DE9-8DA0-C983752E85A9}">
      <text>
        <r>
          <rPr>
            <sz val="9"/>
            <color indexed="81"/>
            <rFont val="Tahoma"/>
            <family val="2"/>
          </rPr>
          <t xml:space="preserve">Está adjuntado la siembra del 202B y 202C en la misma semana
</t>
        </r>
      </text>
    </comment>
    <comment ref="A193" authorId="1" shapeId="0" xr:uid="{5F9EA19E-53F7-440E-8D3D-DD27E31EA7F1}">
      <text>
        <r>
          <rPr>
            <sz val="9"/>
            <color indexed="81"/>
            <rFont val="Tahoma"/>
            <family val="2"/>
          </rPr>
          <t xml:space="preserve">Semana 1811 14/03/2018 se siembran 28448 plantas  de AND
</t>
        </r>
      </text>
    </comment>
    <comment ref="A194" authorId="3" shapeId="0" xr:uid="{2690BC74-8625-49C4-94AB-8645DE6D2747}">
      <text>
        <r>
          <rPr>
            <b/>
            <sz val="9"/>
            <color indexed="81"/>
            <rFont val="Tahoma"/>
            <family val="2"/>
          </rPr>
          <t xml:space="preserve">     Semana 1848 se siembra
*28160 plnts de Cloud (29/11/2018)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5" authorId="3" shapeId="0" xr:uid="{F5DE118D-88E7-46FF-81B9-E8B5CA7D5922}">
      <text>
        <r>
          <rPr>
            <b/>
            <sz val="9"/>
            <color indexed="81"/>
            <rFont val="Tahoma"/>
            <family val="2"/>
          </rPr>
          <t>BQ 203B se siembra en la semana 1850 CLOUD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1" authorId="3" shapeId="0" xr:uid="{3750D982-33FB-48DD-81B8-114F053EB05A}">
      <text>
        <r>
          <rPr>
            <sz val="9"/>
            <color indexed="81"/>
            <rFont val="Tahoma"/>
            <family val="2"/>
          </rPr>
          <t xml:space="preserve">Semana 1840 fecha 03/10/2018 
siembran 
</t>
        </r>
        <r>
          <rPr>
            <b/>
            <sz val="9"/>
            <color indexed="81"/>
            <rFont val="Tahoma"/>
            <family val="2"/>
          </rPr>
          <t>36080</t>
        </r>
        <r>
          <rPr>
            <sz val="9"/>
            <color indexed="81"/>
            <rFont val="Tahoma"/>
            <family val="2"/>
          </rPr>
          <t xml:space="preserve"> plnts de AND y
</t>
        </r>
        <r>
          <rPr>
            <b/>
            <sz val="9"/>
            <color indexed="81"/>
            <rFont val="Tahoma"/>
            <family val="2"/>
          </rPr>
          <t xml:space="preserve">6160  </t>
        </r>
        <r>
          <rPr>
            <sz val="9"/>
            <color indexed="81"/>
            <rFont val="Tahoma"/>
            <family val="2"/>
          </rPr>
          <t>plnts de MILLION 2</t>
        </r>
      </text>
    </comment>
    <comment ref="A202" authorId="2" shapeId="0" xr:uid="{85F08850-CEB0-48F0-A87F-DD77BAE05D3D}">
      <text>
        <r>
          <rPr>
            <sz val="9"/>
            <color indexed="81"/>
            <rFont val="Tahoma"/>
            <family val="2"/>
          </rPr>
          <t>En la semana 1842:
17-10-2018 1842 son 5304 plnts de Clouds Imp
17-10-2018 1842 son 24752 plnts de Clouds (nuestra)
17-10-2018 1842 son 8840 plnts de Million II
17-10-2018 1842 son 3536 plnts de Montealbo</t>
        </r>
      </text>
    </comment>
    <comment ref="A203" authorId="3" shapeId="0" xr:uid="{5FB9491C-FEAA-4585-9AE2-228A93B4283A}">
      <text>
        <r>
          <rPr>
            <b/>
            <sz val="9"/>
            <color indexed="81"/>
            <rFont val="Tahoma"/>
            <family val="2"/>
          </rPr>
          <t>Semana 1849 se siembra
*15930 plnts de Millon II (5/12/2018)
*28320 plnts de Montealvo (5/12/2018)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4" authorId="3" shapeId="0" xr:uid="{716386FB-06CE-459A-94C7-1CE41FFFD833}">
      <text>
        <r>
          <rPr>
            <b/>
            <sz val="9"/>
            <color indexed="81"/>
            <rFont val="Tahoma"/>
            <family val="2"/>
          </rPr>
          <t xml:space="preserve">BQ 207B se siembra 42672 plantas en la semana 1850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5" authorId="2" shapeId="0" xr:uid="{9A131E2A-D9C5-42FC-9F24-9A06AB995A93}">
      <text>
        <r>
          <rPr>
            <b/>
            <sz val="9"/>
            <color indexed="81"/>
            <rFont val="Tahoma"/>
            <family val="2"/>
          </rPr>
          <t>Son siembras de la semana:
1807 16-02-2018 con 19 camas (33782 plantas con pinch) y 1809 27-02-2018 con 10 camas (18669 plantas con pinch)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6" authorId="2" shapeId="0" xr:uid="{19747DE8-259B-42FC-BF54-35FE10D05C8F}">
      <text>
        <r>
          <rPr>
            <b/>
            <sz val="9"/>
            <color indexed="81"/>
            <rFont val="Tahoma"/>
            <family val="2"/>
          </rPr>
          <t>Son siembras de la semana:
1810 06-03-2018 con 10 camas (18648 plantas sin pich) y
1812 24-03-2018 con 09 camas (16000 plantas)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2" authorId="3" shapeId="0" xr:uid="{591E6334-316E-44B1-891C-9AD6D9A396D8}">
      <text>
        <r>
          <rPr>
            <b/>
            <sz val="9"/>
            <color indexed="81"/>
            <rFont val="Tahoma"/>
            <family val="2"/>
          </rPr>
          <t xml:space="preserve">Se modifica el 216bc por 216b para regalias semana 1928
</t>
        </r>
      </text>
    </comment>
    <comment ref="A213" authorId="3" shapeId="0" xr:uid="{D1C4D624-0095-4304-9331-666E708F8D0D}">
      <text>
        <r>
          <rPr>
            <b/>
            <sz val="9"/>
            <color indexed="81"/>
            <rFont val="Tahoma"/>
            <family val="2"/>
          </rPr>
          <t>Se mpdifica el BQ 216d por 216c para regalias</t>
        </r>
      </text>
    </comment>
  </commentList>
</comments>
</file>

<file path=xl/sharedStrings.xml><?xml version="1.0" encoding="utf-8"?>
<sst xmlns="http://schemas.openxmlformats.org/spreadsheetml/2006/main" count="10795" uniqueCount="1913">
  <si>
    <t>CODIGO</t>
  </si>
  <si>
    <t>BLOQUE</t>
  </si>
  <si>
    <t>Previcur</t>
  </si>
  <si>
    <t>Carbemex</t>
  </si>
  <si>
    <t>PRODUCTO 1</t>
  </si>
  <si>
    <t>PRODUCTO 2</t>
  </si>
  <si>
    <t>PRODUCTO 3</t>
  </si>
  <si>
    <t>PRODUCTO 4</t>
  </si>
  <si>
    <t>PRODUCTO 5</t>
  </si>
  <si>
    <t>CANTIDAD</t>
  </si>
  <si>
    <t>Biobassiana</t>
  </si>
  <si>
    <t>Agral</t>
  </si>
  <si>
    <t>Ahorro</t>
  </si>
  <si>
    <t>PRODUCTO 6</t>
  </si>
  <si>
    <t>PLANTAS</t>
  </si>
  <si>
    <t>CAMAS 30 m lineales</t>
  </si>
  <si>
    <t>PLANT /CAMA</t>
  </si>
  <si>
    <t>66A</t>
  </si>
  <si>
    <t>66B</t>
  </si>
  <si>
    <t>x</t>
  </si>
  <si>
    <t>PRODUCTO</t>
  </si>
  <si>
    <t>USO FINAL (Blanco)</t>
  </si>
  <si>
    <t>LOTE (Blanco)</t>
  </si>
  <si>
    <t>Area</t>
  </si>
  <si>
    <t>UNIDAD</t>
  </si>
  <si>
    <t>Acido Fosfórico</t>
  </si>
  <si>
    <t>FA016</t>
  </si>
  <si>
    <t>LT</t>
  </si>
  <si>
    <t>PJ010</t>
  </si>
  <si>
    <t>CC</t>
  </si>
  <si>
    <t>Basudin</t>
  </si>
  <si>
    <t>PI004</t>
  </si>
  <si>
    <t>Decis</t>
  </si>
  <si>
    <t>PI009</t>
  </si>
  <si>
    <t>Mesurol</t>
  </si>
  <si>
    <t>PI076</t>
  </si>
  <si>
    <t>FI008</t>
  </si>
  <si>
    <t>GR</t>
  </si>
  <si>
    <t>FA007</t>
  </si>
  <si>
    <t>KG</t>
  </si>
  <si>
    <t>Nitrato de Amonio</t>
  </si>
  <si>
    <t>FA003</t>
  </si>
  <si>
    <t>FA004</t>
  </si>
  <si>
    <t>PERFEKTHION</t>
  </si>
  <si>
    <t>PI029</t>
  </si>
  <si>
    <t>Polar</t>
  </si>
  <si>
    <t>PF092</t>
  </si>
  <si>
    <t>Polyram</t>
  </si>
  <si>
    <t>PF017</t>
  </si>
  <si>
    <t>PF018</t>
  </si>
  <si>
    <t>Kel Fe.</t>
  </si>
  <si>
    <t>FB078</t>
  </si>
  <si>
    <t>Kel Mn.</t>
  </si>
  <si>
    <t>FB077</t>
  </si>
  <si>
    <t>ROVRAL</t>
  </si>
  <si>
    <t>PF079</t>
  </si>
  <si>
    <t>Sportak</t>
  </si>
  <si>
    <t>PF078</t>
  </si>
  <si>
    <t>Sulfato de Magnesio</t>
  </si>
  <si>
    <t>FA009</t>
  </si>
  <si>
    <t>Trigard</t>
  </si>
  <si>
    <t>PI032</t>
  </si>
  <si>
    <t>Vertimec</t>
  </si>
  <si>
    <t>PI120</t>
  </si>
  <si>
    <t>Molibdato de Amonio</t>
  </si>
  <si>
    <t>Sulfato Ferroso</t>
  </si>
  <si>
    <t>FA013</t>
  </si>
  <si>
    <t>Sulfato de Manganeso</t>
  </si>
  <si>
    <t>FI005</t>
  </si>
  <si>
    <t>Fitoraz</t>
  </si>
  <si>
    <t>PF058</t>
  </si>
  <si>
    <t>FB040</t>
  </si>
  <si>
    <t>ERGOSTIN</t>
  </si>
  <si>
    <t>FB001</t>
  </si>
  <si>
    <t>Fertifol</t>
  </si>
  <si>
    <t>FB083</t>
  </si>
  <si>
    <t>Kuantum</t>
  </si>
  <si>
    <t>FB085</t>
  </si>
  <si>
    <t>ACIDO BÓRICO</t>
  </si>
  <si>
    <t>FI014</t>
  </si>
  <si>
    <t>Fongarid</t>
  </si>
  <si>
    <t>PF036</t>
  </si>
  <si>
    <t>Thiofin</t>
  </si>
  <si>
    <t>PF149</t>
  </si>
  <si>
    <t>PF004</t>
  </si>
  <si>
    <t>gr</t>
  </si>
  <si>
    <t>Tayo</t>
  </si>
  <si>
    <t>PI132</t>
  </si>
  <si>
    <t>VIDATE</t>
  </si>
  <si>
    <t>PI033</t>
  </si>
  <si>
    <t>Lorsban</t>
  </si>
  <si>
    <t>PI018</t>
  </si>
  <si>
    <t>Polo</t>
  </si>
  <si>
    <t>PI078</t>
  </si>
  <si>
    <t>Score</t>
  </si>
  <si>
    <t>PF035</t>
  </si>
  <si>
    <t>Sulf K Tec</t>
  </si>
  <si>
    <t>FA006</t>
  </si>
  <si>
    <t>Metapac</t>
  </si>
  <si>
    <t>PI007</t>
  </si>
  <si>
    <t>Regent</t>
  </si>
  <si>
    <t>PI133</t>
  </si>
  <si>
    <t xml:space="preserve">ALCOHOL INDUSTRIAL </t>
  </si>
  <si>
    <t>UL020</t>
  </si>
  <si>
    <t>APACHE</t>
  </si>
  <si>
    <t>PN017</t>
  </si>
  <si>
    <t xml:space="preserve">ACIDO CÍTRICO </t>
  </si>
  <si>
    <t>HR005</t>
  </si>
  <si>
    <t xml:space="preserve">ACIDO GIBERÉLICO 90% </t>
  </si>
  <si>
    <t>FH003</t>
  </si>
  <si>
    <t>Basfoliar Mg</t>
  </si>
  <si>
    <t>FB044</t>
  </si>
  <si>
    <t>BAC</t>
  </si>
  <si>
    <t xml:space="preserve">BREAK TRUE </t>
  </si>
  <si>
    <t>PJ002</t>
  </si>
  <si>
    <t xml:space="preserve">CARBONATO DE CALCIO </t>
  </si>
  <si>
    <t>FA025</t>
  </si>
  <si>
    <t>Consento</t>
  </si>
  <si>
    <t>PF152</t>
  </si>
  <si>
    <t xml:space="preserve">CODAMIN RADYCULAR </t>
  </si>
  <si>
    <t>FB015</t>
  </si>
  <si>
    <t>DELFAN</t>
  </si>
  <si>
    <t>FB088</t>
  </si>
  <si>
    <t>Mancozeb (polvo)</t>
  </si>
  <si>
    <t>PF049</t>
  </si>
  <si>
    <t xml:space="preserve">MATABABOSA 5% CEBO </t>
  </si>
  <si>
    <t>PI054</t>
  </si>
  <si>
    <t>Nitrofoska Azúl 12-12-17+2</t>
  </si>
  <si>
    <t>Revus</t>
  </si>
  <si>
    <t>PF099</t>
  </si>
  <si>
    <t>STARNER 20 PM</t>
  </si>
  <si>
    <t>HB003</t>
  </si>
  <si>
    <t>Trafos sinergy</t>
  </si>
  <si>
    <t>FB091</t>
  </si>
  <si>
    <t xml:space="preserve">VITAVAX 300 </t>
  </si>
  <si>
    <t>PF026</t>
  </si>
  <si>
    <t>0rthene</t>
  </si>
  <si>
    <t>PI037</t>
  </si>
  <si>
    <t xml:space="preserve">ACTARA 25 WG </t>
  </si>
  <si>
    <t>PI106</t>
  </si>
  <si>
    <t>Antracol</t>
  </si>
  <si>
    <t>PF003</t>
  </si>
  <si>
    <t>Dithane</t>
  </si>
  <si>
    <t>PF011</t>
  </si>
  <si>
    <t xml:space="preserve">FOSETYL ALUMINIO 80% </t>
  </si>
  <si>
    <t>PF127</t>
  </si>
  <si>
    <t>PI109</t>
  </si>
  <si>
    <t>Metavin</t>
  </si>
  <si>
    <t>PI023</t>
  </si>
  <si>
    <t>Pillarben</t>
  </si>
  <si>
    <t>PF016</t>
  </si>
  <si>
    <t>Kel Ca.</t>
  </si>
  <si>
    <t>FB075</t>
  </si>
  <si>
    <t>Kel Cu.</t>
  </si>
  <si>
    <t>FB081</t>
  </si>
  <si>
    <t>Kel Mg.</t>
  </si>
  <si>
    <t>FB080</t>
  </si>
  <si>
    <t xml:space="preserve">RONSTAR 38 FLO </t>
  </si>
  <si>
    <t>PH004</t>
  </si>
  <si>
    <t>Scala</t>
  </si>
  <si>
    <t>PF073</t>
  </si>
  <si>
    <t>Sililo</t>
  </si>
  <si>
    <t>PF093</t>
  </si>
  <si>
    <t>Topsin</t>
  </si>
  <si>
    <t>PF041</t>
  </si>
  <si>
    <t>Karate</t>
  </si>
  <si>
    <t>Sulfato de Zinc</t>
  </si>
  <si>
    <t>FA011</t>
  </si>
  <si>
    <t>Sufato de Cobre</t>
  </si>
  <si>
    <t>FA010</t>
  </si>
  <si>
    <t>Nit 30-10-10</t>
  </si>
  <si>
    <t>FI013</t>
  </si>
  <si>
    <t>Naturmix L</t>
  </si>
  <si>
    <t>FB062</t>
  </si>
  <si>
    <t>DACONIL LIQUIDO</t>
  </si>
  <si>
    <t>PF032</t>
  </si>
  <si>
    <t>CYROMAZINE</t>
  </si>
  <si>
    <t>PI067</t>
  </si>
  <si>
    <t>PF077</t>
  </si>
  <si>
    <t>New BT 2x</t>
  </si>
  <si>
    <t>PI130</t>
  </si>
  <si>
    <t>Bioenergia</t>
  </si>
  <si>
    <t>FB086</t>
  </si>
  <si>
    <t>Ninja</t>
  </si>
  <si>
    <t>PI131</t>
  </si>
  <si>
    <t>Nufilm</t>
  </si>
  <si>
    <t>PJ009</t>
  </si>
  <si>
    <t>Ecogrowing</t>
  </si>
  <si>
    <t>FB087</t>
  </si>
  <si>
    <t>Mertect</t>
  </si>
  <si>
    <t>PF096</t>
  </si>
  <si>
    <t>Muralla</t>
  </si>
  <si>
    <t>PI123</t>
  </si>
  <si>
    <t>Cazador</t>
  </si>
  <si>
    <t>PI127</t>
  </si>
  <si>
    <t>Epingle</t>
  </si>
  <si>
    <t>PI134</t>
  </si>
  <si>
    <t>Kendo</t>
  </si>
  <si>
    <t>PI075</t>
  </si>
  <si>
    <t>PI082</t>
  </si>
  <si>
    <t>Traking Ca-B</t>
  </si>
  <si>
    <t>FB092</t>
  </si>
  <si>
    <t>Azufre micronizado</t>
  </si>
  <si>
    <t>FA039</t>
  </si>
  <si>
    <t>PF151</t>
  </si>
  <si>
    <t>SILWET</t>
  </si>
  <si>
    <t>PJ011</t>
  </si>
  <si>
    <t>BALA</t>
  </si>
  <si>
    <t>PI139</t>
  </si>
  <si>
    <t xml:space="preserve">PADAN 50% </t>
  </si>
  <si>
    <t>PI027</t>
  </si>
  <si>
    <t>RADIANT</t>
  </si>
  <si>
    <t>PI140</t>
  </si>
  <si>
    <t>MILOR</t>
  </si>
  <si>
    <t>PARALANCHA</t>
  </si>
  <si>
    <t>DEPREDADOR</t>
  </si>
  <si>
    <t>SYNOTYL</t>
  </si>
  <si>
    <t>CARBENAG</t>
  </si>
  <si>
    <t>PF158</t>
  </si>
  <si>
    <t xml:space="preserve">ROVRAL 50% POLVO </t>
  </si>
  <si>
    <t>PF021</t>
  </si>
  <si>
    <t>CARBOVAX</t>
  </si>
  <si>
    <t>PF155</t>
  </si>
  <si>
    <t>X</t>
  </si>
  <si>
    <t>OZONIC</t>
  </si>
  <si>
    <t>MM2</t>
  </si>
  <si>
    <t>UTILIZACIÓN</t>
  </si>
  <si>
    <t>SI</t>
  </si>
  <si>
    <t>FOSFATO MONOPOTASICO</t>
  </si>
  <si>
    <t>FA055</t>
  </si>
  <si>
    <t>Codastres</t>
  </si>
  <si>
    <t>Metalozato de Ca</t>
  </si>
  <si>
    <t>FB093</t>
  </si>
  <si>
    <t>ACIDO HUMICO 12%</t>
  </si>
  <si>
    <t>FB095</t>
  </si>
  <si>
    <t>Metalozato K</t>
  </si>
  <si>
    <t>FB096</t>
  </si>
  <si>
    <t>Nitrofoska 8-12-24</t>
  </si>
  <si>
    <t>FI028</t>
  </si>
  <si>
    <t>PF015</t>
  </si>
  <si>
    <t xml:space="preserve">TERRACLOR 75% </t>
  </si>
  <si>
    <t>PF023</t>
  </si>
  <si>
    <t>NOVAK M 70%</t>
  </si>
  <si>
    <t>PF066</t>
  </si>
  <si>
    <t xml:space="preserve">AVISO DF </t>
  </si>
  <si>
    <t>PF090</t>
  </si>
  <si>
    <t>BRAVO 720</t>
  </si>
  <si>
    <t>PF105</t>
  </si>
  <si>
    <t>ETHOFIN</t>
  </si>
  <si>
    <t>PF144</t>
  </si>
  <si>
    <t>PF160</t>
  </si>
  <si>
    <t>LANCHAFIN EQ</t>
  </si>
  <si>
    <t>PF168</t>
  </si>
  <si>
    <t>FEGADAZIM</t>
  </si>
  <si>
    <t>PF170</t>
  </si>
  <si>
    <t>STAR</t>
  </si>
  <si>
    <t>PF171</t>
  </si>
  <si>
    <t>DIFECOLAC</t>
  </si>
  <si>
    <t>PF173</t>
  </si>
  <si>
    <t>TRYCLAM</t>
  </si>
  <si>
    <t>PI148</t>
  </si>
  <si>
    <t>Fulminante</t>
  </si>
  <si>
    <t>PI137</t>
  </si>
  <si>
    <t>PI063</t>
  </si>
  <si>
    <t>Pirate</t>
  </si>
  <si>
    <t>PI147</t>
  </si>
  <si>
    <t>RESCATE</t>
  </si>
  <si>
    <t>PI103</t>
  </si>
  <si>
    <t>PI141</t>
  </si>
  <si>
    <t>BRONKA</t>
  </si>
  <si>
    <t>PI145</t>
  </si>
  <si>
    <t>NO</t>
  </si>
  <si>
    <t>FA051</t>
  </si>
  <si>
    <t>NATURAMIN CALCIO</t>
  </si>
  <si>
    <t>FB060</t>
  </si>
  <si>
    <t>Metalozato de B</t>
  </si>
  <si>
    <t>FB094</t>
  </si>
  <si>
    <t>PF007</t>
  </si>
  <si>
    <t>PF156</t>
  </si>
  <si>
    <t>PI138</t>
  </si>
  <si>
    <t>Evisect</t>
  </si>
  <si>
    <t>PI013</t>
  </si>
  <si>
    <t>M2</t>
  </si>
  <si>
    <t>VARIEDAD</t>
  </si>
  <si>
    <t>Ancho cama</t>
  </si>
  <si>
    <t>Ancho camino</t>
  </si>
  <si>
    <t>XL</t>
  </si>
  <si>
    <t>MM1</t>
  </si>
  <si>
    <t>SSJ</t>
  </si>
  <si>
    <t>329B</t>
  </si>
  <si>
    <t>DIA DE EGRESO</t>
  </si>
  <si>
    <t>PROGRAMACION PARA DRENCH</t>
  </si>
  <si>
    <t>SEM FENOLOGICA</t>
  </si>
  <si>
    <t>DRENCH BIOESTIMULANTE</t>
  </si>
  <si>
    <t>VENTURY</t>
  </si>
  <si>
    <t>BOMBA</t>
  </si>
  <si>
    <t>PF166</t>
  </si>
  <si>
    <t>LANCHERO</t>
  </si>
  <si>
    <t>PF164</t>
  </si>
  <si>
    <t>FA053</t>
  </si>
  <si>
    <t>ALCAPLANT</t>
  </si>
  <si>
    <t>PODA SIEMBRA</t>
  </si>
  <si>
    <t>P/S</t>
  </si>
  <si>
    <t>SEM P/S</t>
  </si>
  <si>
    <t>HRS</t>
  </si>
  <si>
    <t>UNIDAD (Blanco)</t>
  </si>
  <si>
    <t>Descripción 1 (Blanco)</t>
  </si>
  <si>
    <t>Descripción 2 (Blanco)</t>
  </si>
  <si>
    <t>FIN</t>
  </si>
  <si>
    <t>TOTAL POR PRODUCTO</t>
  </si>
  <si>
    <t>Cloruro de Potasio</t>
  </si>
  <si>
    <t>FA001</t>
  </si>
  <si>
    <t>TRIPLE 15 (15-15-15)</t>
  </si>
  <si>
    <t>FA050</t>
  </si>
  <si>
    <t>SILICAL</t>
  </si>
  <si>
    <t>FA056</t>
  </si>
  <si>
    <t>Citoplant</t>
  </si>
  <si>
    <t>FH005</t>
  </si>
  <si>
    <t>Captan</t>
  </si>
  <si>
    <t>PF006</t>
  </si>
  <si>
    <t>Cantus</t>
  </si>
  <si>
    <t>PF147</t>
  </si>
  <si>
    <t>Vitavax Flo</t>
  </si>
  <si>
    <t>PF165</t>
  </si>
  <si>
    <t>ABALON</t>
  </si>
  <si>
    <t>PI150</t>
  </si>
  <si>
    <t xml:space="preserve">CARBOFURAN 10G POLVO </t>
  </si>
  <si>
    <t>PN009</t>
  </si>
  <si>
    <t xml:space="preserve">SULFATO DE MAGNESIO AGRÍCOLA </t>
  </si>
  <si>
    <t>FA008</t>
  </si>
  <si>
    <t xml:space="preserve">GALLINAZA </t>
  </si>
  <si>
    <t>FA012</t>
  </si>
  <si>
    <t>SA</t>
  </si>
  <si>
    <t xml:space="preserve">SULFATO DE CALCIO </t>
  </si>
  <si>
    <t>FA014</t>
  </si>
  <si>
    <t xml:space="preserve">NUTRAMIN CALCIO </t>
  </si>
  <si>
    <t>FA017</t>
  </si>
  <si>
    <t xml:space="preserve">HUMUS FERTILEX </t>
  </si>
  <si>
    <t>FA018</t>
  </si>
  <si>
    <t>UN</t>
  </si>
  <si>
    <t xml:space="preserve">FOSFATO MONOAMONICO </t>
  </si>
  <si>
    <t>FA021</t>
  </si>
  <si>
    <t xml:space="preserve">NITRATO DE MAGNESIO </t>
  </si>
  <si>
    <t>FA030</t>
  </si>
  <si>
    <t xml:space="preserve">ULTRAFERRO </t>
  </si>
  <si>
    <t>FA031</t>
  </si>
  <si>
    <t xml:space="preserve">KELATEX DE MAGNESIO </t>
  </si>
  <si>
    <t>FA033</t>
  </si>
  <si>
    <t xml:space="preserve">MAXFERRO </t>
  </si>
  <si>
    <t>FA034</t>
  </si>
  <si>
    <t xml:space="preserve">10-30-10 </t>
  </si>
  <si>
    <t>FA035</t>
  </si>
  <si>
    <t xml:space="preserve">NATURVIGOR </t>
  </si>
  <si>
    <t>FA037</t>
  </si>
  <si>
    <t xml:space="preserve">NUTRAMIN POTASIO </t>
  </si>
  <si>
    <t>FA040</t>
  </si>
  <si>
    <t xml:space="preserve">NUTRAMIN MAGNESIO </t>
  </si>
  <si>
    <t>FA041</t>
  </si>
  <si>
    <t xml:space="preserve">NATURQUEL FE </t>
  </si>
  <si>
    <t>FA043</t>
  </si>
  <si>
    <t>NATURCOMPLET-G</t>
  </si>
  <si>
    <t>FA044</t>
  </si>
  <si>
    <t>ECOABONAZA</t>
  </si>
  <si>
    <t>FA045</t>
  </si>
  <si>
    <t>SULFATO DE POTASIO GRANULADO</t>
  </si>
  <si>
    <t>FA048</t>
  </si>
  <si>
    <t>15-30-15</t>
  </si>
  <si>
    <t>FA049</t>
  </si>
  <si>
    <t xml:space="preserve">BIOSYME </t>
  </si>
  <si>
    <t>FB004</t>
  </si>
  <si>
    <t xml:space="preserve">MELAZA </t>
  </si>
  <si>
    <t>FB009</t>
  </si>
  <si>
    <t xml:space="preserve">HUMIN </t>
  </si>
  <si>
    <t>FB010</t>
  </si>
  <si>
    <t xml:space="preserve">CODAMIN 150 AMINOACIDOS </t>
  </si>
  <si>
    <t>FB011</t>
  </si>
  <si>
    <t xml:space="preserve">CODAFOL 0-30-20 </t>
  </si>
  <si>
    <t>FB012</t>
  </si>
  <si>
    <t xml:space="preserve">CADASTYN </t>
  </si>
  <si>
    <t>FB013</t>
  </si>
  <si>
    <t xml:space="preserve">CODASAL </t>
  </si>
  <si>
    <t>FB017</t>
  </si>
  <si>
    <t xml:space="preserve">CODAVIT </t>
  </si>
  <si>
    <t>FB018</t>
  </si>
  <si>
    <t xml:space="preserve">CODACALCIO QUELATO </t>
  </si>
  <si>
    <t>FB019</t>
  </si>
  <si>
    <t xml:space="preserve">BASFOLIAR ALGAE </t>
  </si>
  <si>
    <t>FB021</t>
  </si>
  <si>
    <t>POLIVERDOL SUSPENSION 16-16-12</t>
  </si>
  <si>
    <t>FB023</t>
  </si>
  <si>
    <t xml:space="preserve">ENRAIZADOR </t>
  </si>
  <si>
    <t>FB028</t>
  </si>
  <si>
    <t xml:space="preserve">GALBEN </t>
  </si>
  <si>
    <t>FB029</t>
  </si>
  <si>
    <t xml:space="preserve">ÁNGEL </t>
  </si>
  <si>
    <t>FB030</t>
  </si>
  <si>
    <t xml:space="preserve">CODA-CAL </t>
  </si>
  <si>
    <t>FB038</t>
  </si>
  <si>
    <t xml:space="preserve">CODABORO </t>
  </si>
  <si>
    <t>FB039</t>
  </si>
  <si>
    <t xml:space="preserve">STRONG </t>
  </si>
  <si>
    <t>FB042</t>
  </si>
  <si>
    <t xml:space="preserve">BASFOLIAR CALCIO </t>
  </si>
  <si>
    <t>FB043</t>
  </si>
  <si>
    <t xml:space="preserve">STIMPLEX </t>
  </si>
  <si>
    <t>FB046</t>
  </si>
  <si>
    <t xml:space="preserve">CODA MAGNESIO </t>
  </si>
  <si>
    <t>FB048</t>
  </si>
  <si>
    <t xml:space="preserve">CODA MANGANESO </t>
  </si>
  <si>
    <t>FB049</t>
  </si>
  <si>
    <t xml:space="preserve">PHOS PRO 025-20 </t>
  </si>
  <si>
    <t>FB051</t>
  </si>
  <si>
    <t>FUNGI GOLD</t>
  </si>
  <si>
    <t>FB054</t>
  </si>
  <si>
    <t xml:space="preserve">NATURAMIN PLUS </t>
  </si>
  <si>
    <t>FB055</t>
  </si>
  <si>
    <t xml:space="preserve">NATURFRUIR BASIC </t>
  </si>
  <si>
    <t>FB056</t>
  </si>
  <si>
    <t xml:space="preserve">NATURVITAL PLUS </t>
  </si>
  <si>
    <t>FB057</t>
  </si>
  <si>
    <t>FB058</t>
  </si>
  <si>
    <t xml:space="preserve">NATURFOS </t>
  </si>
  <si>
    <t>FB059</t>
  </si>
  <si>
    <t xml:space="preserve">NATURQUEL MG </t>
  </si>
  <si>
    <t>FB061</t>
  </si>
  <si>
    <t xml:space="preserve">SURFARE </t>
  </si>
  <si>
    <t>FB063</t>
  </si>
  <si>
    <t xml:space="preserve">AMINOCAT </t>
  </si>
  <si>
    <t>FB064</t>
  </si>
  <si>
    <t xml:space="preserve">FLORONE </t>
  </si>
  <si>
    <t>FB065</t>
  </si>
  <si>
    <t>NATURMANGANESO</t>
  </si>
  <si>
    <t>FB067</t>
  </si>
  <si>
    <t>NATURQUELZN/MN</t>
  </si>
  <si>
    <t>FB068</t>
  </si>
  <si>
    <t>NATURMIX MG</t>
  </si>
  <si>
    <t>FB069</t>
  </si>
  <si>
    <t>HUMISTAR</t>
  </si>
  <si>
    <t>FB070</t>
  </si>
  <si>
    <t>LECHE</t>
  </si>
  <si>
    <t>FB072</t>
  </si>
  <si>
    <t>LITROS</t>
  </si>
  <si>
    <t>BIOSOLOAR</t>
  </si>
  <si>
    <t>FB073</t>
  </si>
  <si>
    <t>LECHE EN POLVO</t>
  </si>
  <si>
    <t>FB090</t>
  </si>
  <si>
    <t xml:space="preserve">BIGFAST </t>
  </si>
  <si>
    <t>FH001</t>
  </si>
  <si>
    <t xml:space="preserve">ACIDO INDOLBUTÍRICO IBA </t>
  </si>
  <si>
    <t>FH002</t>
  </si>
  <si>
    <t xml:space="preserve">TALCO </t>
  </si>
  <si>
    <t>FH004</t>
  </si>
  <si>
    <t xml:space="preserve">LIBREL BMX </t>
  </si>
  <si>
    <t>FI001</t>
  </si>
  <si>
    <t>POLIVERDOL SUSPENSIÓN 16-16-121BZN</t>
  </si>
  <si>
    <t>FI003</t>
  </si>
  <si>
    <t xml:space="preserve">HAKAPHOS 15-5-3 </t>
  </si>
  <si>
    <t>FI004</t>
  </si>
  <si>
    <t xml:space="preserve">HAKAPHOS VERDE 15-10-15+2 </t>
  </si>
  <si>
    <t>FI006</t>
  </si>
  <si>
    <t xml:space="preserve">NITROFOSKA LIQUIDO 10-4-7 </t>
  </si>
  <si>
    <t>FI011</t>
  </si>
  <si>
    <t xml:space="preserve">NITROFOSKA 20-19-19 </t>
  </si>
  <si>
    <t>FI029</t>
  </si>
  <si>
    <t xml:space="preserve">NUTRIPLAN 23-6-17+3MGO+35+0.4Z </t>
  </si>
  <si>
    <t>FI034</t>
  </si>
  <si>
    <t>ACIDO HUMICO 75%</t>
  </si>
  <si>
    <t>FI039</t>
  </si>
  <si>
    <t xml:space="preserve">NUTRIENT EXPRESS 18-18-18 </t>
  </si>
  <si>
    <t>FI043</t>
  </si>
  <si>
    <t xml:space="preserve">NUTRIENT EXPRESS 11-41-8 </t>
  </si>
  <si>
    <t>FI044</t>
  </si>
  <si>
    <t xml:space="preserve">SUGAR EXPRESS </t>
  </si>
  <si>
    <t>FI046</t>
  </si>
  <si>
    <t xml:space="preserve">GREENSTIM </t>
  </si>
  <si>
    <t>FI047</t>
  </si>
  <si>
    <t>SOLUBORO</t>
  </si>
  <si>
    <t>FI050</t>
  </si>
  <si>
    <t xml:space="preserve">PEATMOOS RECUP SUELOS </t>
  </si>
  <si>
    <t>FS001</t>
  </si>
  <si>
    <t>P3</t>
  </si>
  <si>
    <t xml:space="preserve">CASCARILLA DE ARROZ </t>
  </si>
  <si>
    <t>FS004</t>
  </si>
  <si>
    <t>M3</t>
  </si>
  <si>
    <t xml:space="preserve">CASCAJO FINO </t>
  </si>
  <si>
    <t>FS005</t>
  </si>
  <si>
    <t xml:space="preserve">PEATMOOS ENRAHIZADOR #2 </t>
  </si>
  <si>
    <t>FS008</t>
  </si>
  <si>
    <t xml:space="preserve">CASCAJO MEDIANO </t>
  </si>
  <si>
    <t>FS009</t>
  </si>
  <si>
    <t xml:space="preserve">CASCAJO GRUESO </t>
  </si>
  <si>
    <t>FS010</t>
  </si>
  <si>
    <t xml:space="preserve">SUST. KLASMANN TS-1 876 FINO </t>
  </si>
  <si>
    <t>FS011</t>
  </si>
  <si>
    <t>CASCARILLA DE ARROZ TOSTADA</t>
  </si>
  <si>
    <t>FS013</t>
  </si>
  <si>
    <t>MT</t>
  </si>
  <si>
    <t>EVERFLOR UNIVERSAL</t>
  </si>
  <si>
    <t>HB001</t>
  </si>
  <si>
    <t xml:space="preserve">GALBEN M-8-65 </t>
  </si>
  <si>
    <t>PF002</t>
  </si>
  <si>
    <t xml:space="preserve">BAVISTIN 50% FL </t>
  </si>
  <si>
    <t>PF005</t>
  </si>
  <si>
    <t xml:space="preserve">DACONIL 2787 75% POLVO </t>
  </si>
  <si>
    <t>PF009</t>
  </si>
  <si>
    <t xml:space="preserve">EUPAREN M50% PM </t>
  </si>
  <si>
    <t>PF012</t>
  </si>
  <si>
    <t xml:space="preserve">KOCIDE 101 77% </t>
  </si>
  <si>
    <t>PF013</t>
  </si>
  <si>
    <t xml:space="preserve">MELTATOX 40% </t>
  </si>
  <si>
    <t>PF014</t>
  </si>
  <si>
    <t xml:space="preserve">TIMPSEN </t>
  </si>
  <si>
    <t>PF024</t>
  </si>
  <si>
    <t xml:space="preserve">TOPAS 100 EC </t>
  </si>
  <si>
    <t>PF031</t>
  </si>
  <si>
    <t xml:space="preserve">PLANTVAX 75% PM </t>
  </si>
  <si>
    <t>PF037</t>
  </si>
  <si>
    <t xml:space="preserve">ANVIL 25-SC </t>
  </si>
  <si>
    <t>PF042</t>
  </si>
  <si>
    <t xml:space="preserve">NIMROD </t>
  </si>
  <si>
    <t>PF043</t>
  </si>
  <si>
    <t xml:space="preserve">RUBIGAN 12EC </t>
  </si>
  <si>
    <t>PF047</t>
  </si>
  <si>
    <t xml:space="preserve">BAYLETON 250 CE </t>
  </si>
  <si>
    <t>PF052</t>
  </si>
  <si>
    <t xml:space="preserve">PIPRON SL </t>
  </si>
  <si>
    <t>PF053</t>
  </si>
  <si>
    <t xml:space="preserve">BENOMIL OD </t>
  </si>
  <si>
    <t>PF054</t>
  </si>
  <si>
    <t xml:space="preserve">ALTO 100 SL </t>
  </si>
  <si>
    <t>PF055</t>
  </si>
  <si>
    <t xml:space="preserve">TILT 250 EC </t>
  </si>
  <si>
    <t>PF057</t>
  </si>
  <si>
    <t xml:space="preserve">STROBI DF </t>
  </si>
  <si>
    <t>PF061</t>
  </si>
  <si>
    <t xml:space="preserve">ZERO TOLERANCE 2T </t>
  </si>
  <si>
    <t>PF063</t>
  </si>
  <si>
    <t xml:space="preserve">FUNGAFLOR 75 PS </t>
  </si>
  <si>
    <t>PF067</t>
  </si>
  <si>
    <t xml:space="preserve">BREMA </t>
  </si>
  <si>
    <t>PF068</t>
  </si>
  <si>
    <t xml:space="preserve">FOSETIIC </t>
  </si>
  <si>
    <t>PF074</t>
  </si>
  <si>
    <t xml:space="preserve">FUNGBACTER </t>
  </si>
  <si>
    <t>PF075</t>
  </si>
  <si>
    <t xml:space="preserve">GOLDAZIM 500 </t>
  </si>
  <si>
    <t>PF081</t>
  </si>
  <si>
    <t xml:space="preserve">AMISTAR 500 GDA </t>
  </si>
  <si>
    <t>PF082</t>
  </si>
  <si>
    <t xml:space="preserve">OIDIOMIL </t>
  </si>
  <si>
    <t>PF083</t>
  </si>
  <si>
    <t xml:space="preserve">FORMOL </t>
  </si>
  <si>
    <t>PF084</t>
  </si>
  <si>
    <t xml:space="preserve">BIOBACT </t>
  </si>
  <si>
    <t>PF085</t>
  </si>
  <si>
    <t xml:space="preserve">TELDOR COMBI 416,7 SC </t>
  </si>
  <si>
    <t>PF087</t>
  </si>
  <si>
    <t xml:space="preserve">VANODINE </t>
  </si>
  <si>
    <t>PF089</t>
  </si>
  <si>
    <t xml:space="preserve">AZUFRE GRANULADO </t>
  </si>
  <si>
    <t>PF091</t>
  </si>
  <si>
    <t xml:space="preserve">ALIETTE 80% WG </t>
  </si>
  <si>
    <t>PF097</t>
  </si>
  <si>
    <t xml:space="preserve">MYCOBAC </t>
  </si>
  <si>
    <t>PF098</t>
  </si>
  <si>
    <t xml:space="preserve">MIRAGE 450 EC </t>
  </si>
  <si>
    <t>PF100</t>
  </si>
  <si>
    <t xml:space="preserve">EXOTHER TERMIL </t>
  </si>
  <si>
    <t>PF101</t>
  </si>
  <si>
    <t xml:space="preserve">TATOO </t>
  </si>
  <si>
    <t>PF103</t>
  </si>
  <si>
    <t xml:space="preserve">BAYCOR 300 CE </t>
  </si>
  <si>
    <t>PF108</t>
  </si>
  <si>
    <t xml:space="preserve">SAPROL DL </t>
  </si>
  <si>
    <t>PF110</t>
  </si>
  <si>
    <t xml:space="preserve">ACROBAT </t>
  </si>
  <si>
    <t>PF111</t>
  </si>
  <si>
    <t xml:space="preserve">RALLY 40 WP </t>
  </si>
  <si>
    <t>PF112</t>
  </si>
  <si>
    <t xml:space="preserve">DOMARK </t>
  </si>
  <si>
    <t>PF113</t>
  </si>
  <si>
    <t xml:space="preserve">PROSPER 500 EC </t>
  </si>
  <si>
    <t>PF114</t>
  </si>
  <si>
    <t xml:space="preserve">VONDOZEB 62% SC </t>
  </si>
  <si>
    <t>PF115</t>
  </si>
  <si>
    <t xml:space="preserve">KUMULUS DF </t>
  </si>
  <si>
    <t>PF116</t>
  </si>
  <si>
    <t>PF117</t>
  </si>
  <si>
    <t xml:space="preserve">TERRAZOLE 35% WP </t>
  </si>
  <si>
    <t>PF118</t>
  </si>
  <si>
    <t xml:space="preserve">CALDO BORDELES </t>
  </si>
  <si>
    <t>PF119</t>
  </si>
  <si>
    <t xml:space="preserve">FORUM DMM </t>
  </si>
  <si>
    <t>PF121</t>
  </si>
  <si>
    <t xml:space="preserve">FOLICUR 250 EZ </t>
  </si>
  <si>
    <t>PF123</t>
  </si>
  <si>
    <t xml:space="preserve">MILDEX </t>
  </si>
  <si>
    <t>PF124</t>
  </si>
  <si>
    <t xml:space="preserve">OCTAVE 50 PM </t>
  </si>
  <si>
    <t>PF125</t>
  </si>
  <si>
    <t xml:space="preserve">SULFOLAC 85 SC </t>
  </si>
  <si>
    <t>PF126</t>
  </si>
  <si>
    <t xml:space="preserve">PATRON </t>
  </si>
  <si>
    <t>PF128</t>
  </si>
  <si>
    <t xml:space="preserve">TANIL </t>
  </si>
  <si>
    <t>PF129</t>
  </si>
  <si>
    <t xml:space="preserve">FLORECID </t>
  </si>
  <si>
    <t>PF130</t>
  </si>
  <si>
    <t xml:space="preserve">SIALEX </t>
  </si>
  <si>
    <t>PF131</t>
  </si>
  <si>
    <t xml:space="preserve">CUPROFIX </t>
  </si>
  <si>
    <t>PF132</t>
  </si>
  <si>
    <t xml:space="preserve">SWITCH </t>
  </si>
  <si>
    <t>PF133</t>
  </si>
  <si>
    <t>CLEANER 30-E</t>
  </si>
  <si>
    <t>PF134</t>
  </si>
  <si>
    <t>THIRAM PLUS SC 35-105</t>
  </si>
  <si>
    <t>PF135</t>
  </si>
  <si>
    <t>TACORA</t>
  </si>
  <si>
    <t>PF136</t>
  </si>
  <si>
    <t>PROMETAN 50</t>
  </si>
  <si>
    <t>PF138</t>
  </si>
  <si>
    <t>CUADRIS</t>
  </si>
  <si>
    <t>PF150</t>
  </si>
  <si>
    <t>TRICOMIX</t>
  </si>
  <si>
    <t>PF153</t>
  </si>
  <si>
    <t>BOSTOC</t>
  </si>
  <si>
    <t>PF154</t>
  </si>
  <si>
    <t>CYMOTHANE</t>
  </si>
  <si>
    <t>PF157</t>
  </si>
  <si>
    <t xml:space="preserve">RANGER 28.6% </t>
  </si>
  <si>
    <t>PH001</t>
  </si>
  <si>
    <t xml:space="preserve">GRAMOXONE </t>
  </si>
  <si>
    <t>PH005</t>
  </si>
  <si>
    <t xml:space="preserve">FORESYTE 38 SC </t>
  </si>
  <si>
    <t>PH006</t>
  </si>
  <si>
    <t xml:space="preserve">ROUNDUP 747 </t>
  </si>
  <si>
    <t>PH009</t>
  </si>
  <si>
    <t xml:space="preserve">GLIFOLAQ </t>
  </si>
  <si>
    <t>PH011</t>
  </si>
  <si>
    <t xml:space="preserve">ARRASADOR 480 SL </t>
  </si>
  <si>
    <t>PH012</t>
  </si>
  <si>
    <t xml:space="preserve">IGRAN 500 SC </t>
  </si>
  <si>
    <t>PH013</t>
  </si>
  <si>
    <t xml:space="preserve">ESTELAR 480 LS </t>
  </si>
  <si>
    <t>PH014</t>
  </si>
  <si>
    <t xml:space="preserve">KILLER </t>
  </si>
  <si>
    <t>PH015</t>
  </si>
  <si>
    <t xml:space="preserve">GOAL 2 EC </t>
  </si>
  <si>
    <t>PH016</t>
  </si>
  <si>
    <t xml:space="preserve">MACHETE 60 EC </t>
  </si>
  <si>
    <t>PH017</t>
  </si>
  <si>
    <t xml:space="preserve">PROWL 400 EC </t>
  </si>
  <si>
    <t>PH018</t>
  </si>
  <si>
    <t xml:space="preserve">AGROQUAT </t>
  </si>
  <si>
    <t>PH019</t>
  </si>
  <si>
    <t xml:space="preserve">GLIFOSATO </t>
  </si>
  <si>
    <t>PH020</t>
  </si>
  <si>
    <t xml:space="preserve">AMBUSH </t>
  </si>
  <si>
    <t>PI001</t>
  </si>
  <si>
    <t xml:space="preserve">ATABRON </t>
  </si>
  <si>
    <t>PI002</t>
  </si>
  <si>
    <t xml:space="preserve">AVID </t>
  </si>
  <si>
    <t>PI003</t>
  </si>
  <si>
    <t xml:space="preserve">ABEMACTINA </t>
  </si>
  <si>
    <t>PI005</t>
  </si>
  <si>
    <t xml:space="preserve">CIPERMETRINA 20% </t>
  </si>
  <si>
    <t>PI008</t>
  </si>
  <si>
    <t xml:space="preserve">CERCOBIN </t>
  </si>
  <si>
    <t>PI010</t>
  </si>
  <si>
    <t xml:space="preserve">TALSTAR 80 SC </t>
  </si>
  <si>
    <t>PI011</t>
  </si>
  <si>
    <t xml:space="preserve">KARATE 2.5% </t>
  </si>
  <si>
    <t>PI016</t>
  </si>
  <si>
    <t xml:space="preserve">MESUROL POLVO </t>
  </si>
  <si>
    <t>PI021</t>
  </si>
  <si>
    <t xml:space="preserve">NISSORUM </t>
  </si>
  <si>
    <t>PI025</t>
  </si>
  <si>
    <t xml:space="preserve">PENTAC 50 PM </t>
  </si>
  <si>
    <t>PI028</t>
  </si>
  <si>
    <t xml:space="preserve">PIRIMOR 50% </t>
  </si>
  <si>
    <t>PI030</t>
  </si>
  <si>
    <t xml:space="preserve">THIODAN 35% CE </t>
  </si>
  <si>
    <t>PI031</t>
  </si>
  <si>
    <t xml:space="preserve">VEXTER 4 EC </t>
  </si>
  <si>
    <t>PI041</t>
  </si>
  <si>
    <t xml:space="preserve">MITAC 20 EC </t>
  </si>
  <si>
    <t>PI043</t>
  </si>
  <si>
    <t xml:space="preserve">CITATION 75 WP </t>
  </si>
  <si>
    <t>PI046</t>
  </si>
  <si>
    <t xml:space="preserve">PALMAROL 35% EC </t>
  </si>
  <si>
    <t>PI062</t>
  </si>
  <si>
    <t xml:space="preserve">MITIGAN 25 CE </t>
  </si>
  <si>
    <t>PI066</t>
  </si>
  <si>
    <t xml:space="preserve">RUFAST </t>
  </si>
  <si>
    <t>PI069</t>
  </si>
  <si>
    <t xml:space="preserve">TEDION V-18 </t>
  </si>
  <si>
    <t>PI070</t>
  </si>
  <si>
    <t xml:space="preserve">MITECLEAN 10% SC </t>
  </si>
  <si>
    <t>PI071</t>
  </si>
  <si>
    <t xml:space="preserve">TRACER 120 SC </t>
  </si>
  <si>
    <t>PI072</t>
  </si>
  <si>
    <t xml:space="preserve">BROMURO DE METILO </t>
  </si>
  <si>
    <t>PI077</t>
  </si>
  <si>
    <t xml:space="preserve">IMPIDE </t>
  </si>
  <si>
    <t>PI079</t>
  </si>
  <si>
    <t xml:space="preserve">BERGTISEG </t>
  </si>
  <si>
    <t>PI080</t>
  </si>
  <si>
    <t xml:space="preserve">NEEM KNOCK </t>
  </si>
  <si>
    <t>PI081</t>
  </si>
  <si>
    <t>Acaristop</t>
  </si>
  <si>
    <t xml:space="preserve">CONFIDOR 350 SC </t>
  </si>
  <si>
    <t>PI100</t>
  </si>
  <si>
    <t>Sunfire</t>
  </si>
  <si>
    <t>PI104</t>
  </si>
  <si>
    <t xml:space="preserve">DANITOL 10 CE </t>
  </si>
  <si>
    <t>PI105</t>
  </si>
  <si>
    <t xml:space="preserve">METHASYSTOX </t>
  </si>
  <si>
    <t>PI107</t>
  </si>
  <si>
    <t xml:space="preserve">CAL DOLOMITA </t>
  </si>
  <si>
    <t>PI108</t>
  </si>
  <si>
    <t xml:space="preserve">SANMITE </t>
  </si>
  <si>
    <t>PI111</t>
  </si>
  <si>
    <t>LINUREX (LINURON)</t>
  </si>
  <si>
    <t>PI113</t>
  </si>
  <si>
    <t xml:space="preserve">NAKAR 20 EC </t>
  </si>
  <si>
    <t>PI114</t>
  </si>
  <si>
    <t xml:space="preserve">FLORAMITE </t>
  </si>
  <si>
    <t>PI117</t>
  </si>
  <si>
    <t>REGENT 80 WG</t>
  </si>
  <si>
    <t xml:space="preserve">ECUAFIX </t>
  </si>
  <si>
    <t>PJ001</t>
  </si>
  <si>
    <t xml:space="preserve">COSMO AGUAS </t>
  </si>
  <si>
    <t>PJ003</t>
  </si>
  <si>
    <t>EXIT</t>
  </si>
  <si>
    <t>PJ004</t>
  </si>
  <si>
    <t xml:space="preserve">FIJAROEL </t>
  </si>
  <si>
    <t>PJ005</t>
  </si>
  <si>
    <t xml:space="preserve">INDICATE-5 </t>
  </si>
  <si>
    <t>PJ006</t>
  </si>
  <si>
    <t xml:space="preserve">KEMKOL </t>
  </si>
  <si>
    <t>PJ007</t>
  </si>
  <si>
    <t xml:space="preserve">FURADAN 4F 48% LÍQUIDO </t>
  </si>
  <si>
    <t>PN001</t>
  </si>
  <si>
    <t xml:space="preserve">FURADAN 10G POLVO </t>
  </si>
  <si>
    <t>PN002</t>
  </si>
  <si>
    <t xml:space="preserve">BIOSTAT </t>
  </si>
  <si>
    <t>PN003</t>
  </si>
  <si>
    <t xml:space="preserve">MOCAP POLVO </t>
  </si>
  <si>
    <t>PN004</t>
  </si>
  <si>
    <t xml:space="preserve">CARBOFURAN 4F LIQUIDO </t>
  </si>
  <si>
    <t>PN007</t>
  </si>
  <si>
    <t xml:space="preserve">ACEITE DE PALMA AFRICANA </t>
  </si>
  <si>
    <t>PS001</t>
  </si>
  <si>
    <t xml:space="preserve">PLASTICO AMARILLO PARA TRAMPAS </t>
  </si>
  <si>
    <t>PS002</t>
  </si>
  <si>
    <t xml:space="preserve">BIOTAC </t>
  </si>
  <si>
    <t>PS003</t>
  </si>
  <si>
    <t xml:space="preserve">PLASTICO AZUL PARA TRAMPAS </t>
  </si>
  <si>
    <t>PS004</t>
  </si>
  <si>
    <t xml:space="preserve">UREA </t>
  </si>
  <si>
    <t>FA002</t>
  </si>
  <si>
    <t>YARAMILA INTEGRADOR</t>
  </si>
  <si>
    <t>FA054</t>
  </si>
  <si>
    <t xml:space="preserve">CODASUL </t>
  </si>
  <si>
    <t>FB016</t>
  </si>
  <si>
    <t xml:space="preserve">HAKAPOS 15-5-30 </t>
  </si>
  <si>
    <t>FB033</t>
  </si>
  <si>
    <t xml:space="preserve">SIMUL STRESS </t>
  </si>
  <si>
    <t>FB053</t>
  </si>
  <si>
    <t xml:space="preserve">BOCACHI </t>
  </si>
  <si>
    <t>FB066</t>
  </si>
  <si>
    <t>Kel Zn.</t>
  </si>
  <si>
    <t>FB079</t>
  </si>
  <si>
    <t xml:space="preserve">TRICARBAMIX 70% </t>
  </si>
  <si>
    <t>PF059</t>
  </si>
  <si>
    <t xml:space="preserve">METAZAN MZ 72 </t>
  </si>
  <si>
    <t>PF069</t>
  </si>
  <si>
    <t xml:space="preserve">VIOLENTO </t>
  </si>
  <si>
    <t>PF071</t>
  </si>
  <si>
    <t xml:space="preserve">BALEAR 720 </t>
  </si>
  <si>
    <t>PF072</t>
  </si>
  <si>
    <t xml:space="preserve">FLUMITE </t>
  </si>
  <si>
    <t>PI110</t>
  </si>
  <si>
    <t xml:space="preserve">CASCADE DC </t>
  </si>
  <si>
    <t>PI116</t>
  </si>
  <si>
    <t xml:space="preserve">OMITE 30W </t>
  </si>
  <si>
    <t>PI119</t>
  </si>
  <si>
    <t xml:space="preserve">CARBODAN 4F </t>
  </si>
  <si>
    <t>PN012</t>
  </si>
  <si>
    <t xml:space="preserve">MOCAP GEL </t>
  </si>
  <si>
    <t>PN013</t>
  </si>
  <si>
    <t xml:space="preserve">CARBOROC </t>
  </si>
  <si>
    <t>PN014</t>
  </si>
  <si>
    <t xml:space="preserve">CARBOFURAN </t>
  </si>
  <si>
    <t>PN015</t>
  </si>
  <si>
    <t>FB999</t>
  </si>
  <si>
    <t>FA057</t>
  </si>
  <si>
    <t>CATEGORIA FENOLOGICA</t>
  </si>
  <si>
    <t>1 S XL</t>
  </si>
  <si>
    <t>2 S XL</t>
  </si>
  <si>
    <t>3 S XL</t>
  </si>
  <si>
    <t>4 S XL</t>
  </si>
  <si>
    <t>5 S XL</t>
  </si>
  <si>
    <t>6 S XL</t>
  </si>
  <si>
    <t>7 S XL</t>
  </si>
  <si>
    <t>8 S XL</t>
  </si>
  <si>
    <t>9 S XL</t>
  </si>
  <si>
    <t>10 S XL</t>
  </si>
  <si>
    <t>11 S XL</t>
  </si>
  <si>
    <t>12 S XL</t>
  </si>
  <si>
    <t>13 S XL</t>
  </si>
  <si>
    <t>14 S XL</t>
  </si>
  <si>
    <t>15 S XL</t>
  </si>
  <si>
    <t>16 S XL</t>
  </si>
  <si>
    <t>17 S XL</t>
  </si>
  <si>
    <t>18 S XL</t>
  </si>
  <si>
    <t>19 S XL</t>
  </si>
  <si>
    <t>20 S XL</t>
  </si>
  <si>
    <t>1 P XL</t>
  </si>
  <si>
    <t>2 P XL</t>
  </si>
  <si>
    <t>3 P XL</t>
  </si>
  <si>
    <t>4 P XL</t>
  </si>
  <si>
    <t>5 P XL</t>
  </si>
  <si>
    <t>6 P XL</t>
  </si>
  <si>
    <t>7 P XL</t>
  </si>
  <si>
    <t>8 P XL</t>
  </si>
  <si>
    <t>9 P XL</t>
  </si>
  <si>
    <t>10 P XL</t>
  </si>
  <si>
    <t>11 P XL</t>
  </si>
  <si>
    <t>12 P XL</t>
  </si>
  <si>
    <t>13 P XL</t>
  </si>
  <si>
    <t>14 P XL</t>
  </si>
  <si>
    <t>15 P XL</t>
  </si>
  <si>
    <t>16 P XL</t>
  </si>
  <si>
    <t>17 P XL</t>
  </si>
  <si>
    <t>18 P XL</t>
  </si>
  <si>
    <t>19 P XL</t>
  </si>
  <si>
    <t>20 P XL</t>
  </si>
  <si>
    <t>Trichoderma</t>
  </si>
  <si>
    <t>Beauveria</t>
  </si>
  <si>
    <t>FB998</t>
  </si>
  <si>
    <t>P4</t>
  </si>
  <si>
    <t>INVENTO</t>
  </si>
  <si>
    <t>PF148</t>
  </si>
  <si>
    <t>PHYTON</t>
  </si>
  <si>
    <t>RIDOMIL GOLD</t>
  </si>
  <si>
    <t>Yoga</t>
  </si>
  <si>
    <t>PI151</t>
  </si>
  <si>
    <t>KASUMIN 2%</t>
  </si>
  <si>
    <t>PF120</t>
  </si>
  <si>
    <t>Tricho+Beauv</t>
  </si>
  <si>
    <t>FB997</t>
  </si>
  <si>
    <t>TRIZIMAN-D</t>
  </si>
  <si>
    <t>PF137</t>
  </si>
  <si>
    <t>AGROCELHONE NE.</t>
  </si>
  <si>
    <t>PI136</t>
  </si>
  <si>
    <t>APLAUD</t>
  </si>
  <si>
    <t>PI126</t>
  </si>
  <si>
    <t>BELLKUTE</t>
  </si>
  <si>
    <t>PF142</t>
  </si>
  <si>
    <t>BORNEO 11 SC</t>
  </si>
  <si>
    <t>PI121</t>
  </si>
  <si>
    <t>INFINITO</t>
  </si>
  <si>
    <t>PF172</t>
  </si>
  <si>
    <t>SKEKURA 50%</t>
  </si>
  <si>
    <t>PF161</t>
  </si>
  <si>
    <t>CLORPILAQ</t>
  </si>
  <si>
    <t>PI146</t>
  </si>
  <si>
    <t xml:space="preserve">COMBATRAN </t>
  </si>
  <si>
    <t>PH022</t>
  </si>
  <si>
    <t xml:space="preserve">HORMONAGRO A.N.A. </t>
  </si>
  <si>
    <t>FB089</t>
  </si>
  <si>
    <t>PHYTO HORMONAL PLUS</t>
  </si>
  <si>
    <t>FH006</t>
  </si>
  <si>
    <t>ROBUST 90%</t>
  </si>
  <si>
    <t>FH007</t>
  </si>
  <si>
    <t>HIDROXIDO DE CALCIO</t>
  </si>
  <si>
    <t>CLORURO DE POTASIO AL 99%</t>
  </si>
  <si>
    <t>FA059</t>
  </si>
  <si>
    <t>ENERVIT FULL CALCIUM 35</t>
  </si>
  <si>
    <t>FA058</t>
  </si>
  <si>
    <t>CAL</t>
  </si>
  <si>
    <t>FA023</t>
  </si>
  <si>
    <t xml:space="preserve">NOVATEK PREMIUM 15-3-20 </t>
  </si>
  <si>
    <t>FA052</t>
  </si>
  <si>
    <t xml:space="preserve">EVERFLOR PLUS </t>
  </si>
  <si>
    <t>HB019</t>
  </si>
  <si>
    <t>ALBA PAC</t>
  </si>
  <si>
    <t>FA060</t>
  </si>
  <si>
    <t>Aplicaciones de Cal y Alcaplant en Gypsophilas</t>
  </si>
  <si>
    <t>Fecha: 24 / Oct / 2016</t>
  </si>
  <si>
    <t>Aplicación</t>
  </si>
  <si>
    <t>Producto</t>
  </si>
  <si>
    <t>Dosis (cc o gr / litro)</t>
  </si>
  <si>
    <t>Semana Poda</t>
  </si>
  <si>
    <t>Semana Siembra</t>
  </si>
  <si>
    <t>Hidróxido de Calcio (Cal)</t>
  </si>
  <si>
    <t>Alcaplant</t>
  </si>
  <si>
    <t>3 semanas antes de la poda</t>
  </si>
  <si>
    <t>No aplicar estos productos el mismo día que se apliquen pesticidas</t>
  </si>
  <si>
    <t>*221A</t>
  </si>
  <si>
    <t>*221B</t>
  </si>
  <si>
    <t>*215B</t>
  </si>
  <si>
    <t>*215A</t>
  </si>
  <si>
    <t>205A</t>
  </si>
  <si>
    <t>205B</t>
  </si>
  <si>
    <t>202A</t>
  </si>
  <si>
    <t>201A</t>
  </si>
  <si>
    <t>RAIZA</t>
  </si>
  <si>
    <t>Vitavax flo</t>
  </si>
  <si>
    <t>Nitrato potasio</t>
  </si>
  <si>
    <t xml:space="preserve">Nitrato calcio </t>
  </si>
  <si>
    <t>Novak</t>
  </si>
  <si>
    <t>Novak / Sportak</t>
  </si>
  <si>
    <t>Fumigacion</t>
  </si>
  <si>
    <t>Bac</t>
  </si>
  <si>
    <t>Muriato de k blanco</t>
  </si>
  <si>
    <t>Paecilomyces</t>
  </si>
  <si>
    <t>305A</t>
  </si>
  <si>
    <t>305B</t>
  </si>
  <si>
    <t>CANTIDAD EN FUNDAS</t>
  </si>
  <si>
    <t>P2</t>
  </si>
  <si>
    <t>S</t>
  </si>
  <si>
    <t>361A</t>
  </si>
  <si>
    <t>361B</t>
  </si>
  <si>
    <t>78A</t>
  </si>
  <si>
    <t>78B</t>
  </si>
  <si>
    <t>P5</t>
  </si>
  <si>
    <t>P1</t>
  </si>
  <si>
    <t>304A</t>
  </si>
  <si>
    <t>304B</t>
  </si>
  <si>
    <t>307B</t>
  </si>
  <si>
    <t>307A</t>
  </si>
  <si>
    <t>311A</t>
  </si>
  <si>
    <t>311B</t>
  </si>
  <si>
    <t>329A</t>
  </si>
  <si>
    <t>201BC</t>
  </si>
  <si>
    <t>201D</t>
  </si>
  <si>
    <t>202BC</t>
  </si>
  <si>
    <t>202D</t>
  </si>
  <si>
    <t>203A</t>
  </si>
  <si>
    <t>203B</t>
  </si>
  <si>
    <t>203C</t>
  </si>
  <si>
    <t>204A</t>
  </si>
  <si>
    <t>204B</t>
  </si>
  <si>
    <t>206A</t>
  </si>
  <si>
    <t>206B</t>
  </si>
  <si>
    <t>207A</t>
  </si>
  <si>
    <t>207B</t>
  </si>
  <si>
    <t>208A</t>
  </si>
  <si>
    <t>208B</t>
  </si>
  <si>
    <t>217A</t>
  </si>
  <si>
    <t>217B</t>
  </si>
  <si>
    <t>218A</t>
  </si>
  <si>
    <t>218B</t>
  </si>
  <si>
    <t>222A</t>
  </si>
  <si>
    <t>223A</t>
  </si>
  <si>
    <t>223BC</t>
  </si>
  <si>
    <t>224A</t>
  </si>
  <si>
    <t>224B</t>
  </si>
  <si>
    <t>225A</t>
  </si>
  <si>
    <t>225B</t>
  </si>
  <si>
    <t>CANTIDAD 8CC POR LITRO</t>
  </si>
  <si>
    <t xml:space="preserve">TACHIGAREN 36% LS </t>
  </si>
  <si>
    <t>Las aplicaciones con Venturi deben durar 8 min y eliminar una secuencia de ese día</t>
  </si>
  <si>
    <t>Cuando está programado Drench y el suelo esta muy mojado, aplicar con B7 a 15 litrso por cama de 30m2</t>
  </si>
  <si>
    <t>Ninguno de los Drench lleva Agral ni se corrige el pH</t>
  </si>
  <si>
    <t>En el Ozonic no se corrige el pH</t>
  </si>
  <si>
    <t>Raiza y Ácidos Húmicos no pueden ir por vénturi, van solo por ducha. Obstruyen los goteros</t>
  </si>
  <si>
    <t>La relación de dilusión del Muriato de K es 6 litros de agua por 1 kg de sulfato</t>
  </si>
  <si>
    <t>Si está muy húmedo, aplicar 15 litros / cama. Raiza a 1,1 y Acidos húmicos a 3</t>
  </si>
  <si>
    <t>Si está muy húmedo, aplicar 8 litros / cama. Alcaplanta a 6 gr/litro</t>
  </si>
  <si>
    <t>Si está muy mojado, NO aplicar Nitrato de Ca, Muriato de K</t>
  </si>
  <si>
    <t>2 semanas antes de fin de cosecha. Reducir 750 gr de la aplicación de cal en la poda</t>
  </si>
  <si>
    <t>El mismo día de la poda</t>
  </si>
  <si>
    <t>Solo para Five Stars</t>
  </si>
  <si>
    <t>solo en vénturi</t>
  </si>
  <si>
    <t>En foliar 2 cc / litro, No repetir la fumigación el mismo día</t>
  </si>
  <si>
    <t>En foliar 0,8 cc / litro, No repetir la fumigación el mismo día</t>
  </si>
  <si>
    <t>XLFS</t>
  </si>
  <si>
    <t>PODAS CLOUD</t>
  </si>
  <si>
    <t>PODAS MONTEALBO</t>
  </si>
  <si>
    <t>SIEMBRAS CLOUD</t>
  </si>
  <si>
    <t>SIEMBRAS MONTEALBO</t>
  </si>
  <si>
    <t>SIEMBRAS XLENCE</t>
  </si>
  <si>
    <t>SIEMBRAS XLENCE FIVE STARS</t>
  </si>
  <si>
    <t>PODAS XLENCE</t>
  </si>
  <si>
    <t>PODAS XLENCE FIVE STARS</t>
  </si>
  <si>
    <t>1 P XLFS</t>
  </si>
  <si>
    <t>2 P XLFS</t>
  </si>
  <si>
    <t>3 P XLFS</t>
  </si>
  <si>
    <t>4 P XLFS</t>
  </si>
  <si>
    <t>5 P XLFS</t>
  </si>
  <si>
    <t>6 P XLFS</t>
  </si>
  <si>
    <t>7 P XLFS</t>
  </si>
  <si>
    <t>8 P XLFS</t>
  </si>
  <si>
    <t>9 P XLFS</t>
  </si>
  <si>
    <t>10 P XLFS</t>
  </si>
  <si>
    <t>11 P XLFS</t>
  </si>
  <si>
    <t>12 P XLFS</t>
  </si>
  <si>
    <t>13 P XLFS</t>
  </si>
  <si>
    <t>14 P XLFS</t>
  </si>
  <si>
    <t>15 P XLFS</t>
  </si>
  <si>
    <t>16 P XLFS</t>
  </si>
  <si>
    <t>17 P XLFS</t>
  </si>
  <si>
    <t>18 P XLFS</t>
  </si>
  <si>
    <t>19 P XLFS</t>
  </si>
  <si>
    <t>20 P XLFS</t>
  </si>
  <si>
    <t>1 S XLFS</t>
  </si>
  <si>
    <t>2 S XLFS</t>
  </si>
  <si>
    <t>3 S XLFS</t>
  </si>
  <si>
    <t>4 S XLFS</t>
  </si>
  <si>
    <t>5 S XLFS</t>
  </si>
  <si>
    <t>6 S XLFS</t>
  </si>
  <si>
    <t>7 S XLFS</t>
  </si>
  <si>
    <t>8 S XLFS</t>
  </si>
  <si>
    <t>9 S XLFS</t>
  </si>
  <si>
    <t>10 S XLFS</t>
  </si>
  <si>
    <t>11 S XLFS</t>
  </si>
  <si>
    <t>12 S XLFS</t>
  </si>
  <si>
    <t>13 S XLFS</t>
  </si>
  <si>
    <t>14 S XLFS</t>
  </si>
  <si>
    <t>15 S XLFS</t>
  </si>
  <si>
    <t>16 S XLFS</t>
  </si>
  <si>
    <t>17 S XLFS</t>
  </si>
  <si>
    <t>18 S XLFS</t>
  </si>
  <si>
    <t>19 S XLFS</t>
  </si>
  <si>
    <t>20 S XLFS</t>
  </si>
  <si>
    <t>1 S AND</t>
  </si>
  <si>
    <t>2 S AND</t>
  </si>
  <si>
    <t>3 S AND</t>
  </si>
  <si>
    <t>4 S AND</t>
  </si>
  <si>
    <t>5 S AND</t>
  </si>
  <si>
    <t>6 S AND</t>
  </si>
  <si>
    <t>7 S AND</t>
  </si>
  <si>
    <t>8 S AND</t>
  </si>
  <si>
    <t>9 S AND</t>
  </si>
  <si>
    <t>10 S AND</t>
  </si>
  <si>
    <t>11 S AND</t>
  </si>
  <si>
    <t>12 S AND</t>
  </si>
  <si>
    <t>13 S AND</t>
  </si>
  <si>
    <t>14 S AND</t>
  </si>
  <si>
    <t>15 S AND</t>
  </si>
  <si>
    <t>16 S AND</t>
  </si>
  <si>
    <t>17 S AND</t>
  </si>
  <si>
    <t>18 S AND</t>
  </si>
  <si>
    <t>19 S AND</t>
  </si>
  <si>
    <t>20 S AND</t>
  </si>
  <si>
    <t>1 P AND</t>
  </si>
  <si>
    <t>2 P AND</t>
  </si>
  <si>
    <t>3 P AND</t>
  </si>
  <si>
    <t>4 P AND</t>
  </si>
  <si>
    <t>5 P AND</t>
  </si>
  <si>
    <t>6 P AND</t>
  </si>
  <si>
    <t>7 P AND</t>
  </si>
  <si>
    <t>8 P AND</t>
  </si>
  <si>
    <t>9 P AND</t>
  </si>
  <si>
    <t>10 P AND</t>
  </si>
  <si>
    <t>11 P AND</t>
  </si>
  <si>
    <t>12 P AND</t>
  </si>
  <si>
    <t>13 P AND</t>
  </si>
  <si>
    <t>14 P AND</t>
  </si>
  <si>
    <t>15 P AND</t>
  </si>
  <si>
    <t>16 P AND</t>
  </si>
  <si>
    <t>17 P AND</t>
  </si>
  <si>
    <t>18 P AND</t>
  </si>
  <si>
    <t>19 P AND</t>
  </si>
  <si>
    <t>20 P AND</t>
  </si>
  <si>
    <t>1 S CLO</t>
  </si>
  <si>
    <t>2 S CLO</t>
  </si>
  <si>
    <t>3 S CLO</t>
  </si>
  <si>
    <t>4 S CLO</t>
  </si>
  <si>
    <t>5 S CLO</t>
  </si>
  <si>
    <t>6 S CLO</t>
  </si>
  <si>
    <t>7 S CLO</t>
  </si>
  <si>
    <t>8 S CLO</t>
  </si>
  <si>
    <t>9 S CLO</t>
  </si>
  <si>
    <t>10 S CLO</t>
  </si>
  <si>
    <t>11 S CLO</t>
  </si>
  <si>
    <t>12 S CLO</t>
  </si>
  <si>
    <t>13 S CLO</t>
  </si>
  <si>
    <t>14 S CLO</t>
  </si>
  <si>
    <t>15 S CLO</t>
  </si>
  <si>
    <t>16 S CLO</t>
  </si>
  <si>
    <t>17 S CLO</t>
  </si>
  <si>
    <t>18 S CLO</t>
  </si>
  <si>
    <t>19 S CLO</t>
  </si>
  <si>
    <t>20 S CLO</t>
  </si>
  <si>
    <t>1 P CLO</t>
  </si>
  <si>
    <t>2 P CLO</t>
  </si>
  <si>
    <t>3 P CLO</t>
  </si>
  <si>
    <t>4 P CLO</t>
  </si>
  <si>
    <t>5 P CLO</t>
  </si>
  <si>
    <t>6 P CLO</t>
  </si>
  <si>
    <t>7 P CLO</t>
  </si>
  <si>
    <t>8 P CLO</t>
  </si>
  <si>
    <t>9 P CLO</t>
  </si>
  <si>
    <t>10 P CLO</t>
  </si>
  <si>
    <t>11 P CLO</t>
  </si>
  <si>
    <t>12 P CLO</t>
  </si>
  <si>
    <t>13 P CLO</t>
  </si>
  <si>
    <t>14 P CLO</t>
  </si>
  <si>
    <t>15 P CLO</t>
  </si>
  <si>
    <t>16 P CLO</t>
  </si>
  <si>
    <t>17 P CLO</t>
  </si>
  <si>
    <t>18 P CLO</t>
  </si>
  <si>
    <t>19 P CLO</t>
  </si>
  <si>
    <t>20 P CLO</t>
  </si>
  <si>
    <t>CLO</t>
  </si>
  <si>
    <t>HB042</t>
  </si>
  <si>
    <t>B</t>
  </si>
  <si>
    <t>Total general</t>
  </si>
  <si>
    <t xml:space="preserve"> CANTIDAD</t>
  </si>
  <si>
    <t>219C</t>
  </si>
  <si>
    <t>219A</t>
  </si>
  <si>
    <t>219B</t>
  </si>
  <si>
    <t>216A</t>
  </si>
  <si>
    <t>216B</t>
  </si>
  <si>
    <t>216C</t>
  </si>
  <si>
    <t>222B</t>
  </si>
  <si>
    <t>222C</t>
  </si>
  <si>
    <t>63B</t>
  </si>
  <si>
    <t>63A</t>
  </si>
  <si>
    <t>65A</t>
  </si>
  <si>
    <t>P6</t>
  </si>
  <si>
    <t>65B</t>
  </si>
  <si>
    <t>213A</t>
  </si>
  <si>
    <t>213B</t>
  </si>
  <si>
    <t>217C</t>
  </si>
  <si>
    <t>*218C</t>
  </si>
  <si>
    <t>Plan de acción problemas sanitarios semana 2008</t>
  </si>
  <si>
    <t>Fecha: 18-febrero-2020</t>
  </si>
  <si>
    <t>NEMÁTODOS</t>
  </si>
  <si>
    <t xml:space="preserve">Análisis de Guipi, compost malima; ecogreen, peatmoos  (2 marcas); cascajo; </t>
  </si>
  <si>
    <t>Repetir análisis en todos los bloques</t>
  </si>
  <si>
    <t>Resultado de Análisis</t>
  </si>
  <si>
    <t>Bq</t>
  </si>
  <si>
    <t>Nemalam - Meloidogyne  por 100 g de suelo</t>
  </si>
  <si>
    <t>Hilsea - Meloidogyne  por 100 g de suelo</t>
  </si>
  <si>
    <t>Hilsea - Paratilenchus  por 100 g de suelo</t>
  </si>
  <si>
    <t>En general, el umbral económico esta en 100 - 200 individuos por 100 g de suelo</t>
  </si>
  <si>
    <t>Informacion General de Nemátodos</t>
  </si>
  <si>
    <t>Las enfermedades causadas por nematodos se manifiestan con síntomas  en las raices como agallas, lesiones</t>
  </si>
  <si>
    <t>necróticas, proliferación de raíces secundarias y pobre crecimiento radicular, lo que se traduce en clorosis y en</t>
  </si>
  <si>
    <t>general plantas débiles con pobre crecimiento.</t>
  </si>
  <si>
    <t>Los síntomas causados por los nematodos que atacan partas aéreas, son manchas foliares, putrefacciones y</t>
  </si>
  <si>
    <t>distorsiones en cuello y bulbos, así como agallas en las flores. Necrosis del xilema y marchitez</t>
  </si>
  <si>
    <t>Siembras y Podas:</t>
  </si>
  <si>
    <t>Dosis normal  g / m2</t>
  </si>
  <si>
    <t>Dosis bloques problema</t>
  </si>
  <si>
    <t>Siembra:</t>
  </si>
  <si>
    <r>
      <t>Agrocelhone</t>
    </r>
    <r>
      <rPr>
        <sz val="11"/>
        <color indexed="9"/>
        <rFont val="Calibri"/>
        <family val="2"/>
      </rPr>
      <t xml:space="preserve"> FE (DICLOROPROPENO 38% y CLOROPRICRINA 57%)</t>
    </r>
  </si>
  <si>
    <t>Agrocelhone NE (DICLOROPROPENO 80,3% y CLOROPRICRINA 44%)</t>
  </si>
  <si>
    <t>Poda:</t>
  </si>
  <si>
    <t>Rugby</t>
  </si>
  <si>
    <t>5  g / m2</t>
  </si>
  <si>
    <t>7,5 g / m2</t>
  </si>
  <si>
    <t>Sem 7:</t>
  </si>
  <si>
    <t>Nakar</t>
  </si>
  <si>
    <t>25 cc / cama</t>
  </si>
  <si>
    <t>Manejo de Nemátodos:</t>
  </si>
  <si>
    <t>Evitar la contaminación entre bloques con desinfección de manos y botas con Neuthox a 60 cc/lit y herramientas</t>
  </si>
  <si>
    <t>con BAC a 5 cc / litro</t>
  </si>
  <si>
    <t>Incorporación al suelo de altas cantidades de materia orgánica: 18 sacos/cama en siembras normales</t>
  </si>
  <si>
    <t>25  sacos/cama en el área nueva. Cada saco es de 6 paladas llenas.</t>
  </si>
  <si>
    <t>Niveles de cloro libre en gotero en agua de 2-4 ppm. Con neuthox en MH y pastillas de cloro en SJP</t>
  </si>
  <si>
    <t>Nivel adecuado de cal en el suelo. En gypso encalar si tenemos pH 7,2 o inferior</t>
  </si>
  <si>
    <t>Mantener el protocolo para bacterias, pues en ambos casos debemos reducir contagios</t>
  </si>
  <si>
    <t>Dos pases de arado, con 15 días de separación antes de la desinfección</t>
  </si>
  <si>
    <t>Escarificados en todos los bloques antes del GA3 y en los filos de la cama 2 semanas antes de cosecha</t>
  </si>
  <si>
    <t>Desinfectar los escarificadores a cada cambio de camas</t>
  </si>
  <si>
    <t>Manejo Biológico: Peacelocyses</t>
  </si>
  <si>
    <t>Paecylomices</t>
  </si>
  <si>
    <t>Disponible por área (fundas)</t>
  </si>
  <si>
    <t>Litros en Drench</t>
  </si>
  <si>
    <t>Disponible por área (litros)</t>
  </si>
  <si>
    <t>Disponible (litros)</t>
  </si>
  <si>
    <t>Disponible funda</t>
  </si>
  <si>
    <t>MH1 (301 - 338)</t>
  </si>
  <si>
    <t>MH1 (4 - 29)</t>
  </si>
  <si>
    <t>MH2 (1 24)</t>
  </si>
  <si>
    <t>MH2 (101 -108)</t>
  </si>
  <si>
    <t>MH2 (LV)</t>
  </si>
  <si>
    <t>SJP</t>
  </si>
  <si>
    <t>Cultivos Varios</t>
  </si>
  <si>
    <t>Propagación</t>
  </si>
  <si>
    <t>TOTAL</t>
  </si>
  <si>
    <t>Trichoderma: las cantidades están en fundas. Dosis para Drench 20 fundas por tanque de 1000 litros</t>
  </si>
  <si>
    <t>Beauveria: las cantidades están en litros (cada litro equivale a una funda). Dosis en Drench: 6 cc / litro</t>
  </si>
  <si>
    <t>Paecylomices: las cantiades están en litros (cada litro equivale a 2 fundas). Dosis en Drench 8 cc / litro</t>
  </si>
  <si>
    <t>Los hongos se pueden aplicar directamente al suelo o dar junto con Drench de Fertilizantes o Bioestimulantes</t>
  </si>
  <si>
    <t>en dilusión final</t>
  </si>
  <si>
    <t>No aplicar drench con fungicida la semana de aplicación de hongos benéficos</t>
  </si>
  <si>
    <t>AREA</t>
  </si>
  <si>
    <t>METODO DE APLICACIÓN 1</t>
  </si>
  <si>
    <t>METODO DE APLICACIÓN 2</t>
  </si>
  <si>
    <t>METODO DE APLICACIÓN 3</t>
  </si>
  <si>
    <t>METODO DE APLICACIÓN 4</t>
  </si>
  <si>
    <t>METODO DE APLICACIÓN 5</t>
  </si>
  <si>
    <t>METODO DE APLICACIÓN 6</t>
  </si>
  <si>
    <t>AA</t>
  </si>
  <si>
    <t>CANTIDAD PRODCUTO 1</t>
  </si>
  <si>
    <t>LITROS 1 CAMA</t>
  </si>
  <si>
    <t>LITROS 2 CAMA</t>
  </si>
  <si>
    <t>LITROS 3 CAMA</t>
  </si>
  <si>
    <t>LITROS 4 CAMA</t>
  </si>
  <si>
    <t>LITROS 5 CAMA</t>
  </si>
  <si>
    <t>LITROS 6 CAMA</t>
  </si>
  <si>
    <t>CANTIDAD PRODCUTO 2</t>
  </si>
  <si>
    <t>CANTIDAD PRODCUTO 6</t>
  </si>
  <si>
    <t>PESAR</t>
  </si>
  <si>
    <t>De donde 1000 lt son para 20 camas, lo que equivale a 1 funda por cama</t>
  </si>
  <si>
    <t>De donde 1000cc son 1 funda. De esta dilucion aplicamos 6cc por litro en donde  1 cama, requiere 300cc de producucto diluido.</t>
  </si>
  <si>
    <t>De donde 1000cc son 2 funda. De esta dilucion aplicamos 8cc por litro en donde  1 cama, requiere 400cc de producto diluido.</t>
  </si>
  <si>
    <t>(Todas)</t>
  </si>
  <si>
    <t>AND</t>
  </si>
  <si>
    <t>CANTIDAD 6CC POR LITRO</t>
  </si>
  <si>
    <t>REVISADO 03/06/2020</t>
  </si>
  <si>
    <t>(en blanco)</t>
  </si>
  <si>
    <t>0</t>
  </si>
  <si>
    <t>FA065</t>
  </si>
  <si>
    <t>LITROS BLOQUE</t>
  </si>
  <si>
    <t>306A</t>
  </si>
  <si>
    <t>306B</t>
  </si>
  <si>
    <t>DISPONIBILIDAD EN BODEGA</t>
  </si>
  <si>
    <t>DIA DE APLICACIÓN</t>
  </si>
  <si>
    <t>PH DE APLICACIÓN</t>
  </si>
  <si>
    <t>TIEMPO DE REINGRESO (Hrs)</t>
  </si>
  <si>
    <t>MOTIVO (1) DE LA APLICACIÓN</t>
  </si>
  <si>
    <t>MOTIVO (2) DE LA APLICACIÓN</t>
  </si>
  <si>
    <t>MOTIVO (3) DE LA APLICACIÓN</t>
  </si>
  <si>
    <t>MOTIVO (4) DE LA APLICACIÓN</t>
  </si>
  <si>
    <t>INGREDIENTE ACTIVO</t>
  </si>
  <si>
    <t>CATEGORA TOXICOLOGICA</t>
  </si>
  <si>
    <t>DESCRIPCION TOXICOLOGIC</t>
  </si>
  <si>
    <t>ORDEN AGROQUIMICO</t>
  </si>
  <si>
    <t>PREDISPOCICION</t>
  </si>
  <si>
    <t>Dosis</t>
  </si>
  <si>
    <t>CARENCIA</t>
  </si>
  <si>
    <t>ACTIVOS REG</t>
  </si>
  <si>
    <t>Lunes</t>
  </si>
  <si>
    <t>Pulgón</t>
  </si>
  <si>
    <t>Minador</t>
  </si>
  <si>
    <t>Trips</t>
  </si>
  <si>
    <t>Acephato</t>
  </si>
  <si>
    <t>III</t>
  </si>
  <si>
    <t>Ligeramente Peligrosos III</t>
  </si>
  <si>
    <t>Insecticida</t>
  </si>
  <si>
    <t>SUSPENDIDO</t>
  </si>
  <si>
    <t>-</t>
  </si>
  <si>
    <t>10-30-10</t>
  </si>
  <si>
    <t>ACTIVOS NO REG</t>
  </si>
  <si>
    <t>IV</t>
  </si>
  <si>
    <t>Categoría IV</t>
  </si>
  <si>
    <t>Fertilizante</t>
  </si>
  <si>
    <t>Martes</t>
  </si>
  <si>
    <t>Acaros</t>
  </si>
  <si>
    <t>Abamectina</t>
  </si>
  <si>
    <t>ABEMACTINA</t>
  </si>
  <si>
    <t>ABAMECTINA</t>
  </si>
  <si>
    <t>II</t>
  </si>
  <si>
    <t>Moderadamente Peligrosos II</t>
  </si>
  <si>
    <t>4.5-7.5</t>
  </si>
  <si>
    <t>Clofentezina</t>
  </si>
  <si>
    <t>ACEITE DE PALMA AFRICANA</t>
  </si>
  <si>
    <t>Mipe</t>
  </si>
  <si>
    <t xml:space="preserve"> ---</t>
  </si>
  <si>
    <t>Fertilización</t>
  </si>
  <si>
    <t>Boro</t>
  </si>
  <si>
    <t>ACIDO CÍTRICO</t>
  </si>
  <si>
    <t>Modificador de pH</t>
  </si>
  <si>
    <t>P2O5</t>
  </si>
  <si>
    <t>ACIDO GIBERÉLICO 90%</t>
  </si>
  <si>
    <t>Inducción</t>
  </si>
  <si>
    <t>Acido Giberélico</t>
  </si>
  <si>
    <t>Fitohormonal</t>
  </si>
  <si>
    <t>Miercoles</t>
  </si>
  <si>
    <t>Bioestimulante</t>
  </si>
  <si>
    <t>ACIDO INDOLBUTÍRICO IBA</t>
  </si>
  <si>
    <t>Enrraizamiento</t>
  </si>
  <si>
    <t>ACIDO 3-INDOL BUTÍRICO (IBA)</t>
  </si>
  <si>
    <t>ACROBAT</t>
  </si>
  <si>
    <t>Viernes</t>
  </si>
  <si>
    <t>Phytophthora</t>
  </si>
  <si>
    <t>Peronóspora</t>
  </si>
  <si>
    <t>MANCOZEB + DIMETHOMORPH</t>
  </si>
  <si>
    <t>Fungicida</t>
  </si>
  <si>
    <t>ACTARA 25 WG</t>
  </si>
  <si>
    <t>Afidos</t>
  </si>
  <si>
    <t>Mosca Blanca</t>
  </si>
  <si>
    <t>Tiametoxam</t>
  </si>
  <si>
    <t>Lunes, Miercoles, Jueves, Viernes</t>
  </si>
  <si>
    <t>Fijadores, dispersantes</t>
  </si>
  <si>
    <t>Oxido de nonilfenoletileno</t>
  </si>
  <si>
    <t>Coadyuvante</t>
  </si>
  <si>
    <t>AGROQUAT</t>
  </si>
  <si>
    <t>Hebicida no selectivo Contacto</t>
  </si>
  <si>
    <t>Paraquat</t>
  </si>
  <si>
    <t>Herbicida</t>
  </si>
  <si>
    <t>ELIMINADOS REG</t>
  </si>
  <si>
    <t>Fosetyl alumimio</t>
  </si>
  <si>
    <t>ALCOHOL INDUSTRIAL</t>
  </si>
  <si>
    <t>Diluyebte GA3</t>
  </si>
  <si>
    <t>Alcohol Industrial</t>
  </si>
  <si>
    <t>I</t>
  </si>
  <si>
    <t>Altamente Peligrosos Ib</t>
  </si>
  <si>
    <t>Diluyente - solvente</t>
  </si>
  <si>
    <t>NO HAY</t>
  </si>
  <si>
    <t>ALIETTE 80% WG</t>
  </si>
  <si>
    <t>Fitoalexinas, peronospora</t>
  </si>
  <si>
    <t>ALTO 100 SL</t>
  </si>
  <si>
    <t>Roya</t>
  </si>
  <si>
    <t>Botrytis</t>
  </si>
  <si>
    <t>Alternaria</t>
  </si>
  <si>
    <t>Oidium</t>
  </si>
  <si>
    <t>CYPROCONAZOLE</t>
  </si>
  <si>
    <t>AMBUSH</t>
  </si>
  <si>
    <t>Larvas</t>
  </si>
  <si>
    <t>AMINOCAT</t>
  </si>
  <si>
    <t>AMISTAR 500 GDA</t>
  </si>
  <si>
    <t>Oidio</t>
  </si>
  <si>
    <t>Azoxistrobina</t>
  </si>
  <si>
    <t>ÁNGEL</t>
  </si>
  <si>
    <t>Anti Stress</t>
  </si>
  <si>
    <t>Jueves</t>
  </si>
  <si>
    <t>Propineb</t>
  </si>
  <si>
    <t>ANVIL 25-SC</t>
  </si>
  <si>
    <t>Nematicida</t>
  </si>
  <si>
    <t>CADUSAFUS</t>
  </si>
  <si>
    <t>Nematicida - Insecticida</t>
  </si>
  <si>
    <t>ARRASADOR 480 SL</t>
  </si>
  <si>
    <t>GLIFOSATO</t>
  </si>
  <si>
    <t>ATABRON</t>
  </si>
  <si>
    <t>CLORFLUAZURON</t>
  </si>
  <si>
    <t>AVID</t>
  </si>
  <si>
    <t>AVISO DF</t>
  </si>
  <si>
    <t>Cimoxanil + metiram</t>
  </si>
  <si>
    <t>AZUFRE GRANULADO</t>
  </si>
  <si>
    <t>5.0-7.0</t>
  </si>
  <si>
    <t>Azufre</t>
  </si>
  <si>
    <t>AZUFRE</t>
  </si>
  <si>
    <t>Bactericidas</t>
  </si>
  <si>
    <t>CLORPIRIFOS CIPERMETRINA</t>
  </si>
  <si>
    <t>BALEAR 720</t>
  </si>
  <si>
    <t>ELIMINADOS NO REG</t>
  </si>
  <si>
    <t>5.5-6.0</t>
  </si>
  <si>
    <t>Clorotalonil</t>
  </si>
  <si>
    <t>BASFOLIAR ALGAE</t>
  </si>
  <si>
    <t>N, P, K, Mg, Carbohidratos, aminoacidos, Fitoormonas, vitaminas</t>
  </si>
  <si>
    <t>BASFOLIAR CALCIO</t>
  </si>
  <si>
    <t>Fertilización Foliar</t>
  </si>
  <si>
    <t>MgO</t>
  </si>
  <si>
    <t>Diazinon</t>
  </si>
  <si>
    <t>BAVISTIN 50% FL</t>
  </si>
  <si>
    <t>Rhizoctonia</t>
  </si>
  <si>
    <t>Fusarium</t>
  </si>
  <si>
    <t>CARBENDAZIM</t>
  </si>
  <si>
    <t>BAYCOR 300 CE</t>
  </si>
  <si>
    <t>Bitertanol</t>
  </si>
  <si>
    <t>BAYLETON 250 CE</t>
  </si>
  <si>
    <t>TRIADIMEFON</t>
  </si>
  <si>
    <t>BENOMIL OD</t>
  </si>
  <si>
    <t>BENOMIL</t>
  </si>
  <si>
    <t>BERGTISEG</t>
  </si>
  <si>
    <t>BIGFAST</t>
  </si>
  <si>
    <t>Tamaño Botón</t>
  </si>
  <si>
    <t>BIOBACT</t>
  </si>
  <si>
    <t>Tricoderma</t>
  </si>
  <si>
    <t>CITOQUININAS, ENZIMAS, VITAMOAS, AMINOACIDOS</t>
  </si>
  <si>
    <t>MONO DI TRI, POLISACARIDOS</t>
  </si>
  <si>
    <t>BIOSTAT</t>
  </si>
  <si>
    <t>PAECILOMYCES LILACINUS</t>
  </si>
  <si>
    <t>BIOSYME</t>
  </si>
  <si>
    <t>Microelementos, Giberelinas, AIA, Zeaina, Fitohormonas</t>
  </si>
  <si>
    <t>BIOTAC</t>
  </si>
  <si>
    <t>Pegante</t>
  </si>
  <si>
    <t>Polibuteno</t>
  </si>
  <si>
    <t>BOCACHI</t>
  </si>
  <si>
    <t>BOSTOK</t>
  </si>
  <si>
    <t>Amplio Espectro</t>
  </si>
  <si>
    <t>BREAK TRUE</t>
  </si>
  <si>
    <t>Polyether, polymhetysiloxane-copolymer</t>
  </si>
  <si>
    <t>BREMA</t>
  </si>
  <si>
    <t>Post Cosecha</t>
  </si>
  <si>
    <t>Colletotrichum</t>
  </si>
  <si>
    <t>Verticillium</t>
  </si>
  <si>
    <t>MANEB + TRIFENILTIN ACETATO</t>
  </si>
  <si>
    <t>BROMURO DE METILO</t>
  </si>
  <si>
    <t>Desinfectante de Suelo</t>
  </si>
  <si>
    <t>Hongos</t>
  </si>
  <si>
    <t>Nemátodos</t>
  </si>
  <si>
    <t>Malezas</t>
  </si>
  <si>
    <t>Bromomethane</t>
  </si>
  <si>
    <t>Restringidos</t>
  </si>
  <si>
    <t>ALPHA-CYPERMETHRIN</t>
  </si>
  <si>
    <t>CADASTYN</t>
  </si>
  <si>
    <t>L-Cysteina, Acido Fólico, Aminoácidos, N, Materia Orgánica</t>
  </si>
  <si>
    <t>CAL DOLOMITA</t>
  </si>
  <si>
    <t>CALDO BORDELES</t>
  </si>
  <si>
    <t>Mildiu</t>
  </si>
  <si>
    <t>SULFATO DE COBRE</t>
  </si>
  <si>
    <t>Rizocthonia</t>
  </si>
  <si>
    <t>Boscalid</t>
  </si>
  <si>
    <t>CAPTAN</t>
  </si>
  <si>
    <t>CARBODAN 4F</t>
  </si>
  <si>
    <t>Carbofuran</t>
  </si>
  <si>
    <t>Extremadamente Peligrosos Ia</t>
  </si>
  <si>
    <t>CARBOFURAN</t>
  </si>
  <si>
    <t>CARBOFURAN 10G POLVO</t>
  </si>
  <si>
    <t>CARBOFURAN 4F LIQUIDO</t>
  </si>
  <si>
    <t>CARBONATO DE CALCIO</t>
  </si>
  <si>
    <t>CARBOROC</t>
  </si>
  <si>
    <t>CARBOXIN THIRAM</t>
  </si>
  <si>
    <t>CASCADE DC</t>
  </si>
  <si>
    <t>Flufenoxuron</t>
  </si>
  <si>
    <t>CASCAJO FINO</t>
  </si>
  <si>
    <t>Pomez</t>
  </si>
  <si>
    <t>Sustrato</t>
  </si>
  <si>
    <t>CASCAJO GRUESO</t>
  </si>
  <si>
    <t>CASCAJO MEDIANO</t>
  </si>
  <si>
    <t>CASCARILLA DE ARROZ</t>
  </si>
  <si>
    <t>Cascarilla de arroz</t>
  </si>
  <si>
    <t>Fipronil</t>
  </si>
  <si>
    <t>CERCOBIN</t>
  </si>
  <si>
    <t>TIOFANATO METILICO</t>
  </si>
  <si>
    <t>CIPERMETRINA 20%</t>
  </si>
  <si>
    <t>CIPERMETRINA</t>
  </si>
  <si>
    <t>CITATION 75 WP</t>
  </si>
  <si>
    <t>CIROMAZINA</t>
  </si>
  <si>
    <t>POLISACARIDOS, ACIDO ALGINICO, MANTINOL, CITOQUININAS NATURALES</t>
  </si>
  <si>
    <t>5.5-6.5</t>
  </si>
  <si>
    <t>Phytium</t>
  </si>
  <si>
    <t>2 tiocianometio</t>
  </si>
  <si>
    <t>CODA MAGNESIO</t>
  </si>
  <si>
    <t>CODA MANGANESO</t>
  </si>
  <si>
    <t>Mn</t>
  </si>
  <si>
    <t>CODABORO</t>
  </si>
  <si>
    <t>CODA-CAL</t>
  </si>
  <si>
    <t>CODACALCIO QUELATO</t>
  </si>
  <si>
    <t>CODAFOL 0-30-20</t>
  </si>
  <si>
    <t>CODAMIN 150 AMINOACIDOS</t>
  </si>
  <si>
    <t>CODAMIN RADYCULAR</t>
  </si>
  <si>
    <t>Aminoácidos Libres, Materia Orgánica, N, P2O5, N, K</t>
  </si>
  <si>
    <t>CODASAL</t>
  </si>
  <si>
    <t>Aminoacidos libres, P, Mg, Zn, Boro, Mo, Materia Orgánica, N</t>
  </si>
  <si>
    <t>CODASUL</t>
  </si>
  <si>
    <t>CODAVIT</t>
  </si>
  <si>
    <t>CONFIDOR 350 SC</t>
  </si>
  <si>
    <t>Imidacloprid</t>
  </si>
  <si>
    <t>FENAMIDONE PROPAMOCARB</t>
  </si>
  <si>
    <t>COSMO AGUAS</t>
  </si>
  <si>
    <t>Mejora la calidad del agua</t>
  </si>
  <si>
    <t>CITRATOS, EDETATOS QUELATANTES</t>
  </si>
  <si>
    <t>AZOXYSTROBINA</t>
  </si>
  <si>
    <t>CUPROFIX</t>
  </si>
  <si>
    <t>Mancozeb + caldo bordeles</t>
  </si>
  <si>
    <t>Mancozeb + Benalaxyl</t>
  </si>
  <si>
    <t>Cyromazine</t>
  </si>
  <si>
    <t>DACONIL 2787 75% POLVO</t>
  </si>
  <si>
    <t>DANITOL 10 CE</t>
  </si>
  <si>
    <t>ACAROS</t>
  </si>
  <si>
    <t>FENPROPATRHIM</t>
  </si>
  <si>
    <t>Diabrotica</t>
  </si>
  <si>
    <t>Trozador</t>
  </si>
  <si>
    <t>Deltamethrin</t>
  </si>
  <si>
    <t xml:space="preserve">Bioestimulante </t>
  </si>
  <si>
    <t>Cartap</t>
  </si>
  <si>
    <t>Difenoconazol</t>
  </si>
  <si>
    <t>6.0-7.0</t>
  </si>
  <si>
    <t>Mancozeb</t>
  </si>
  <si>
    <t>DOMARK</t>
  </si>
  <si>
    <t>5.0-6.0</t>
  </si>
  <si>
    <t>Tetraconazole</t>
  </si>
  <si>
    <t>ECUAFIX</t>
  </si>
  <si>
    <t>Se añade directamente sobre las mezclas</t>
  </si>
  <si>
    <t>ENRAIZADOR</t>
  </si>
  <si>
    <t>Promotor de crecimiento</t>
  </si>
  <si>
    <t>PYRIPROXYFEN</t>
  </si>
  <si>
    <t>L-Cysteina, Acido Fólico</t>
  </si>
  <si>
    <t>ESTELAR 480 LS</t>
  </si>
  <si>
    <t>Ethaboxan</t>
  </si>
  <si>
    <t>EUPAREN M50% PM</t>
  </si>
  <si>
    <t>TOLYFLUANID</t>
  </si>
  <si>
    <t>Tiociclam-hidrogenoxalato</t>
  </si>
  <si>
    <t>EXOTHER TERMIL</t>
  </si>
  <si>
    <t>Desinfectante</t>
  </si>
  <si>
    <t>FIJAROEL</t>
  </si>
  <si>
    <t>Etoxilato de Alquifenol no ionico</t>
  </si>
  <si>
    <t>Propineb + cimoxanil</t>
  </si>
  <si>
    <t>FLORAMITE</t>
  </si>
  <si>
    <t>Bifenazate</t>
  </si>
  <si>
    <t>FLORECID</t>
  </si>
  <si>
    <t>FLORONE</t>
  </si>
  <si>
    <t>FLUMITE</t>
  </si>
  <si>
    <t>Flufenzine</t>
  </si>
  <si>
    <t>FOLICUR 250 EZ</t>
  </si>
  <si>
    <t>ROYA</t>
  </si>
  <si>
    <t>TEBUCONAZOLE</t>
  </si>
  <si>
    <t>Oomycetos</t>
  </si>
  <si>
    <t>Furalaxil</t>
  </si>
  <si>
    <t>FORESYTE 38 SC</t>
  </si>
  <si>
    <t>OXADIAZON</t>
  </si>
  <si>
    <t>FORMOL</t>
  </si>
  <si>
    <t>FORUM DMM</t>
  </si>
  <si>
    <t>5.0-7.5</t>
  </si>
  <si>
    <t>Dimetomorph</t>
  </si>
  <si>
    <t>FOSETIIC</t>
  </si>
  <si>
    <t>FOSETYL ALUMINIO 80%</t>
  </si>
  <si>
    <t>FOSFATO MONOAMONICO</t>
  </si>
  <si>
    <t>FUNGAFLOR 75 PS</t>
  </si>
  <si>
    <t>IMAZALIL</t>
  </si>
  <si>
    <t>FUNGBACTER</t>
  </si>
  <si>
    <t>Acido Sulfínico Hidroximetano Amonio Demetil Alquil Bencil</t>
  </si>
  <si>
    <t>FURADAN 10G POLVO</t>
  </si>
  <si>
    <t>FURADAN 4F 48% LÍQUIDO</t>
  </si>
  <si>
    <t>GALBEN</t>
  </si>
  <si>
    <t>MANCOZEB + BENALAXYL</t>
  </si>
  <si>
    <t>GALBEN M-8-65</t>
  </si>
  <si>
    <t>GALLINAZA</t>
  </si>
  <si>
    <t>GLIFOLAQ</t>
  </si>
  <si>
    <t>GLYPHOSATE (SAL ISOPROPILAMINA)</t>
  </si>
  <si>
    <t>4.0-5.0</t>
  </si>
  <si>
    <t>Hebicida no selectivo Sistémico</t>
  </si>
  <si>
    <t>Glifosato</t>
  </si>
  <si>
    <t>GOAL 2 EC</t>
  </si>
  <si>
    <t>OXIFLUORFEN</t>
  </si>
  <si>
    <t>GOLDAZIM 500</t>
  </si>
  <si>
    <t>GRAMOXONE</t>
  </si>
  <si>
    <t>SAL DICLORURO DE PARAQUAT</t>
  </si>
  <si>
    <t>GREENSTIM</t>
  </si>
  <si>
    <t>HAKAPHOS 15-5-3</t>
  </si>
  <si>
    <t>HAKAPHOS VERDE 15-10-15+2</t>
  </si>
  <si>
    <t>HAKAPOS 15-5-30</t>
  </si>
  <si>
    <t>HUMIN</t>
  </si>
  <si>
    <t>Mejora Estructura del suelo</t>
  </si>
  <si>
    <t>Acidos Húmicos</t>
  </si>
  <si>
    <t>Acidos Humicos</t>
  </si>
  <si>
    <t>HUMUS FERTILEX</t>
  </si>
  <si>
    <t>IGRAN 500 SC</t>
  </si>
  <si>
    <t>6.5-7.0</t>
  </si>
  <si>
    <t>Pre y post emergentes</t>
  </si>
  <si>
    <t>Terbutrina</t>
  </si>
  <si>
    <t>IMPIDE</t>
  </si>
  <si>
    <t>SALES POTASIO ACIDOS GRASOS</t>
  </si>
  <si>
    <t>INDICATE-5</t>
  </si>
  <si>
    <t>ACIDO FOSFORICO-ALQUIRALIC</t>
  </si>
  <si>
    <t>Iprovalicarb, propineb</t>
  </si>
  <si>
    <t>Lambda-cihalotrina</t>
  </si>
  <si>
    <t>KARATE 2.5%</t>
  </si>
  <si>
    <t>Calcio</t>
  </si>
  <si>
    <t>Hierro Fe 2+, EDA</t>
  </si>
  <si>
    <t>Magnecio, Azufre</t>
  </si>
  <si>
    <t>Manganeso, Azufre</t>
  </si>
  <si>
    <t>Zin, Nitrogeno NO3</t>
  </si>
  <si>
    <t>KELATEX DE MAGNESIO</t>
  </si>
  <si>
    <t>KEMKOL</t>
  </si>
  <si>
    <t>Coadyuvante de Uso Agrícola</t>
  </si>
  <si>
    <t>Fenpiroximate</t>
  </si>
  <si>
    <t>KILLER</t>
  </si>
  <si>
    <t>PARAQUAT DICHLORIDE</t>
  </si>
  <si>
    <t>KOCIDE 101 77%</t>
  </si>
  <si>
    <t>Bactericida, Peronosporales</t>
  </si>
  <si>
    <t>Hidroxido cuprico</t>
  </si>
  <si>
    <t>KUMULUS DF</t>
  </si>
  <si>
    <t>METALAXIL OXICLORURO DE COBRE</t>
  </si>
  <si>
    <t>LIBREL BMX</t>
  </si>
  <si>
    <t>Microelementos</t>
  </si>
  <si>
    <t>Pre y Post emergente</t>
  </si>
  <si>
    <t>Linurón</t>
  </si>
  <si>
    <t>Clorpirifos</t>
  </si>
  <si>
    <t>MACHETE 60 EC</t>
  </si>
  <si>
    <t>BUTACHLOR</t>
  </si>
  <si>
    <t>MATABABOSA 5% CEBO</t>
  </si>
  <si>
    <t>Molusquisida</t>
  </si>
  <si>
    <t>Metaldehido</t>
  </si>
  <si>
    <t>MAXFERRO</t>
  </si>
  <si>
    <t>Fe</t>
  </si>
  <si>
    <t>MELAZA</t>
  </si>
  <si>
    <t>Melaza</t>
  </si>
  <si>
    <t>MELTATOX 40%</t>
  </si>
  <si>
    <t>Dodemorph-acetate</t>
  </si>
  <si>
    <t>Tiabenbazole</t>
  </si>
  <si>
    <t>Metiocarb</t>
  </si>
  <si>
    <t>MESUROL POLVO</t>
  </si>
  <si>
    <t>Quelatado de aminoacido de calcio</t>
  </si>
  <si>
    <t>Metomil</t>
  </si>
  <si>
    <t>METAZAN MZ 72</t>
  </si>
  <si>
    <t>Metalaxil, Mancozeb</t>
  </si>
  <si>
    <t>METHASYSTOX</t>
  </si>
  <si>
    <t>MILDEX</t>
  </si>
  <si>
    <t>Fenamidone &amp; fosetyl aluminio</t>
  </si>
  <si>
    <t>MIRAGE 450 EC</t>
  </si>
  <si>
    <t>PROCLORAZ</t>
  </si>
  <si>
    <t>MITAC 20 EC</t>
  </si>
  <si>
    <t>Amitraz</t>
  </si>
  <si>
    <t>MITECLEAN 10% SC</t>
  </si>
  <si>
    <t>Pirimidifen</t>
  </si>
  <si>
    <t>MITIGAN 25 CE</t>
  </si>
  <si>
    <t>DICOFOL</t>
  </si>
  <si>
    <t>MOCAP GEL</t>
  </si>
  <si>
    <t>ETHOPROP</t>
  </si>
  <si>
    <t>MOCAP POLVO</t>
  </si>
  <si>
    <t>Mo</t>
  </si>
  <si>
    <t>Imidacloprid &amp; Cyflutrin</t>
  </si>
  <si>
    <t>MYCOBAC</t>
  </si>
  <si>
    <t>5.5-7.0</t>
  </si>
  <si>
    <t>N. Calcio</t>
  </si>
  <si>
    <t>N - Ca</t>
  </si>
  <si>
    <t>N. Potasio</t>
  </si>
  <si>
    <t>N - K</t>
  </si>
  <si>
    <t>NAKAR 20 EC</t>
  </si>
  <si>
    <t>BENFURACARB</t>
  </si>
  <si>
    <t>Aminoacidos, N, Ca, MaterioOrgánica</t>
  </si>
  <si>
    <t>NATURAMIN PLUS</t>
  </si>
  <si>
    <t>Aminoácidos, Péptidos, N, P, K, B, Cu, Fe, Mn, Mo, Zn, Materia Orgánica</t>
  </si>
  <si>
    <t>Abonado</t>
  </si>
  <si>
    <t>N, K, Materia Orgánica, Fe, Acidos Húmicos y Fúlvicos</t>
  </si>
  <si>
    <t>NATURFOS</t>
  </si>
  <si>
    <t>5 a 9</t>
  </si>
  <si>
    <t>P2O5, K2o</t>
  </si>
  <si>
    <t>NATURFRUIR BASIC</t>
  </si>
  <si>
    <t>N, SO3 y Microelementos</t>
  </si>
  <si>
    <t>NATURQUEL FE</t>
  </si>
  <si>
    <t>NATURQUEL MG</t>
  </si>
  <si>
    <t>Mn, Zn</t>
  </si>
  <si>
    <t>NATURVIGOR</t>
  </si>
  <si>
    <t>NATURVITAL PLUS</t>
  </si>
  <si>
    <t>NEEM KNOCK</t>
  </si>
  <si>
    <t>AZADIRACHTINA</t>
  </si>
  <si>
    <t>Larvas de lepidópteros</t>
  </si>
  <si>
    <t>BACILLUS THURINGIENSIS</t>
  </si>
  <si>
    <t>NIMROD</t>
  </si>
  <si>
    <t>Bupiramato</t>
  </si>
  <si>
    <t>NISSORUM</t>
  </si>
  <si>
    <t>Hexitiazox</t>
  </si>
  <si>
    <t>N, P, K</t>
  </si>
  <si>
    <t>N</t>
  </si>
  <si>
    <t>NITRATO DE MAGNESIO</t>
  </si>
  <si>
    <t>NITROFOSKA 20-19-19</t>
  </si>
  <si>
    <t>Nitrofoska foliar 8-12-24</t>
  </si>
  <si>
    <t>NITROFOSKA LIQUIDO 10-4-7</t>
  </si>
  <si>
    <t>Metil tiofanato</t>
  </si>
  <si>
    <t>Pinolene (Poli - 1 - p - Menteno)</t>
  </si>
  <si>
    <t>NUTRAMIN CALCIO</t>
  </si>
  <si>
    <t>NUTRAMIN MAGNESIO</t>
  </si>
  <si>
    <t>NUTRAMIN POTASIO</t>
  </si>
  <si>
    <t>NUTRIENT EXPRESS 11-41-8</t>
  </si>
  <si>
    <t>NUTRIENT EXPRESS 18-18-18</t>
  </si>
  <si>
    <t>NUTRIPLAN 23-6-17+3MGO+35+0.4Z</t>
  </si>
  <si>
    <t>OCTAVE 50 PM</t>
  </si>
  <si>
    <t>OIDIOMIL</t>
  </si>
  <si>
    <t>NITROPOLISULFATO</t>
  </si>
  <si>
    <t>OMITE 30W</t>
  </si>
  <si>
    <t>Propargite</t>
  </si>
  <si>
    <t>Fosfonato de Aluminio, Pentoxido de fosforo, Oxido de Aluminio</t>
  </si>
  <si>
    <t>PADAN 50%</t>
  </si>
  <si>
    <t>PALMAROL 35% EC</t>
  </si>
  <si>
    <t>Endosulfan</t>
  </si>
  <si>
    <t>PATRON</t>
  </si>
  <si>
    <t>PEATMOOS ENRAHIZADOR #2</t>
  </si>
  <si>
    <t>Sustrato organico</t>
  </si>
  <si>
    <t>PEATMOOS RECUP SUELOS</t>
  </si>
  <si>
    <t>PENTAC 50 PM</t>
  </si>
  <si>
    <t>PCNB</t>
  </si>
  <si>
    <t>Dimetoato</t>
  </si>
  <si>
    <t>PHOS PRO 025-20</t>
  </si>
  <si>
    <t>Sulfato de cobre pentahidratado</t>
  </si>
  <si>
    <t>Benomyl</t>
  </si>
  <si>
    <t>PIPRON SL</t>
  </si>
  <si>
    <t>Mildeo Polvoso</t>
  </si>
  <si>
    <t>Piperalina</t>
  </si>
  <si>
    <t>CHLORFENAPYR</t>
  </si>
  <si>
    <t>PIRIMOR 50%</t>
  </si>
  <si>
    <t>PLANTVAX 75% PM</t>
  </si>
  <si>
    <t>Oxicarboxin</t>
  </si>
  <si>
    <t>PLASTICO AMARILLO PARA TRAMPAS</t>
  </si>
  <si>
    <t>PLASTICO AZUL PARA TRAMPAS</t>
  </si>
  <si>
    <t>Polyoxin A-L</t>
  </si>
  <si>
    <t>DIAFENTIURON</t>
  </si>
  <si>
    <t>Metiram</t>
  </si>
  <si>
    <t>Propamocarb hydrocloryde</t>
  </si>
  <si>
    <t>PROSPER 500 EC</t>
  </si>
  <si>
    <t>Spiroxamina</t>
  </si>
  <si>
    <t>PROWL 400 EC</t>
  </si>
  <si>
    <t>PENDIMETHALIN</t>
  </si>
  <si>
    <t>SPINETORAM</t>
  </si>
  <si>
    <t>4 a 9</t>
  </si>
  <si>
    <t>Aminoácidos, Materia Orgánica, N</t>
  </si>
  <si>
    <t>RALLY 40 WP</t>
  </si>
  <si>
    <t>Miclobutanil</t>
  </si>
  <si>
    <t>RANGER 28.6%</t>
  </si>
  <si>
    <t>Acetamiprid</t>
  </si>
  <si>
    <t>Mandipropamid</t>
  </si>
  <si>
    <t>RONSTAR 38 FLO</t>
  </si>
  <si>
    <t>Preemergente</t>
  </si>
  <si>
    <t>Oxadiazon</t>
  </si>
  <si>
    <t>ROUNDUP 747</t>
  </si>
  <si>
    <t>GLYPHOSATE</t>
  </si>
  <si>
    <t>ROVRAL LIQUIDO</t>
  </si>
  <si>
    <t>Iprodione</t>
  </si>
  <si>
    <t>ROVRAL 50WP</t>
  </si>
  <si>
    <t>RUBIGAN 12EC</t>
  </si>
  <si>
    <t>Fenarimol</t>
  </si>
  <si>
    <t>RUFAST</t>
  </si>
  <si>
    <t>Acrinatrina</t>
  </si>
  <si>
    <t>SANMITE</t>
  </si>
  <si>
    <t>Piridaben</t>
  </si>
  <si>
    <t>SAPROL DL</t>
  </si>
  <si>
    <t>TRIFORINE</t>
  </si>
  <si>
    <t>PYRIMETHANIL</t>
  </si>
  <si>
    <t>SIALEX</t>
  </si>
  <si>
    <t>Procymidone</t>
  </si>
  <si>
    <t>Silicio</t>
  </si>
  <si>
    <t>CO-POLIMERO DE ETER METIL Y SILICONA</t>
  </si>
  <si>
    <t>SIMUL STRESS</t>
  </si>
  <si>
    <t>Procloras</t>
  </si>
  <si>
    <t>Pseudomonas</t>
  </si>
  <si>
    <t>Erwinia</t>
  </si>
  <si>
    <t>Bactericida</t>
  </si>
  <si>
    <t>ACIDO OXOLINICO</t>
  </si>
  <si>
    <t>STIMPLEX</t>
  </si>
  <si>
    <t>STROBI DF</t>
  </si>
  <si>
    <t>METILO DE KRESOXIM</t>
  </si>
  <si>
    <t>STRONG</t>
  </si>
  <si>
    <t>6.0-6.5</t>
  </si>
  <si>
    <t>SUGAR EXPRESS</t>
  </si>
  <si>
    <t>SULFATO DE CALCIO</t>
  </si>
  <si>
    <t>Mg</t>
  </si>
  <si>
    <t>SULFATO DE MAGNESIO AGRÍCOLA</t>
  </si>
  <si>
    <t>Zn</t>
  </si>
  <si>
    <t>SULFOLAC 85 SC</t>
  </si>
  <si>
    <t>Clorfenapyr</t>
  </si>
  <si>
    <t>SURFARE</t>
  </si>
  <si>
    <t>SUST. KLASMANN TS-1 876 FINO</t>
  </si>
  <si>
    <t>SWITCH</t>
  </si>
  <si>
    <t>Ciprodinil Fludioxinil</t>
  </si>
  <si>
    <t>TACHI GAREN 36% LS</t>
  </si>
  <si>
    <t>HYMEXAZOL</t>
  </si>
  <si>
    <t>Tebuconazole</t>
  </si>
  <si>
    <t>TALCO</t>
  </si>
  <si>
    <t>TALSTAR 80 SC</t>
  </si>
  <si>
    <t>BIFENTRINA</t>
  </si>
  <si>
    <t>TANIL</t>
  </si>
  <si>
    <t>TATOO</t>
  </si>
  <si>
    <t>Tetradifon</t>
  </si>
  <si>
    <t>TEDION V-18</t>
  </si>
  <si>
    <t>TELDOR COMBI 416,7 SC</t>
  </si>
  <si>
    <t>Fenhexamid, Tebuconazole</t>
  </si>
  <si>
    <t>TERRACLOR 75%</t>
  </si>
  <si>
    <t>TERRAZOLE 35% WP</t>
  </si>
  <si>
    <t>ETRIDIAZOLE</t>
  </si>
  <si>
    <t>THIODAN 35% CE</t>
  </si>
  <si>
    <t>Thiram bisulfuro de tetrametiltiocarbamilo (35gr), carbendazim 2 metoxicarbamilo-bencimidazol (15gr)</t>
  </si>
  <si>
    <t>TILT 250 EC</t>
  </si>
  <si>
    <t>Propiconazole</t>
  </si>
  <si>
    <t>TIMPSEN</t>
  </si>
  <si>
    <t>TOPAS 100 EC</t>
  </si>
  <si>
    <t>Penconazole</t>
  </si>
  <si>
    <t>TRACER 120 SC</t>
  </si>
  <si>
    <t>Spinosad</t>
  </si>
  <si>
    <t>P, K, Ca, Mg, Si</t>
  </si>
  <si>
    <t>Ca, B</t>
  </si>
  <si>
    <t>TRICARBAMIX 70%</t>
  </si>
  <si>
    <t>ULTRAFERRO</t>
  </si>
  <si>
    <t>UREA</t>
  </si>
  <si>
    <t>GA3</t>
  </si>
  <si>
    <t>VANODINE</t>
  </si>
  <si>
    <t>VEXTER 4 EC</t>
  </si>
  <si>
    <t>Nematodos</t>
  </si>
  <si>
    <t>Oxamyl</t>
  </si>
  <si>
    <t>VIGENTE</t>
  </si>
  <si>
    <t>VIOLENTO</t>
  </si>
  <si>
    <t>5.0-5.5</t>
  </si>
  <si>
    <t>METILROSANILINA</t>
  </si>
  <si>
    <t>VITAVAX 300</t>
  </si>
  <si>
    <t>Carboxin + Captan</t>
  </si>
  <si>
    <t>VONDOZEB 62% SC</t>
  </si>
  <si>
    <t>ZERO TOLERANCE 2T</t>
  </si>
  <si>
    <t>PEROXIDO DE HIDROGENO</t>
  </si>
  <si>
    <t>Abamectina + Xylen</t>
  </si>
  <si>
    <t>Erwinia spp</t>
  </si>
  <si>
    <t>Kasugamicina</t>
  </si>
  <si>
    <t>1,3-dichloropropene + chloropicrin</t>
  </si>
  <si>
    <t>Buprofezin</t>
  </si>
  <si>
    <t>4.5 - 7.5</t>
  </si>
  <si>
    <t>ALBESILATE</t>
  </si>
  <si>
    <t>5.0 - 7.5</t>
  </si>
  <si>
    <t>ETOXAZOLE</t>
  </si>
  <si>
    <t>PROPAMOCARB HYDROCHLORIDE + FLUOPICOLIDE</t>
  </si>
  <si>
    <t>COMBATRAN</t>
  </si>
  <si>
    <t>PICLORAM + 2,4-D</t>
  </si>
  <si>
    <t>HORMONAGRO A.N.A.</t>
  </si>
  <si>
    <t>Acido alfa naftalenacético</t>
  </si>
  <si>
    <t>NOVATEK PREMIUM 15-3-20</t>
  </si>
  <si>
    <t>EVERFLOR PLUS</t>
  </si>
  <si>
    <t>Preservante hidratante floral</t>
  </si>
  <si>
    <t>Abalone</t>
  </si>
  <si>
    <t>PI152</t>
  </si>
  <si>
    <t>Corridabull</t>
  </si>
  <si>
    <t>PI157</t>
  </si>
  <si>
    <t>Diflubenzuron</t>
  </si>
  <si>
    <t>Dantotsu</t>
  </si>
  <si>
    <t>PI153</t>
  </si>
  <si>
    <t>Clothianidin</t>
  </si>
  <si>
    <t>DIMEPAC</t>
  </si>
  <si>
    <t>PI128</t>
  </si>
  <si>
    <t>Dimethoate + Xylene</t>
  </si>
  <si>
    <t>Diva</t>
  </si>
  <si>
    <t>PI158</t>
  </si>
  <si>
    <t>Flecha</t>
  </si>
  <si>
    <t>PI156</t>
  </si>
  <si>
    <t>Pirestar</t>
  </si>
  <si>
    <t>PI155</t>
  </si>
  <si>
    <t>Permithrin</t>
  </si>
  <si>
    <t>Rimon</t>
  </si>
  <si>
    <t>PI154</t>
  </si>
  <si>
    <t>Novaluron</t>
  </si>
  <si>
    <t>NOVAK 50</t>
  </si>
  <si>
    <t>PF177</t>
  </si>
  <si>
    <t>DIMILIN</t>
  </si>
  <si>
    <t>Citronela</t>
  </si>
  <si>
    <t>Estracto de citronela</t>
  </si>
  <si>
    <t>Repelente</t>
  </si>
  <si>
    <t>FB996</t>
  </si>
  <si>
    <t>Biologico</t>
  </si>
  <si>
    <t>Nitrato de Calcio</t>
  </si>
  <si>
    <t>N, Ca</t>
  </si>
  <si>
    <t>Sinodafen</t>
  </si>
  <si>
    <t>PI160</t>
  </si>
  <si>
    <t>Botriazole</t>
  </si>
  <si>
    <t>PF178</t>
  </si>
  <si>
    <t>Premio</t>
  </si>
  <si>
    <t>PI161</t>
  </si>
  <si>
    <t>Larvas Minador</t>
  </si>
  <si>
    <t>Larvas Trips</t>
  </si>
  <si>
    <t>Chlorantranilipole</t>
  </si>
  <si>
    <t>3 a 30 días</t>
  </si>
  <si>
    <t>Metalozato multimineral</t>
  </si>
  <si>
    <t>FB098</t>
  </si>
  <si>
    <t>Skemata</t>
  </si>
  <si>
    <t>PI014</t>
  </si>
  <si>
    <t>Acaramix</t>
  </si>
  <si>
    <t>PI162</t>
  </si>
  <si>
    <t>NITRATO DE POTASIO</t>
  </si>
  <si>
    <t>Metalozato de calcio</t>
  </si>
  <si>
    <t>Tracking Ca-B</t>
  </si>
  <si>
    <t>KANEMITE 15 SC</t>
  </si>
  <si>
    <t>PI122</t>
  </si>
  <si>
    <t>Acequinocyl (3 docecyl-1,4 dihydro-1,4-dioxo-2-naphtayl-acetate</t>
  </si>
  <si>
    <t>Movento</t>
  </si>
  <si>
    <t>PI169</t>
  </si>
  <si>
    <t>Thiacloprid_Spirotetramat</t>
  </si>
  <si>
    <t>Sivanto</t>
  </si>
  <si>
    <t>PI166</t>
  </si>
  <si>
    <t>FLUPYRADIFURONE</t>
  </si>
  <si>
    <t>Acierto</t>
  </si>
  <si>
    <t>ULTRASOL HIERRO</t>
  </si>
  <si>
    <t>FB101</t>
  </si>
  <si>
    <t>ELMUS</t>
  </si>
  <si>
    <t>Fluxapiroxad</t>
  </si>
  <si>
    <t>Piraclostrobina</t>
  </si>
  <si>
    <t>PRINCIPIO ACTIVO</t>
  </si>
  <si>
    <t>Oxido de calcio</t>
  </si>
  <si>
    <t>Acido humico</t>
  </si>
  <si>
    <t>Cloruro de potasio</t>
  </si>
  <si>
    <t>Sales de amonio cuaternario</t>
  </si>
  <si>
    <t>Hidróxido de calcio</t>
  </si>
  <si>
    <t>313A</t>
  </si>
  <si>
    <t>313B</t>
  </si>
  <si>
    <t>314A</t>
  </si>
  <si>
    <t>314B</t>
  </si>
  <si>
    <t>CV</t>
  </si>
  <si>
    <t>361D</t>
  </si>
  <si>
    <t>334A</t>
  </si>
  <si>
    <t>334B</t>
  </si>
  <si>
    <t>Humistar WG</t>
  </si>
  <si>
    <t>303A</t>
  </si>
  <si>
    <t>303B</t>
  </si>
  <si>
    <t>315A</t>
  </si>
  <si>
    <t>315B</t>
  </si>
  <si>
    <t>317A</t>
  </si>
  <si>
    <t>317B</t>
  </si>
  <si>
    <t>316A</t>
  </si>
  <si>
    <t>316B</t>
  </si>
  <si>
    <t xml:space="preserve">SAN JUAN PAMBA </t>
  </si>
  <si>
    <t>*218A</t>
  </si>
  <si>
    <t>*218B</t>
  </si>
  <si>
    <t>Bloque</t>
  </si>
  <si>
    <t>MS</t>
  </si>
  <si>
    <t>MM3</t>
  </si>
  <si>
    <t/>
  </si>
  <si>
    <t>HUMISTAR WG</t>
  </si>
  <si>
    <t>Camas 30m2</t>
  </si>
  <si>
    <t># CAMAS 30M2</t>
  </si>
  <si>
    <t>A</t>
  </si>
  <si>
    <t>P</t>
  </si>
  <si>
    <t>FOLIOGOLD</t>
  </si>
  <si>
    <t>Serenade</t>
  </si>
  <si>
    <t>Alto 100</t>
  </si>
  <si>
    <t>FUNGAFLOR</t>
  </si>
  <si>
    <t>17A</t>
  </si>
  <si>
    <t>17B</t>
  </si>
  <si>
    <t>Boquilla B7</t>
  </si>
  <si>
    <t>26A</t>
  </si>
  <si>
    <t>26B</t>
  </si>
  <si>
    <t>20A</t>
  </si>
  <si>
    <t>20B</t>
  </si>
  <si>
    <t>1A</t>
  </si>
  <si>
    <t>1B</t>
  </si>
  <si>
    <t>Sulfex</t>
  </si>
  <si>
    <t>Frio_Caliente</t>
  </si>
  <si>
    <t>Flutrialaq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</si>
</sst>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"/>
    <numFmt numFmtId="167" formatCode="_(&quot;$&quot;\ * #,##0.00_);_(&quot;$&quot;\ * \(#,##0.00\);_(&quot;$&quot;\ * &quot;-&quot;??_);_(@_)"/>
    <numFmt numFmtId="168" formatCode="0.000"/>
    <numFmt numFmtId="169" formatCode="#,##0.000"/>
    <numFmt numFmtId="170" formatCode="_-[$€]* #,##0.00_-;\-[$€]* #,##0.00_-;_-[$€]* &quot;-&quot;??_-;_-@_-"/>
    <numFmt numFmtId="171" formatCode="_ &quot;$&quot;\ * #,##0.00_ ;_ &quot;$&quot;\ * \-#,##0.00_ ;_ &quot;$&quot;\ * &quot;-&quot;??_ ;_ @_ "/>
    <numFmt numFmtId="172" formatCode="_([$€]* #,##0.00_);_([$€]* \(#,##0.00\);_([$€]* &quot;-&quot;??_);_(@_)"/>
    <numFmt numFmtId="173" formatCode="#,##0.0"/>
  </numFmts>
  <fonts count="6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8"/>
      <color indexed="62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Tahoma"/>
      <family val="2"/>
    </font>
    <font>
      <b/>
      <sz val="9"/>
      <name val="Tahoma"/>
      <family val="2"/>
    </font>
    <font>
      <sz val="14"/>
      <name val="Arial"/>
      <family val="2"/>
    </font>
    <font>
      <sz val="10"/>
      <color rgb="FFFF0000"/>
      <name val="Arial"/>
      <family val="2"/>
    </font>
    <font>
      <b/>
      <sz val="10"/>
      <color theme="0" tint="-0.34998626667073579"/>
      <name val="Arial"/>
      <family val="2"/>
    </font>
    <font>
      <sz val="10"/>
      <color theme="0"/>
      <name val="Arial"/>
      <family val="2"/>
    </font>
    <font>
      <b/>
      <sz val="10"/>
      <color rgb="FF000099"/>
      <name val="Arial"/>
      <family val="2"/>
    </font>
    <font>
      <sz val="11"/>
      <name val="Calibri"/>
      <family val="2"/>
      <scheme val="minor"/>
    </font>
    <font>
      <b/>
      <sz val="10"/>
      <color rgb="FF0000FF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Calibri"/>
      <family val="2"/>
    </font>
    <font>
      <b/>
      <sz val="14"/>
      <color indexed="10"/>
      <name val="Calibri"/>
      <family val="2"/>
    </font>
    <font>
      <sz val="11"/>
      <color indexed="9"/>
      <name val="Calibri"/>
      <family val="2"/>
    </font>
    <font>
      <b/>
      <sz val="14"/>
      <color indexed="8"/>
      <name val="Calibri"/>
      <family val="2"/>
    </font>
    <font>
      <b/>
      <sz val="8"/>
      <color theme="0"/>
      <name val="Arial"/>
      <family val="2"/>
    </font>
    <font>
      <sz val="10"/>
      <color rgb="FFC0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9"/>
      <color indexed="12"/>
      <name val="Tahoma"/>
      <family val="2"/>
    </font>
    <font>
      <sz val="8"/>
      <color indexed="62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u/>
      <sz val="11"/>
      <color theme="10"/>
      <name val="Calibri"/>
      <family val="2"/>
      <scheme val="minor"/>
    </font>
    <font>
      <sz val="8"/>
      <color rgb="FFFF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83">
    <xf numFmtId="0" fontId="0" fillId="0" borderId="0"/>
    <xf numFmtId="0" fontId="20" fillId="0" borderId="0"/>
    <xf numFmtId="0" fontId="16" fillId="0" borderId="0"/>
    <xf numFmtId="165" fontId="9" fillId="0" borderId="0" applyFont="0" applyFill="0" applyBorder="0" applyAlignment="0" applyProtection="0"/>
    <xf numFmtId="0" fontId="10" fillId="0" borderId="0"/>
    <xf numFmtId="0" fontId="10" fillId="0" borderId="0"/>
    <xf numFmtId="0" fontId="8" fillId="0" borderId="0"/>
    <xf numFmtId="9" fontId="10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0"/>
    <xf numFmtId="165" fontId="36" fillId="0" borderId="0" applyFont="0" applyFill="0" applyBorder="0" applyAlignment="0" applyProtection="0"/>
    <xf numFmtId="0" fontId="37" fillId="0" borderId="0"/>
    <xf numFmtId="0" fontId="10" fillId="0" borderId="0"/>
    <xf numFmtId="0" fontId="35" fillId="0" borderId="0"/>
    <xf numFmtId="0" fontId="6" fillId="0" borderId="0"/>
    <xf numFmtId="0" fontId="4" fillId="0" borderId="0"/>
    <xf numFmtId="43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10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0" fontId="36" fillId="29" borderId="0" applyNumberFormat="0" applyBorder="0" applyAlignment="0" applyProtection="0"/>
    <xf numFmtId="0" fontId="36" fillId="32" borderId="0" applyNumberFormat="0" applyBorder="0" applyAlignment="0" applyProtection="0"/>
    <xf numFmtId="0" fontId="36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8" fillId="28" borderId="0" applyNumberFormat="0" applyBorder="0" applyAlignment="0" applyProtection="0"/>
    <xf numFmtId="0" fontId="49" fillId="40" borderId="17" applyNumberFormat="0" applyAlignment="0" applyProtection="0"/>
    <xf numFmtId="0" fontId="50" fillId="41" borderId="18" applyNumberFormat="0" applyAlignment="0" applyProtection="0"/>
    <xf numFmtId="0" fontId="51" fillId="0" borderId="19" applyNumberFormat="0" applyFill="0" applyAlignment="0" applyProtection="0"/>
    <xf numFmtId="0" fontId="52" fillId="0" borderId="0" applyNumberFormat="0" applyFill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45" borderId="0" applyNumberFormat="0" applyBorder="0" applyAlignment="0" applyProtection="0"/>
    <xf numFmtId="0" fontId="53" fillId="31" borderId="17" applyNumberFormat="0" applyAlignment="0" applyProtection="0"/>
    <xf numFmtId="172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54" fillId="27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55" fillId="4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47" borderId="20" applyNumberFormat="0" applyFont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6" fillId="40" borderId="21" applyNumberFormat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22" applyNumberFormat="0" applyFill="0" applyAlignment="0" applyProtection="0"/>
    <xf numFmtId="0" fontId="60" fillId="0" borderId="23" applyNumberFormat="0" applyFill="0" applyAlignment="0" applyProtection="0"/>
    <xf numFmtId="0" fontId="52" fillId="0" borderId="24" applyNumberFormat="0" applyFill="0" applyAlignment="0" applyProtection="0"/>
    <xf numFmtId="0" fontId="61" fillId="0" borderId="0" applyNumberFormat="0" applyFill="0" applyBorder="0" applyAlignment="0" applyProtection="0"/>
    <xf numFmtId="0" fontId="38" fillId="0" borderId="25" applyNumberFormat="0" applyFill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62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</cellStyleXfs>
  <cellXfs count="330">
    <xf numFmtId="0" fontId="0" fillId="0" borderId="0" xfId="0"/>
    <xf numFmtId="0" fontId="0" fillId="0" borderId="1" xfId="0" applyBorder="1"/>
    <xf numFmtId="0" fontId="0" fillId="4" borderId="0" xfId="0" applyFill="1"/>
    <xf numFmtId="166" fontId="0" fillId="0" borderId="1" xfId="0" applyNumberFormat="1" applyBorder="1"/>
    <xf numFmtId="0" fontId="0" fillId="5" borderId="1" xfId="0" applyFill="1" applyBorder="1"/>
    <xf numFmtId="0" fontId="0" fillId="8" borderId="1" xfId="0" applyFill="1" applyBorder="1"/>
    <xf numFmtId="0" fontId="13" fillId="0" borderId="0" xfId="0" applyFont="1"/>
    <xf numFmtId="0" fontId="11" fillId="0" borderId="0" xfId="0" applyFont="1"/>
    <xf numFmtId="0" fontId="17" fillId="0" borderId="1" xfId="0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9" fillId="0" borderId="1" xfId="0" applyFont="1" applyBorder="1"/>
    <xf numFmtId="0" fontId="23" fillId="0" borderId="1" xfId="0" applyFont="1" applyBorder="1"/>
    <xf numFmtId="0" fontId="14" fillId="0" borderId="4" xfId="0" applyFont="1" applyBorder="1"/>
    <xf numFmtId="0" fontId="0" fillId="6" borderId="1" xfId="0" applyFill="1" applyBorder="1"/>
    <xf numFmtId="0" fontId="11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right"/>
    </xf>
    <xf numFmtId="0" fontId="0" fillId="0" borderId="0" xfId="0" applyAlignment="1">
      <alignment vertical="top"/>
    </xf>
    <xf numFmtId="0" fontId="0" fillId="0" borderId="10" xfId="0" applyBorder="1" applyAlignment="1">
      <alignment horizontal="center" vertical="center"/>
    </xf>
    <xf numFmtId="0" fontId="13" fillId="6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top"/>
    </xf>
    <xf numFmtId="1" fontId="0" fillId="0" borderId="1" xfId="0" applyNumberFormat="1" applyBorder="1" applyAlignment="1">
      <alignment horizontal="right"/>
    </xf>
    <xf numFmtId="0" fontId="25" fillId="4" borderId="0" xfId="0" applyFont="1" applyFill="1" applyAlignment="1">
      <alignment horizontal="center"/>
    </xf>
    <xf numFmtId="0" fontId="26" fillId="0" borderId="0" xfId="0" applyFont="1"/>
    <xf numFmtId="1" fontId="26" fillId="0" borderId="0" xfId="0" applyNumberFormat="1" applyFont="1"/>
    <xf numFmtId="0" fontId="11" fillId="0" borderId="1" xfId="0" applyFont="1" applyBorder="1"/>
    <xf numFmtId="0" fontId="27" fillId="0" borderId="1" xfId="1" applyFont="1" applyBorder="1"/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10" fillId="0" borderId="0" xfId="0" applyFont="1"/>
    <xf numFmtId="0" fontId="17" fillId="0" borderId="12" xfId="0" applyFont="1" applyBorder="1" applyAlignment="1">
      <alignment horizontal="center" vertical="center" wrapText="1"/>
    </xf>
    <xf numFmtId="0" fontId="0" fillId="0" borderId="2" xfId="0" applyBorder="1"/>
    <xf numFmtId="0" fontId="10" fillId="12" borderId="2" xfId="0" applyFont="1" applyFill="1" applyBorder="1"/>
    <xf numFmtId="1" fontId="10" fillId="0" borderId="1" xfId="0" applyNumberFormat="1" applyFont="1" applyBorder="1"/>
    <xf numFmtId="0" fontId="21" fillId="0" borderId="1" xfId="1" applyFont="1" applyBorder="1"/>
    <xf numFmtId="0" fontId="21" fillId="0" borderId="1" xfId="1" applyFont="1" applyBorder="1" applyAlignment="1">
      <alignment wrapText="1"/>
    </xf>
    <xf numFmtId="0" fontId="10" fillId="0" borderId="1" xfId="5" applyBorder="1"/>
    <xf numFmtId="0" fontId="10" fillId="0" borderId="1" xfId="5" applyBorder="1" applyAlignment="1">
      <alignment vertical="center"/>
    </xf>
    <xf numFmtId="0" fontId="10" fillId="5" borderId="1" xfId="5" applyFill="1" applyBorder="1"/>
    <xf numFmtId="0" fontId="10" fillId="12" borderId="1" xfId="5" applyFill="1" applyBorder="1"/>
    <xf numFmtId="0" fontId="10" fillId="16" borderId="1" xfId="5" applyFill="1" applyBorder="1"/>
    <xf numFmtId="0" fontId="27" fillId="0" borderId="1" xfId="5" applyFont="1" applyBorder="1"/>
    <xf numFmtId="0" fontId="34" fillId="0" borderId="1" xfId="0" applyFont="1" applyBorder="1"/>
    <xf numFmtId="0" fontId="10" fillId="10" borderId="1" xfId="5" applyFill="1" applyBorder="1"/>
    <xf numFmtId="0" fontId="34" fillId="0" borderId="0" xfId="6" applyFont="1"/>
    <xf numFmtId="0" fontId="8" fillId="0" borderId="0" xfId="6"/>
    <xf numFmtId="0" fontId="8" fillId="0" borderId="1" xfId="6" applyBorder="1" applyAlignment="1">
      <alignment horizontal="center" vertical="center" wrapText="1"/>
    </xf>
    <xf numFmtId="0" fontId="8" fillId="0" borderId="0" xfId="6" applyAlignment="1">
      <alignment horizontal="center" vertical="center" wrapText="1"/>
    </xf>
    <xf numFmtId="0" fontId="8" fillId="0" borderId="1" xfId="6" applyBorder="1" applyAlignment="1">
      <alignment horizontal="center"/>
    </xf>
    <xf numFmtId="0" fontId="8" fillId="0" borderId="1" xfId="6" applyBorder="1"/>
    <xf numFmtId="0" fontId="11" fillId="18" borderId="1" xfId="0" applyFont="1" applyFill="1" applyBorder="1" applyAlignment="1">
      <alignment horizontal="right"/>
    </xf>
    <xf numFmtId="0" fontId="28" fillId="18" borderId="1" xfId="0" applyFont="1" applyFill="1" applyBorder="1"/>
    <xf numFmtId="0" fontId="11" fillId="18" borderId="1" xfId="0" applyFont="1" applyFill="1" applyBorder="1"/>
    <xf numFmtId="0" fontId="0" fillId="17" borderId="1" xfId="0" applyFill="1" applyBorder="1"/>
    <xf numFmtId="0" fontId="0" fillId="0" borderId="0" xfId="0" applyAlignment="1">
      <alignment vertical="center" wrapText="1"/>
    </xf>
    <xf numFmtId="0" fontId="28" fillId="0" borderId="1" xfId="0" applyFont="1" applyBorder="1"/>
    <xf numFmtId="0" fontId="30" fillId="0" borderId="0" xfId="8" applyFont="1"/>
    <xf numFmtId="49" fontId="10" fillId="0" borderId="1" xfId="8" applyNumberFormat="1" applyFont="1" applyBorder="1"/>
    <xf numFmtId="0" fontId="10" fillId="0" borderId="10" xfId="0" applyFont="1" applyBorder="1" applyAlignment="1">
      <alignment vertical="top"/>
    </xf>
    <xf numFmtId="0" fontId="0" fillId="0" borderId="0" xfId="0" pivotButton="1"/>
    <xf numFmtId="1" fontId="0" fillId="0" borderId="0" xfId="0" applyNumberFormat="1"/>
    <xf numFmtId="0" fontId="38" fillId="0" borderId="0" xfId="18" applyFont="1"/>
    <xf numFmtId="0" fontId="6" fillId="0" borderId="0" xfId="18"/>
    <xf numFmtId="0" fontId="39" fillId="0" borderId="0" xfId="18" applyFont="1"/>
    <xf numFmtId="0" fontId="6" fillId="0" borderId="1" xfId="18" applyBorder="1" applyAlignment="1">
      <alignment horizontal="center" vertical="center"/>
    </xf>
    <xf numFmtId="0" fontId="6" fillId="0" borderId="1" xfId="18" applyBorder="1" applyAlignment="1">
      <alignment horizontal="center" vertical="center" wrapText="1"/>
    </xf>
    <xf numFmtId="0" fontId="6" fillId="0" borderId="1" xfId="18" applyBorder="1"/>
    <xf numFmtId="0" fontId="6" fillId="0" borderId="1" xfId="18" applyBorder="1" applyAlignment="1">
      <alignment horizontal="center"/>
    </xf>
    <xf numFmtId="0" fontId="38" fillId="0" borderId="1" xfId="18" applyFont="1" applyBorder="1" applyAlignment="1">
      <alignment horizontal="center" vertical="center" wrapText="1"/>
    </xf>
    <xf numFmtId="1" fontId="6" fillId="0" borderId="1" xfId="18" applyNumberFormat="1" applyBorder="1" applyAlignment="1">
      <alignment horizontal="center"/>
    </xf>
    <xf numFmtId="1" fontId="6" fillId="0" borderId="1" xfId="18" applyNumberFormat="1" applyBorder="1"/>
    <xf numFmtId="1" fontId="6" fillId="0" borderId="0" xfId="18" applyNumberFormat="1"/>
    <xf numFmtId="0" fontId="41" fillId="0" borderId="0" xfId="18" applyFont="1"/>
    <xf numFmtId="0" fontId="14" fillId="0" borderId="0" xfId="0" applyFont="1" applyAlignment="1">
      <alignment horizontal="center" vertical="center"/>
    </xf>
    <xf numFmtId="0" fontId="28" fillId="18" borderId="1" xfId="0" applyFont="1" applyFill="1" applyBorder="1" applyAlignment="1">
      <alignment horizontal="center"/>
    </xf>
    <xf numFmtId="0" fontId="18" fillId="18" borderId="1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10" borderId="10" xfId="0" applyFont="1" applyFill="1" applyBorder="1" applyAlignment="1">
      <alignment horizontal="center" vertical="top" wrapText="1"/>
    </xf>
    <xf numFmtId="0" fontId="18" fillId="7" borderId="10" xfId="0" applyFont="1" applyFill="1" applyBorder="1" applyAlignment="1">
      <alignment horizontal="center" vertical="top" wrapText="1"/>
    </xf>
    <xf numFmtId="0" fontId="17" fillId="7" borderId="10" xfId="0" applyFont="1" applyFill="1" applyBorder="1" applyAlignment="1">
      <alignment horizontal="center" vertical="top" wrapText="1"/>
    </xf>
    <xf numFmtId="1" fontId="43" fillId="0" borderId="1" xfId="0" applyNumberFormat="1" applyFont="1" applyBorder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5" fillId="0" borderId="0" xfId="18" applyFont="1"/>
    <xf numFmtId="0" fontId="42" fillId="21" borderId="10" xfId="0" applyFont="1" applyFill="1" applyBorder="1" applyAlignment="1">
      <alignment horizontal="center" vertical="top" wrapText="1"/>
    </xf>
    <xf numFmtId="0" fontId="30" fillId="0" borderId="1" xfId="0" applyFont="1" applyBorder="1"/>
    <xf numFmtId="166" fontId="10" fillId="0" borderId="1" xfId="0" applyNumberFormat="1" applyFont="1" applyBorder="1"/>
    <xf numFmtId="1" fontId="44" fillId="0" borderId="15" xfId="0" applyNumberFormat="1" applyFont="1" applyBorder="1" applyAlignment="1">
      <alignment vertical="center"/>
    </xf>
    <xf numFmtId="0" fontId="18" fillId="21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right"/>
    </xf>
    <xf numFmtId="0" fontId="18" fillId="10" borderId="1" xfId="0" applyFont="1" applyFill="1" applyBorder="1" applyAlignment="1">
      <alignment horizontal="center" vertical="top" wrapText="1"/>
    </xf>
    <xf numFmtId="0" fontId="18" fillId="7" borderId="1" xfId="0" applyFont="1" applyFill="1" applyBorder="1" applyAlignment="1">
      <alignment horizontal="center" vertical="top" wrapText="1"/>
    </xf>
    <xf numFmtId="0" fontId="17" fillId="7" borderId="1" xfId="0" applyFont="1" applyFill="1" applyBorder="1" applyAlignment="1">
      <alignment horizontal="center" vertical="top" wrapText="1"/>
    </xf>
    <xf numFmtId="0" fontId="11" fillId="21" borderId="1" xfId="0" applyFont="1" applyFill="1" applyBorder="1" applyAlignment="1">
      <alignment horizontal="center" vertical="top" wrapText="1"/>
    </xf>
    <xf numFmtId="0" fontId="18" fillId="5" borderId="1" xfId="0" applyFont="1" applyFill="1" applyBorder="1" applyAlignment="1">
      <alignment horizontal="center" vertical="top" wrapText="1"/>
    </xf>
    <xf numFmtId="0" fontId="17" fillId="5" borderId="1" xfId="0" applyFont="1" applyFill="1" applyBorder="1" applyAlignment="1">
      <alignment horizontal="center" vertical="top" wrapText="1"/>
    </xf>
    <xf numFmtId="0" fontId="46" fillId="0" borderId="1" xfId="1" applyFont="1" applyBorder="1" applyAlignment="1">
      <alignment wrapText="1"/>
    </xf>
    <xf numFmtId="0" fontId="46" fillId="5" borderId="1" xfId="1" applyFont="1" applyFill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 wrapText="1"/>
    </xf>
    <xf numFmtId="2" fontId="10" fillId="0" borderId="0" xfId="5" applyNumberFormat="1"/>
    <xf numFmtId="0" fontId="46" fillId="0" borderId="16" xfId="1" applyFont="1" applyBorder="1" applyAlignment="1">
      <alignment horizontal="center" vertical="center" wrapText="1"/>
    </xf>
    <xf numFmtId="166" fontId="27" fillId="0" borderId="1" xfId="5" applyNumberFormat="1" applyFont="1" applyBorder="1"/>
    <xf numFmtId="0" fontId="25" fillId="23" borderId="1" xfId="5" applyFont="1" applyFill="1" applyBorder="1"/>
    <xf numFmtId="49" fontId="10" fillId="0" borderId="1" xfId="4" applyNumberFormat="1" applyBorder="1" applyAlignment="1">
      <alignment horizontal="left"/>
    </xf>
    <xf numFmtId="0" fontId="10" fillId="7" borderId="1" xfId="5" applyFill="1" applyBorder="1"/>
    <xf numFmtId="0" fontId="23" fillId="0" borderId="1" xfId="5" applyFont="1" applyBorder="1"/>
    <xf numFmtId="0" fontId="10" fillId="24" borderId="1" xfId="5" applyFill="1" applyBorder="1"/>
    <xf numFmtId="0" fontId="45" fillId="0" borderId="1" xfId="5" applyFont="1" applyBorder="1"/>
    <xf numFmtId="166" fontId="45" fillId="0" borderId="1" xfId="5" applyNumberFormat="1" applyFont="1" applyBorder="1"/>
    <xf numFmtId="0" fontId="27" fillId="5" borderId="1" xfId="5" applyFont="1" applyFill="1" applyBorder="1"/>
    <xf numFmtId="2" fontId="10" fillId="5" borderId="0" xfId="5" applyNumberFormat="1" applyFill="1"/>
    <xf numFmtId="166" fontId="10" fillId="0" borderId="1" xfId="5" applyNumberFormat="1" applyBorder="1" applyAlignment="1">
      <alignment horizontal="right"/>
    </xf>
    <xf numFmtId="0" fontId="27" fillId="0" borderId="1" xfId="0" applyFont="1" applyBorder="1"/>
    <xf numFmtId="0" fontId="10" fillId="25" borderId="1" xfId="5" applyFill="1" applyBorder="1"/>
    <xf numFmtId="0" fontId="10" fillId="0" borderId="0" xfId="5"/>
    <xf numFmtId="0" fontId="10" fillId="6" borderId="1" xfId="0" applyFont="1" applyFill="1" applyBorder="1"/>
    <xf numFmtId="0" fontId="27" fillId="6" borderId="1" xfId="1" applyFont="1" applyFill="1" applyBorder="1"/>
    <xf numFmtId="0" fontId="0" fillId="11" borderId="1" xfId="0" applyFill="1" applyBorder="1"/>
    <xf numFmtId="0" fontId="27" fillId="6" borderId="1" xfId="0" applyFont="1" applyFill="1" applyBorder="1"/>
    <xf numFmtId="0" fontId="10" fillId="6" borderId="1" xfId="5" applyFill="1" applyBorder="1"/>
    <xf numFmtId="168" fontId="10" fillId="6" borderId="0" xfId="5" applyNumberFormat="1" applyFill="1"/>
    <xf numFmtId="0" fontId="10" fillId="6" borderId="1" xfId="5" applyFill="1" applyBorder="1" applyAlignment="1">
      <alignment vertical="center"/>
    </xf>
    <xf numFmtId="0" fontId="10" fillId="11" borderId="1" xfId="5" applyFill="1" applyBorder="1"/>
    <xf numFmtId="0" fontId="45" fillId="6" borderId="1" xfId="5" applyFont="1" applyFill="1" applyBorder="1"/>
    <xf numFmtId="2" fontId="10" fillId="6" borderId="0" xfId="5" applyNumberFormat="1" applyFill="1"/>
    <xf numFmtId="0" fontId="27" fillId="6" borderId="3" xfId="5" applyFont="1" applyFill="1" applyBorder="1"/>
    <xf numFmtId="0" fontId="27" fillId="6" borderId="1" xfId="5" applyFont="1" applyFill="1" applyBorder="1"/>
    <xf numFmtId="168" fontId="10" fillId="0" borderId="0" xfId="5" applyNumberFormat="1"/>
    <xf numFmtId="0" fontId="0" fillId="19" borderId="1" xfId="0" applyFill="1" applyBorder="1"/>
    <xf numFmtId="0" fontId="10" fillId="19" borderId="1" xfId="0" applyFont="1" applyFill="1" applyBorder="1" applyAlignment="1">
      <alignment vertical="center"/>
    </xf>
    <xf numFmtId="0" fontId="27" fillId="0" borderId="3" xfId="0" applyFont="1" applyBorder="1"/>
    <xf numFmtId="2" fontId="10" fillId="0" borderId="0" xfId="0" applyNumberFormat="1" applyFont="1"/>
    <xf numFmtId="0" fontId="25" fillId="4" borderId="1" xfId="0" applyFont="1" applyFill="1" applyBorder="1"/>
    <xf numFmtId="0" fontId="28" fillId="0" borderId="0" xfId="0" applyFont="1"/>
    <xf numFmtId="1" fontId="0" fillId="0" borderId="1" xfId="0" applyNumberFormat="1" applyBorder="1"/>
    <xf numFmtId="0" fontId="44" fillId="0" borderId="3" xfId="0" applyFont="1" applyBorder="1"/>
    <xf numFmtId="0" fontId="10" fillId="16" borderId="10" xfId="5" applyFill="1" applyBorder="1"/>
    <xf numFmtId="2" fontId="10" fillId="16" borderId="10" xfId="5" applyNumberFormat="1" applyFill="1" applyBorder="1"/>
    <xf numFmtId="0" fontId="17" fillId="16" borderId="1" xfId="5" applyFont="1" applyFill="1" applyBorder="1"/>
    <xf numFmtId="0" fontId="14" fillId="0" borderId="0" xfId="5" applyFont="1" applyAlignment="1">
      <alignment vertical="center"/>
    </xf>
    <xf numFmtId="0" fontId="29" fillId="0" borderId="0" xfId="5" applyFont="1" applyAlignment="1">
      <alignment vertical="center"/>
    </xf>
    <xf numFmtId="0" fontId="23" fillId="0" borderId="0" xfId="5" applyFont="1"/>
    <xf numFmtId="0" fontId="11" fillId="14" borderId="0" xfId="5" applyFont="1" applyFill="1"/>
    <xf numFmtId="0" fontId="18" fillId="14" borderId="0" xfId="5" applyFont="1" applyFill="1" applyAlignment="1">
      <alignment horizontal="center" vertical="center" wrapText="1"/>
    </xf>
    <xf numFmtId="0" fontId="10" fillId="14" borderId="0" xfId="5" applyFill="1"/>
    <xf numFmtId="0" fontId="17" fillId="0" borderId="7" xfId="5" applyFont="1" applyBorder="1" applyAlignment="1">
      <alignment horizontal="center" vertical="center" wrapText="1"/>
    </xf>
    <xf numFmtId="0" fontId="17" fillId="7" borderId="8" xfId="5" applyFont="1" applyFill="1" applyBorder="1" applyAlignment="1">
      <alignment horizontal="center" vertical="center" wrapText="1"/>
    </xf>
    <xf numFmtId="0" fontId="17" fillId="9" borderId="8" xfId="5" applyFont="1" applyFill="1" applyBorder="1" applyAlignment="1">
      <alignment horizontal="center" vertical="center" wrapText="1"/>
    </xf>
    <xf numFmtId="0" fontId="18" fillId="20" borderId="10" xfId="5" applyFont="1" applyFill="1" applyBorder="1" applyAlignment="1">
      <alignment horizontal="center" vertical="top" wrapText="1"/>
    </xf>
    <xf numFmtId="0" fontId="17" fillId="13" borderId="12" xfId="5" applyFont="1" applyFill="1" applyBorder="1" applyAlignment="1">
      <alignment horizontal="center" vertical="center" wrapText="1"/>
    </xf>
    <xf numFmtId="0" fontId="17" fillId="13" borderId="13" xfId="5" applyFont="1" applyFill="1" applyBorder="1" applyAlignment="1">
      <alignment horizontal="center" vertical="center" wrapText="1"/>
    </xf>
    <xf numFmtId="0" fontId="17" fillId="5" borderId="11" xfId="5" applyFont="1" applyFill="1" applyBorder="1" applyAlignment="1">
      <alignment horizontal="center" vertical="center" wrapText="1"/>
    </xf>
    <xf numFmtId="0" fontId="17" fillId="5" borderId="12" xfId="5" applyFont="1" applyFill="1" applyBorder="1" applyAlignment="1">
      <alignment horizontal="center" vertical="center" wrapText="1"/>
    </xf>
    <xf numFmtId="0" fontId="17" fillId="0" borderId="12" xfId="5" applyFont="1" applyBorder="1" applyAlignment="1">
      <alignment horizontal="center" vertical="center" wrapText="1"/>
    </xf>
    <xf numFmtId="0" fontId="17" fillId="0" borderId="0" xfId="5" applyFont="1"/>
    <xf numFmtId="0" fontId="10" fillId="15" borderId="9" xfId="5" applyFill="1" applyBorder="1"/>
    <xf numFmtId="0" fontId="17" fillId="15" borderId="1" xfId="5" applyFont="1" applyFill="1" applyBorder="1"/>
    <xf numFmtId="0" fontId="10" fillId="15" borderId="1" xfId="5" applyFill="1" applyBorder="1"/>
    <xf numFmtId="0" fontId="10" fillId="15" borderId="10" xfId="5" applyFill="1" applyBorder="1"/>
    <xf numFmtId="2" fontId="10" fillId="15" borderId="10" xfId="5" applyNumberFormat="1" applyFill="1" applyBorder="1"/>
    <xf numFmtId="0" fontId="10" fillId="13" borderId="10" xfId="5" applyFill="1" applyBorder="1"/>
    <xf numFmtId="2" fontId="10" fillId="13" borderId="10" xfId="5" applyNumberFormat="1" applyFill="1" applyBorder="1"/>
    <xf numFmtId="2" fontId="10" fillId="0" borderId="10" xfId="5" applyNumberFormat="1" applyBorder="1"/>
    <xf numFmtId="2" fontId="10" fillId="15" borderId="1" xfId="5" applyNumberFormat="1" applyFill="1" applyBorder="1"/>
    <xf numFmtId="2" fontId="10" fillId="15" borderId="1" xfId="5" applyNumberFormat="1" applyFill="1" applyBorder="1" applyAlignment="1">
      <alignment horizontal="right"/>
    </xf>
    <xf numFmtId="2" fontId="10" fillId="5" borderId="1" xfId="5" applyNumberFormat="1" applyFill="1" applyBorder="1"/>
    <xf numFmtId="166" fontId="10" fillId="15" borderId="1" xfId="5" applyNumberFormat="1" applyFill="1" applyBorder="1"/>
    <xf numFmtId="0" fontId="10" fillId="13" borderId="1" xfId="5" applyFill="1" applyBorder="1"/>
    <xf numFmtId="2" fontId="10" fillId="13" borderId="1" xfId="5" applyNumberFormat="1" applyFill="1" applyBorder="1"/>
    <xf numFmtId="2" fontId="10" fillId="0" borderId="1" xfId="5" applyNumberFormat="1" applyBorder="1"/>
    <xf numFmtId="0" fontId="10" fillId="16" borderId="9" xfId="5" applyFill="1" applyBorder="1"/>
    <xf numFmtId="0" fontId="10" fillId="5" borderId="10" xfId="5" applyFill="1" applyBorder="1"/>
    <xf numFmtId="1" fontId="10" fillId="15" borderId="1" xfId="5" applyNumberFormat="1" applyFill="1" applyBorder="1"/>
    <xf numFmtId="0" fontId="17" fillId="5" borderId="1" xfId="5" applyFont="1" applyFill="1" applyBorder="1"/>
    <xf numFmtId="2" fontId="10" fillId="5" borderId="10" xfId="5" applyNumberFormat="1" applyFill="1" applyBorder="1"/>
    <xf numFmtId="0" fontId="10" fillId="5" borderId="0" xfId="5" applyFill="1"/>
    <xf numFmtId="0" fontId="10" fillId="11" borderId="10" xfId="5" applyFill="1" applyBorder="1"/>
    <xf numFmtId="2" fontId="10" fillId="11" borderId="10" xfId="5" applyNumberFormat="1" applyFill="1" applyBorder="1"/>
    <xf numFmtId="0" fontId="25" fillId="4" borderId="0" xfId="5" applyFont="1" applyFill="1"/>
    <xf numFmtId="0" fontId="30" fillId="0" borderId="0" xfId="19" applyFont="1"/>
    <xf numFmtId="166" fontId="25" fillId="4" borderId="0" xfId="0" applyNumberFormat="1" applyFont="1" applyFill="1" applyAlignment="1">
      <alignment horizontal="center"/>
    </xf>
    <xf numFmtId="166" fontId="0" fillId="0" borderId="0" xfId="0" applyNumberFormat="1"/>
    <xf numFmtId="166" fontId="25" fillId="4" borderId="1" xfId="0" applyNumberFormat="1" applyFont="1" applyFill="1" applyBorder="1"/>
    <xf numFmtId="0" fontId="12" fillId="7" borderId="1" xfId="2" applyFont="1" applyFill="1" applyBorder="1" applyAlignment="1">
      <alignment horizontal="center"/>
    </xf>
    <xf numFmtId="3" fontId="18" fillId="7" borderId="1" xfId="20" applyNumberFormat="1" applyFont="1" applyFill="1" applyBorder="1" applyAlignment="1">
      <alignment horizontal="center"/>
    </xf>
    <xf numFmtId="3" fontId="10" fillId="7" borderId="1" xfId="20" applyNumberFormat="1" applyFill="1" applyBorder="1" applyAlignment="1">
      <alignment horizontal="right"/>
    </xf>
    <xf numFmtId="3" fontId="18" fillId="0" borderId="1" xfId="20" applyNumberFormat="1" applyFont="1" applyBorder="1" applyAlignment="1">
      <alignment horizontal="center"/>
    </xf>
    <xf numFmtId="0" fontId="19" fillId="0" borderId="1" xfId="2" applyFont="1" applyBorder="1" applyAlignment="1">
      <alignment horizontal="center"/>
    </xf>
    <xf numFmtId="168" fontId="17" fillId="7" borderId="1" xfId="21" applyNumberFormat="1" applyFont="1" applyFill="1" applyBorder="1" applyAlignment="1">
      <alignment horizontal="center"/>
    </xf>
    <xf numFmtId="1" fontId="17" fillId="17" borderId="1" xfId="21" applyNumberFormat="1" applyFont="1" applyFill="1" applyBorder="1" applyAlignment="1">
      <alignment horizontal="center"/>
    </xf>
    <xf numFmtId="0" fontId="10" fillId="0" borderId="0" xfId="13"/>
    <xf numFmtId="0" fontId="14" fillId="0" borderId="0" xfId="13" applyFont="1" applyAlignment="1">
      <alignment vertical="center"/>
    </xf>
    <xf numFmtId="0" fontId="29" fillId="0" borderId="0" xfId="13" applyFont="1" applyAlignment="1">
      <alignment vertical="center"/>
    </xf>
    <xf numFmtId="0" fontId="23" fillId="0" borderId="0" xfId="13" applyFont="1"/>
    <xf numFmtId="0" fontId="11" fillId="14" borderId="0" xfId="13" applyFont="1" applyFill="1"/>
    <xf numFmtId="0" fontId="18" fillId="14" borderId="0" xfId="13" applyFont="1" applyFill="1" applyAlignment="1">
      <alignment horizontal="center" vertical="center" wrapText="1"/>
    </xf>
    <xf numFmtId="0" fontId="10" fillId="14" borderId="0" xfId="13" applyFill="1"/>
    <xf numFmtId="0" fontId="23" fillId="14" borderId="0" xfId="13" applyFont="1" applyFill="1"/>
    <xf numFmtId="0" fontId="17" fillId="0" borderId="7" xfId="13" applyFont="1" applyBorder="1" applyAlignment="1">
      <alignment horizontal="center" vertical="center" wrapText="1"/>
    </xf>
    <xf numFmtId="0" fontId="17" fillId="7" borderId="8" xfId="13" applyFont="1" applyFill="1" applyBorder="1" applyAlignment="1">
      <alignment horizontal="center" vertical="center" wrapText="1"/>
    </xf>
    <xf numFmtId="0" fontId="17" fillId="9" borderId="8" xfId="13" applyFont="1" applyFill="1" applyBorder="1" applyAlignment="1">
      <alignment horizontal="center" vertical="center" wrapText="1"/>
    </xf>
    <xf numFmtId="0" fontId="18" fillId="20" borderId="10" xfId="13" applyFont="1" applyFill="1" applyBorder="1" applyAlignment="1">
      <alignment horizontal="center" vertical="top" wrapText="1"/>
    </xf>
    <xf numFmtId="0" fontId="17" fillId="13" borderId="12" xfId="13" applyFont="1" applyFill="1" applyBorder="1" applyAlignment="1">
      <alignment horizontal="center" vertical="center" wrapText="1"/>
    </xf>
    <xf numFmtId="0" fontId="17" fillId="13" borderId="13" xfId="13" applyFont="1" applyFill="1" applyBorder="1" applyAlignment="1">
      <alignment horizontal="center" vertical="center" wrapText="1"/>
    </xf>
    <xf numFmtId="0" fontId="17" fillId="13" borderId="11" xfId="13" applyFont="1" applyFill="1" applyBorder="1" applyAlignment="1">
      <alignment horizontal="center" vertical="center" wrapText="1"/>
    </xf>
    <xf numFmtId="0" fontId="17" fillId="5" borderId="11" xfId="13" applyFont="1" applyFill="1" applyBorder="1" applyAlignment="1">
      <alignment horizontal="center" vertical="center" wrapText="1"/>
    </xf>
    <xf numFmtId="0" fontId="17" fillId="5" borderId="12" xfId="13" applyFont="1" applyFill="1" applyBorder="1" applyAlignment="1">
      <alignment horizontal="center" vertical="center" wrapText="1"/>
    </xf>
    <xf numFmtId="0" fontId="17" fillId="0" borderId="12" xfId="13" applyFont="1" applyBorder="1" applyAlignment="1">
      <alignment horizontal="center" vertical="center" wrapText="1"/>
    </xf>
    <xf numFmtId="0" fontId="17" fillId="0" borderId="0" xfId="13" applyFont="1"/>
    <xf numFmtId="0" fontId="10" fillId="15" borderId="9" xfId="13" applyFill="1" applyBorder="1"/>
    <xf numFmtId="0" fontId="17" fillId="15" borderId="1" xfId="13" applyFont="1" applyFill="1" applyBorder="1"/>
    <xf numFmtId="0" fontId="10" fillId="15" borderId="1" xfId="13" applyFill="1" applyBorder="1"/>
    <xf numFmtId="0" fontId="10" fillId="15" borderId="10" xfId="13" applyFill="1" applyBorder="1"/>
    <xf numFmtId="2" fontId="10" fillId="15" borderId="10" xfId="13" applyNumberFormat="1" applyFill="1" applyBorder="1"/>
    <xf numFmtId="0" fontId="10" fillId="13" borderId="10" xfId="13" applyFill="1" applyBorder="1"/>
    <xf numFmtId="2" fontId="10" fillId="13" borderId="10" xfId="13" applyNumberFormat="1" applyFill="1" applyBorder="1"/>
    <xf numFmtId="2" fontId="10" fillId="0" borderId="10" xfId="13" applyNumberFormat="1" applyBorder="1"/>
    <xf numFmtId="2" fontId="10" fillId="15" borderId="1" xfId="13" applyNumberFormat="1" applyFill="1" applyBorder="1"/>
    <xf numFmtId="2" fontId="10" fillId="15" borderId="1" xfId="13" applyNumberFormat="1" applyFill="1" applyBorder="1" applyAlignment="1">
      <alignment horizontal="right"/>
    </xf>
    <xf numFmtId="0" fontId="10" fillId="5" borderId="1" xfId="13" applyFill="1" applyBorder="1"/>
    <xf numFmtId="2" fontId="10" fillId="5" borderId="1" xfId="13" applyNumberFormat="1" applyFill="1" applyBorder="1"/>
    <xf numFmtId="166" fontId="10" fillId="15" borderId="1" xfId="13" applyNumberFormat="1" applyFill="1" applyBorder="1"/>
    <xf numFmtId="0" fontId="10" fillId="13" borderId="1" xfId="13" applyFill="1" applyBorder="1"/>
    <xf numFmtId="2" fontId="10" fillId="13" borderId="1" xfId="13" applyNumberFormat="1" applyFill="1" applyBorder="1"/>
    <xf numFmtId="0" fontId="10" fillId="5" borderId="10" xfId="13" applyFill="1" applyBorder="1"/>
    <xf numFmtId="0" fontId="10" fillId="10" borderId="1" xfId="13" applyFill="1" applyBorder="1"/>
    <xf numFmtId="1" fontId="10" fillId="15" borderId="1" xfId="13" applyNumberFormat="1" applyFill="1" applyBorder="1"/>
    <xf numFmtId="0" fontId="17" fillId="5" borderId="1" xfId="13" applyFont="1" applyFill="1" applyBorder="1"/>
    <xf numFmtId="2" fontId="10" fillId="5" borderId="10" xfId="13" applyNumberFormat="1" applyFill="1" applyBorder="1"/>
    <xf numFmtId="0" fontId="10" fillId="5" borderId="0" xfId="13" applyFill="1"/>
    <xf numFmtId="0" fontId="10" fillId="11" borderId="10" xfId="13" applyFill="1" applyBorder="1"/>
    <xf numFmtId="2" fontId="10" fillId="11" borderId="10" xfId="13" applyNumberFormat="1" applyFill="1" applyBorder="1"/>
    <xf numFmtId="0" fontId="25" fillId="4" borderId="0" xfId="13" applyFont="1" applyFill="1"/>
    <xf numFmtId="0" fontId="10" fillId="15" borderId="1" xfId="13" applyFill="1" applyBorder="1" applyAlignment="1">
      <alignment horizontal="right"/>
    </xf>
    <xf numFmtId="0" fontId="10" fillId="16" borderId="10" xfId="13" applyFill="1" applyBorder="1"/>
    <xf numFmtId="2" fontId="10" fillId="16" borderId="10" xfId="13" applyNumberFormat="1" applyFill="1" applyBorder="1"/>
    <xf numFmtId="14" fontId="63" fillId="22" borderId="5" xfId="0" applyNumberFormat="1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69" fontId="47" fillId="3" borderId="1" xfId="0" applyNumberFormat="1" applyFont="1" applyFill="1" applyBorder="1" applyAlignment="1">
      <alignment horizontal="center" vertical="center" wrapText="1"/>
    </xf>
    <xf numFmtId="2" fontId="31" fillId="4" borderId="1" xfId="0" applyNumberFormat="1" applyFont="1" applyFill="1" applyBorder="1"/>
    <xf numFmtId="2" fontId="0" fillId="7" borderId="1" xfId="0" applyNumberFormat="1" applyFill="1" applyBorder="1"/>
    <xf numFmtId="169" fontId="10" fillId="0" borderId="1" xfId="0" applyNumberFormat="1" applyFont="1" applyBorder="1" applyAlignment="1">
      <alignment horizontal="right"/>
    </xf>
    <xf numFmtId="0" fontId="17" fillId="0" borderId="0" xfId="0" applyFont="1" applyAlignment="1">
      <alignment horizontal="center"/>
    </xf>
    <xf numFmtId="169" fontId="0" fillId="0" borderId="0" xfId="0" applyNumberFormat="1"/>
    <xf numFmtId="0" fontId="19" fillId="0" borderId="0" xfId="0" applyFont="1"/>
    <xf numFmtId="3" fontId="1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19" fillId="0" borderId="0" xfId="0" applyNumberFormat="1" applyFont="1"/>
    <xf numFmtId="0" fontId="19" fillId="49" borderId="0" xfId="5" applyFont="1" applyFill="1"/>
    <xf numFmtId="0" fontId="19" fillId="50" borderId="0" xfId="5" applyFont="1" applyFill="1"/>
    <xf numFmtId="0" fontId="19" fillId="2" borderId="0" xfId="5" applyFont="1" applyFill="1"/>
    <xf numFmtId="0" fontId="19" fillId="48" borderId="0" xfId="5" applyFont="1" applyFill="1"/>
    <xf numFmtId="0" fontId="10" fillId="51" borderId="0" xfId="5" applyFill="1"/>
    <xf numFmtId="0" fontId="11" fillId="5" borderId="0" xfId="5" applyFont="1" applyFill="1"/>
    <xf numFmtId="0" fontId="11" fillId="0" borderId="0" xfId="5" applyFont="1"/>
    <xf numFmtId="0" fontId="28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/>
    </xf>
    <xf numFmtId="0" fontId="12" fillId="17" borderId="1" xfId="2" applyFont="1" applyFill="1" applyBorder="1" applyAlignment="1">
      <alignment horizontal="center"/>
    </xf>
    <xf numFmtId="2" fontId="31" fillId="17" borderId="1" xfId="0" applyNumberFormat="1" applyFont="1" applyFill="1" applyBorder="1"/>
    <xf numFmtId="0" fontId="19" fillId="17" borderId="0" xfId="5" applyFont="1" applyFill="1"/>
    <xf numFmtId="2" fontId="0" fillId="17" borderId="0" xfId="0" applyNumberFormat="1" applyFill="1" applyAlignment="1">
      <alignment horizontal="center"/>
    </xf>
    <xf numFmtId="0" fontId="0" fillId="17" borderId="0" xfId="0" applyFill="1"/>
    <xf numFmtId="0" fontId="0" fillId="5" borderId="0" xfId="0" applyFill="1"/>
    <xf numFmtId="1" fontId="0" fillId="22" borderId="0" xfId="0" applyNumberFormat="1" applyFill="1"/>
    <xf numFmtId="0" fontId="17" fillId="17" borderId="1" xfId="5" applyFont="1" applyFill="1" applyBorder="1"/>
    <xf numFmtId="0" fontId="10" fillId="17" borderId="1" xfId="5" applyFill="1" applyBorder="1"/>
    <xf numFmtId="0" fontId="10" fillId="17" borderId="10" xfId="5" applyFill="1" applyBorder="1"/>
    <xf numFmtId="2" fontId="10" fillId="17" borderId="10" xfId="5" applyNumberFormat="1" applyFill="1" applyBorder="1"/>
    <xf numFmtId="0" fontId="17" fillId="52" borderId="1" xfId="5" applyFont="1" applyFill="1" applyBorder="1"/>
    <xf numFmtId="0" fontId="10" fillId="52" borderId="1" xfId="5" applyFill="1" applyBorder="1"/>
    <xf numFmtId="2" fontId="10" fillId="52" borderId="10" xfId="5" applyNumberFormat="1" applyFill="1" applyBorder="1"/>
    <xf numFmtId="0" fontId="10" fillId="52" borderId="1" xfId="13" applyFill="1" applyBorder="1"/>
    <xf numFmtId="2" fontId="10" fillId="52" borderId="1" xfId="13" applyNumberFormat="1" applyFill="1" applyBorder="1"/>
    <xf numFmtId="2" fontId="10" fillId="16" borderId="1" xfId="5" applyNumberFormat="1" applyFill="1" applyBorder="1" applyAlignment="1">
      <alignment horizontal="right"/>
    </xf>
    <xf numFmtId="0" fontId="17" fillId="10" borderId="1" xfId="5" applyFont="1" applyFill="1" applyBorder="1"/>
    <xf numFmtId="2" fontId="10" fillId="10" borderId="1" xfId="5" applyNumberFormat="1" applyFill="1" applyBorder="1" applyAlignment="1">
      <alignment horizontal="right"/>
    </xf>
    <xf numFmtId="2" fontId="10" fillId="10" borderId="1" xfId="13" applyNumberFormat="1" applyFill="1" applyBorder="1"/>
    <xf numFmtId="0" fontId="17" fillId="53" borderId="1" xfId="5" applyFont="1" applyFill="1" applyBorder="1"/>
    <xf numFmtId="0" fontId="10" fillId="53" borderId="1" xfId="5" applyFill="1" applyBorder="1"/>
    <xf numFmtId="2" fontId="10" fillId="53" borderId="10" xfId="5" applyNumberFormat="1" applyFill="1" applyBorder="1"/>
    <xf numFmtId="0" fontId="10" fillId="53" borderId="10" xfId="5" applyFill="1" applyBorder="1"/>
    <xf numFmtId="0" fontId="10" fillId="10" borderId="10" xfId="5" applyFill="1" applyBorder="1"/>
    <xf numFmtId="2" fontId="10" fillId="10" borderId="10" xfId="5" applyNumberFormat="1" applyFill="1" applyBorder="1"/>
    <xf numFmtId="2" fontId="10" fillId="17" borderId="1" xfId="5" applyNumberFormat="1" applyFill="1" applyBorder="1"/>
    <xf numFmtId="0" fontId="10" fillId="54" borderId="9" xfId="5" applyFill="1" applyBorder="1"/>
    <xf numFmtId="0" fontId="17" fillId="54" borderId="1" xfId="5" applyFont="1" applyFill="1" applyBorder="1"/>
    <xf numFmtId="0" fontId="17" fillId="9" borderId="1" xfId="5" applyFont="1" applyFill="1" applyBorder="1"/>
    <xf numFmtId="0" fontId="10" fillId="9" borderId="1" xfId="5" applyFill="1" applyBorder="1"/>
    <xf numFmtId="2" fontId="10" fillId="9" borderId="1" xfId="5" applyNumberFormat="1" applyFill="1" applyBorder="1"/>
    <xf numFmtId="1" fontId="11" fillId="55" borderId="1" xfId="0" applyNumberFormat="1" applyFont="1" applyFill="1" applyBorder="1"/>
    <xf numFmtId="0" fontId="0" fillId="55" borderId="1" xfId="0" applyFill="1" applyBorder="1"/>
    <xf numFmtId="1" fontId="11" fillId="56" borderId="1" xfId="0" applyNumberFormat="1" applyFont="1" applyFill="1" applyBorder="1"/>
    <xf numFmtId="1" fontId="11" fillId="56" borderId="1" xfId="0" applyNumberFormat="1" applyFont="1" applyFill="1" applyBorder="1" applyAlignment="1">
      <alignment horizontal="right"/>
    </xf>
    <xf numFmtId="1" fontId="0" fillId="56" borderId="1" xfId="0" applyNumberFormat="1" applyFill="1" applyBorder="1" applyAlignment="1">
      <alignment horizontal="right"/>
    </xf>
    <xf numFmtId="0" fontId="12" fillId="57" borderId="1" xfId="2" applyFont="1" applyFill="1" applyBorder="1" applyAlignment="1">
      <alignment horizontal="center"/>
    </xf>
    <xf numFmtId="2" fontId="31" fillId="57" borderId="1" xfId="0" applyNumberFormat="1" applyFont="1" applyFill="1" applyBorder="1"/>
    <xf numFmtId="0" fontId="19" fillId="57" borderId="0" xfId="5" applyFont="1" applyFill="1"/>
    <xf numFmtId="2" fontId="0" fillId="57" borderId="0" xfId="0" applyNumberFormat="1" applyFill="1" applyAlignment="1">
      <alignment horizontal="center"/>
    </xf>
    <xf numFmtId="2" fontId="17" fillId="58" borderId="1" xfId="21" applyNumberFormat="1" applyFont="1" applyFill="1" applyBorder="1" applyAlignment="1">
      <alignment horizontal="center"/>
    </xf>
    <xf numFmtId="1" fontId="17" fillId="58" borderId="1" xfId="21" applyNumberFormat="1" applyFont="1" applyFill="1" applyBorder="1" applyAlignment="1">
      <alignment horizontal="center"/>
    </xf>
    <xf numFmtId="4" fontId="18" fillId="59" borderId="1" xfId="20" applyNumberFormat="1" applyFont="1" applyFill="1" applyBorder="1" applyAlignment="1">
      <alignment horizontal="center"/>
    </xf>
    <xf numFmtId="3" fontId="18" fillId="60" borderId="1" xfId="20" applyNumberFormat="1" applyFont="1" applyFill="1" applyBorder="1" applyAlignment="1">
      <alignment horizontal="center"/>
    </xf>
    <xf numFmtId="173" fontId="18" fillId="59" borderId="1" xfId="20" applyNumberFormat="1" applyFont="1" applyFill="1" applyBorder="1" applyAlignment="1">
      <alignment horizontal="center"/>
    </xf>
    <xf numFmtId="166" fontId="10" fillId="10" borderId="1" xfId="0" applyNumberFormat="1" applyFont="1" applyFill="1" applyBorder="1" applyAlignment="1">
      <alignment horizontal="right"/>
    </xf>
    <xf numFmtId="1" fontId="10" fillId="11" borderId="1" xfId="0" applyNumberFormat="1" applyFont="1" applyFill="1" applyBorder="1"/>
    <xf numFmtId="0" fontId="30" fillId="0" borderId="1" xfId="0" applyFont="1" applyBorder="1" applyAlignment="1">
      <alignment horizontal="center"/>
    </xf>
    <xf numFmtId="0" fontId="30" fillId="18" borderId="1" xfId="0" applyFont="1" applyFill="1" applyBorder="1"/>
    <xf numFmtId="0" fontId="30" fillId="18" borderId="1" xfId="0" applyFont="1" applyFill="1" applyBorder="1" applyAlignment="1">
      <alignment horizontal="center"/>
    </xf>
    <xf numFmtId="0" fontId="10" fillId="17" borderId="1" xfId="13" applyFill="1" applyBorder="1"/>
    <xf numFmtId="2" fontId="10" fillId="17" borderId="1" xfId="13" applyNumberFormat="1" applyFill="1" applyBorder="1"/>
    <xf numFmtId="0" fontId="10" fillId="52" borderId="10" xfId="5" applyFill="1" applyBorder="1"/>
    <xf numFmtId="0" fontId="10" fillId="9" borderId="1" xfId="13" applyFill="1" applyBorder="1"/>
    <xf numFmtId="2" fontId="10" fillId="9" borderId="1" xfId="13" applyNumberFormat="1" applyFill="1" applyBorder="1"/>
    <xf numFmtId="2" fontId="10" fillId="10" borderId="1" xfId="5" applyNumberFormat="1" applyFill="1" applyBorder="1"/>
    <xf numFmtId="0" fontId="30" fillId="5" borderId="0" xfId="5" applyFont="1" applyFill="1" applyAlignment="1">
      <alignment horizontal="left"/>
    </xf>
    <xf numFmtId="0" fontId="8" fillId="0" borderId="1" xfId="6" applyBorder="1" applyAlignment="1">
      <alignment horizontal="center"/>
    </xf>
    <xf numFmtId="0" fontId="6" fillId="0" borderId="1" xfId="18" applyBorder="1" applyAlignment="1">
      <alignment horizontal="center"/>
    </xf>
    <xf numFmtId="0" fontId="6" fillId="0" borderId="1" xfId="18" applyBorder="1" applyAlignment="1">
      <alignment horizontal="center" vertical="center" wrapText="1"/>
    </xf>
    <xf numFmtId="0" fontId="6" fillId="0" borderId="1" xfId="18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12" fillId="7" borderId="3" xfId="2" applyFont="1" applyFill="1" applyBorder="1" applyAlignment="1">
      <alignment horizontal="center" wrapText="1"/>
    </xf>
    <xf numFmtId="0" fontId="12" fillId="7" borderId="26" xfId="2" applyFont="1" applyFill="1" applyBorder="1" applyAlignment="1">
      <alignment horizontal="center" wrapText="1"/>
    </xf>
  </cellXfs>
  <cellStyles count="10383">
    <cellStyle name="20% - Énfasis1 2" xfId="106" xr:uid="{765B48EE-1076-4E0E-985F-76CC705E8CC3}"/>
    <cellStyle name="20% - Énfasis2 2" xfId="107" xr:uid="{CB983207-0E87-44BC-BD2B-0AAB2BD66165}"/>
    <cellStyle name="20% - Énfasis3 2" xfId="108" xr:uid="{243CB151-5899-4920-A39A-FE1A41504B2D}"/>
    <cellStyle name="20% - Énfasis4 2" xfId="109" xr:uid="{8C81584C-455A-44A0-916C-EE3B5C84E4AF}"/>
    <cellStyle name="20% - Énfasis5 2" xfId="110" xr:uid="{C5B5E7E0-284C-4417-AA5E-4B0011B20C5D}"/>
    <cellStyle name="20% - Énfasis6 2" xfId="111" xr:uid="{D49F7D19-6BDC-4321-8F8E-FF08D9B973A8}"/>
    <cellStyle name="40% - Énfasis1 2" xfId="112" xr:uid="{7B452305-9152-407C-A1E1-85F9CA14E073}"/>
    <cellStyle name="40% - Énfasis2 2" xfId="113" xr:uid="{94092AA3-7E27-4BC5-BBE3-739DDA6713A0}"/>
    <cellStyle name="40% - Énfasis3 2" xfId="114" xr:uid="{8E3B2A3E-A605-4FC5-A7B6-76F001402EC0}"/>
    <cellStyle name="40% - Énfasis4 2" xfId="115" xr:uid="{7FD80AC0-0DDB-4001-80E4-FCD3B9C586D4}"/>
    <cellStyle name="40% - Énfasis5 2" xfId="116" xr:uid="{DC2A8D04-528D-4F97-9B38-85357F335CD3}"/>
    <cellStyle name="40% - Énfasis6 2" xfId="117" xr:uid="{9EF454FA-F0A9-4D0C-9D78-A6704EF6A979}"/>
    <cellStyle name="60% - Énfasis1 2" xfId="118" xr:uid="{A974D0FA-8D01-4EE6-8A25-790C05B56298}"/>
    <cellStyle name="60% - Énfasis2 2" xfId="119" xr:uid="{F3BF31E3-BEFA-4F5E-A45E-41B54753DDEB}"/>
    <cellStyle name="60% - Énfasis3 2" xfId="120" xr:uid="{95E69AB5-08F7-4517-9414-6912C07271D2}"/>
    <cellStyle name="60% - Énfasis4 2" xfId="121" xr:uid="{0C03C88B-3AA0-4946-ACA1-E3FC3FAF420C}"/>
    <cellStyle name="60% - Énfasis5 2" xfId="122" xr:uid="{E2800E30-B3BA-40B0-845A-451F8B688C7A}"/>
    <cellStyle name="60% - Énfasis6 2" xfId="123" xr:uid="{6B18BF3F-92A1-4B1A-AD58-D11D8ED87C5D}"/>
    <cellStyle name="Buena 2" xfId="124" xr:uid="{C66EF1D1-F9A3-45CD-BCFC-AD1EA912B3FC}"/>
    <cellStyle name="Cálculo 2" xfId="125" xr:uid="{E1E3D43D-C3D6-4081-A8E1-143336F88B3F}"/>
    <cellStyle name="Celda de comprobación 2" xfId="126" xr:uid="{FA85E406-4BA5-4F08-A9D9-DC5BD371CD1B}"/>
    <cellStyle name="Celda vinculada 2" xfId="127" xr:uid="{31EFF2DE-CC31-45F7-AF8F-59A4CE278F3E}"/>
    <cellStyle name="Encabezado 4 2" xfId="128" xr:uid="{B60ACEC5-6407-40C6-9D3F-F187E7611EBA}"/>
    <cellStyle name="Énfasis1 2" xfId="129" xr:uid="{4F6F8DE4-57BD-4E00-98A2-AAE1A8657742}"/>
    <cellStyle name="Énfasis2 2" xfId="130" xr:uid="{406A84E0-6240-46D1-A39D-964E123C08BC}"/>
    <cellStyle name="Énfasis3 2" xfId="131" xr:uid="{9BC5F461-134A-4842-BD4D-36F322A38BC9}"/>
    <cellStyle name="Énfasis4 2" xfId="132" xr:uid="{BB7877A8-A243-4AB7-8FD7-6C346F060402}"/>
    <cellStyle name="Énfasis5 2" xfId="133" xr:uid="{5A58E1D1-A370-4B69-B497-39584D2ECA74}"/>
    <cellStyle name="Énfasis6 2" xfId="134" xr:uid="{532F6D78-AF01-4676-8D73-3A78B80DFA1B}"/>
    <cellStyle name="Entrada 2" xfId="135" xr:uid="{D5161603-ABEE-4C42-969E-C241C8859DEB}"/>
    <cellStyle name="Euro" xfId="23" xr:uid="{F66E1C56-4FA3-4D97-B475-97A8DEA0E59B}"/>
    <cellStyle name="Euro 2" xfId="57" xr:uid="{596FAFDC-5FF5-4C1B-8328-A4FDD99D5ABD}"/>
    <cellStyle name="Euro 3" xfId="136" xr:uid="{FC80E3C7-D6AC-472F-BCCD-7B5622652E59}"/>
    <cellStyle name="Euro 4" xfId="137" xr:uid="{51CD5FB1-FD44-47A2-AC11-85192ADDBABD}"/>
    <cellStyle name="Hipervínculo 2" xfId="1603" xr:uid="{62165EB7-35E8-4E9B-83F7-10EF0951BF9A}"/>
    <cellStyle name="Incorrecto 2" xfId="138" xr:uid="{6FA52178-7951-4D8C-9DC6-6989C276FF15}"/>
    <cellStyle name="Millares 10" xfId="139" xr:uid="{AB4361C5-FE58-44B2-9F37-59511B5FCF15}"/>
    <cellStyle name="Millares 10 2" xfId="140" xr:uid="{991C855B-2583-4B43-A3EA-CEB8F0FF2B80}"/>
    <cellStyle name="Millares 10 2 2" xfId="761" xr:uid="{375D4525-B4DC-43B7-AFFE-25776328EAC6}"/>
    <cellStyle name="Millares 10 2 2 2" xfId="2012" xr:uid="{2BC56FEB-1035-46BB-BF73-998EC5564335}"/>
    <cellStyle name="Millares 10 2 2 2 2" xfId="4510" xr:uid="{C270ECA7-D38C-4B13-BA09-4752F4E8E143}"/>
    <cellStyle name="Millares 10 2 2 2 2 2" xfId="9506" xr:uid="{4315C105-FB82-4E86-B648-B992DA7B3BE0}"/>
    <cellStyle name="Millares 10 2 2 2 3" xfId="7008" xr:uid="{0BAE8D5C-B3D0-4E2F-8FCB-CBED8B5611F2}"/>
    <cellStyle name="Millares 10 2 2 3" xfId="3261" xr:uid="{2B8C95D5-EDBD-4ADD-9EDF-296BD6B4FE89}"/>
    <cellStyle name="Millares 10 2 2 3 2" xfId="8257" xr:uid="{1B6C547A-DFA0-423A-813E-67634CCB99F3}"/>
    <cellStyle name="Millares 10 2 2 4" xfId="5759" xr:uid="{108D333C-EAE2-4270-9983-E988C1D91FC0}"/>
    <cellStyle name="Millares 10 2 3" xfId="1074" xr:uid="{4F52F585-1C34-4490-B5A2-91421061D522}"/>
    <cellStyle name="Millares 10 2 3 2" xfId="2324" xr:uid="{4C23906B-2A72-4AB8-B666-853E18E17736}"/>
    <cellStyle name="Millares 10 2 3 2 2" xfId="4822" xr:uid="{BDEFE65A-A95A-418D-B3AD-27E22170950D}"/>
    <cellStyle name="Millares 10 2 3 2 2 2" xfId="9818" xr:uid="{699AD10B-98DE-4BB7-9D17-627FBE0FFE5A}"/>
    <cellStyle name="Millares 10 2 3 2 3" xfId="7320" xr:uid="{EEB7DC40-7F13-4734-B136-E82A8C202BCE}"/>
    <cellStyle name="Millares 10 2 3 3" xfId="3573" xr:uid="{8DA0231D-DDC4-409A-A106-98F693BDA5C6}"/>
    <cellStyle name="Millares 10 2 3 3 2" xfId="8569" xr:uid="{1F4800B5-F55A-4ABB-9B19-B222843C00AB}"/>
    <cellStyle name="Millares 10 2 3 4" xfId="6071" xr:uid="{C1439C5B-E255-456A-BEA2-97F8CFDC9B13}"/>
    <cellStyle name="Millares 10 2 4" xfId="1451" xr:uid="{828650F7-E553-4B83-97ED-5F7FFA92F9AC}"/>
    <cellStyle name="Millares 10 2 4 2" xfId="2701" xr:uid="{8077673C-8F58-4EEA-8E6E-7B158C91354D}"/>
    <cellStyle name="Millares 10 2 4 2 2" xfId="5199" xr:uid="{7C044C4C-C998-4767-97D5-C44F20E6253B}"/>
    <cellStyle name="Millares 10 2 4 2 2 2" xfId="10195" xr:uid="{4B88229E-87F4-4E31-9AF7-2A770D40D1E1}"/>
    <cellStyle name="Millares 10 2 4 2 3" xfId="7697" xr:uid="{3037B63E-F885-4FAD-8D81-842E6CC79899}"/>
    <cellStyle name="Millares 10 2 4 3" xfId="3950" xr:uid="{F3412B7F-C6F1-48CF-8D25-B50A29D4043F}"/>
    <cellStyle name="Millares 10 2 4 3 2" xfId="8946" xr:uid="{59A263DC-6400-4295-B147-8E04FCB07535}"/>
    <cellStyle name="Millares 10 2 4 4" xfId="6448" xr:uid="{7F5457EF-A1BC-405A-B370-E233B0AB2AA1}"/>
    <cellStyle name="Millares 10 2 5" xfId="1782" xr:uid="{3273757F-D255-483B-8FE6-23A98FF3D86E}"/>
    <cellStyle name="Millares 10 2 5 2" xfId="4280" xr:uid="{3050D6C7-C207-4DD6-9638-B965D489DED9}"/>
    <cellStyle name="Millares 10 2 5 2 2" xfId="9276" xr:uid="{ECDE4176-256F-4F03-A17C-04B697822CF9}"/>
    <cellStyle name="Millares 10 2 5 3" xfId="6778" xr:uid="{00AA3506-A6BD-420D-B5C2-D4BE2F35E7A3}"/>
    <cellStyle name="Millares 10 2 6" xfId="3031" xr:uid="{3A1CF4F0-7E91-4489-9569-8F4678C73A13}"/>
    <cellStyle name="Millares 10 2 6 2" xfId="8027" xr:uid="{7AD230E7-78E0-4C66-B288-63636443D351}"/>
    <cellStyle name="Millares 10 2 7" xfId="5529" xr:uid="{269A2776-6D0D-4559-8FAC-5DC6D2E6BBCB}"/>
    <cellStyle name="Millares 10 2 8" xfId="531" xr:uid="{7E20986A-F91E-4172-AB97-79DB38516119}"/>
    <cellStyle name="Millares 10 3" xfId="760" xr:uid="{7F03332C-4A5E-47EC-B1E6-A576A4333265}"/>
    <cellStyle name="Millares 10 3 2" xfId="2011" xr:uid="{40217C8C-CBA2-4230-9A1E-8BB6DCB77487}"/>
    <cellStyle name="Millares 10 3 2 2" xfId="4509" xr:uid="{18366D63-B515-4322-8E31-645262924DDC}"/>
    <cellStyle name="Millares 10 3 2 2 2" xfId="9505" xr:uid="{0E388CD4-0296-4F80-94A7-CAD715902D8E}"/>
    <cellStyle name="Millares 10 3 2 3" xfId="7007" xr:uid="{ABF13ABF-B8DE-4BD9-9EDC-49595010BCF2}"/>
    <cellStyle name="Millares 10 3 3" xfId="3260" xr:uid="{242CB265-3B2D-4991-9638-93496D289C47}"/>
    <cellStyle name="Millares 10 3 3 2" xfId="8256" xr:uid="{EB209808-C26A-413C-8C28-EE6D8E1AE22E}"/>
    <cellStyle name="Millares 10 3 4" xfId="5758" xr:uid="{5E5D53D9-F09A-4DB3-9844-044CDD8BA141}"/>
    <cellStyle name="Millares 10 4" xfId="1073" xr:uid="{07BE1486-B31E-4486-91C2-CC40883C3E12}"/>
    <cellStyle name="Millares 10 4 2" xfId="2323" xr:uid="{9597094A-83F3-4F29-8F03-8594483E0069}"/>
    <cellStyle name="Millares 10 4 2 2" xfId="4821" xr:uid="{F41CD0FF-4495-46AD-AC05-C26F21C8A066}"/>
    <cellStyle name="Millares 10 4 2 2 2" xfId="9817" xr:uid="{98C32071-8A84-42B5-BAEE-1B5148E23A4F}"/>
    <cellStyle name="Millares 10 4 2 3" xfId="7319" xr:uid="{84D123A6-34F6-4014-A0F0-712E6155FAC7}"/>
    <cellStyle name="Millares 10 4 3" xfId="3572" xr:uid="{03C36FB0-F962-47D0-BDB3-3CCEB52CA800}"/>
    <cellStyle name="Millares 10 4 3 2" xfId="8568" xr:uid="{C4FCE9AC-544D-4B0A-B167-2DDBF872DE02}"/>
    <cellStyle name="Millares 10 4 4" xfId="6070" xr:uid="{8C2B800A-CA2D-4DDD-BFF4-9544713E8212}"/>
    <cellStyle name="Millares 10 5" xfId="1366" xr:uid="{1B7A1547-6952-407F-AB87-6D8DDC3EEBFA}"/>
    <cellStyle name="Millares 10 5 2" xfId="2616" xr:uid="{BCCB0965-1EBB-49D1-914D-D4939D185D17}"/>
    <cellStyle name="Millares 10 5 2 2" xfId="5114" xr:uid="{F99334BB-4198-4D2B-99BB-2C80B635DB63}"/>
    <cellStyle name="Millares 10 5 2 2 2" xfId="10110" xr:uid="{1467425E-8FE3-4242-8E0F-82E462F68EB9}"/>
    <cellStyle name="Millares 10 5 2 3" xfId="7612" xr:uid="{100C5539-8886-422D-82EE-5CFE5CE06165}"/>
    <cellStyle name="Millares 10 5 3" xfId="3865" xr:uid="{09E7AC0D-C02E-410F-A877-D5781EDB040E}"/>
    <cellStyle name="Millares 10 5 3 2" xfId="8861" xr:uid="{77FDD19F-3683-4D9B-A068-2BB571E4583B}"/>
    <cellStyle name="Millares 10 5 4" xfId="6363" xr:uid="{EB846300-EFF6-4CEF-BD96-3A89FA9E8431}"/>
    <cellStyle name="Millares 10 6" xfId="1697" xr:uid="{15E125BF-F202-4A01-8A26-275507AA35B1}"/>
    <cellStyle name="Millares 10 6 2" xfId="4195" xr:uid="{538A1D86-F57C-432B-8487-091934C2749F}"/>
    <cellStyle name="Millares 10 6 2 2" xfId="9191" xr:uid="{B110ACFD-E470-4843-A339-AFA93F308F25}"/>
    <cellStyle name="Millares 10 6 3" xfId="6693" xr:uid="{50820D1B-1DE1-49BA-A0B3-18CF73A204E1}"/>
    <cellStyle name="Millares 10 7" xfId="2946" xr:uid="{DBD014DA-D0E1-40D9-97B3-2435BF81370C}"/>
    <cellStyle name="Millares 10 7 2" xfId="7942" xr:uid="{7184B271-3020-47AA-828B-0BE4A053378E}"/>
    <cellStyle name="Millares 10 8" xfId="5444" xr:uid="{73AE631B-161D-48FA-8644-7AC5F1028387}"/>
    <cellStyle name="Millares 10 9" xfId="446" xr:uid="{C6BC964E-2898-4DFE-8A13-3003FABBE83E}"/>
    <cellStyle name="Millares 11" xfId="20" xr:uid="{9594DBAC-DD61-446B-82AC-67EA58015C79}"/>
    <cellStyle name="Millares 11 2" xfId="1593" xr:uid="{338273D1-86F7-4F02-B333-1DE62513BF67}"/>
    <cellStyle name="Millares 11 2 2" xfId="2843" xr:uid="{7213539E-BBDF-42B1-99D3-8CB979331A78}"/>
    <cellStyle name="Millares 11 2 2 2" xfId="5341" xr:uid="{B64EBC97-A03F-4934-8E74-52FC8E2A0219}"/>
    <cellStyle name="Millares 11 2 2 2 2" xfId="10337" xr:uid="{2AC5D4A1-76E4-4196-8CEF-60C4F919BF80}"/>
    <cellStyle name="Millares 11 2 2 3" xfId="7839" xr:uid="{A4455664-413D-44AA-A763-789D2CE9EB75}"/>
    <cellStyle name="Millares 11 2 3" xfId="4092" xr:uid="{2D2732E0-1DE5-4231-A188-C280FDF16FFD}"/>
    <cellStyle name="Millares 11 2 3 2" xfId="9088" xr:uid="{A9242F24-6B5C-4C70-B8C4-4B76C1D77156}"/>
    <cellStyle name="Millares 11 2 4" xfId="6590" xr:uid="{D4944A1F-401A-4007-BCA6-3C18379EB437}"/>
    <cellStyle name="Millares 11 3" xfId="1924" xr:uid="{71D47D59-B8F0-447A-9D1C-2E7681F790A4}"/>
    <cellStyle name="Millares 11 3 2" xfId="4422" xr:uid="{5488D3AF-2CF3-4780-975B-D375F595F05D}"/>
    <cellStyle name="Millares 11 3 2 2" xfId="9418" xr:uid="{B1473E49-8B7C-4537-B95A-25C53E27FBD7}"/>
    <cellStyle name="Millares 11 3 3" xfId="6920" xr:uid="{7AE2DA9C-5D35-4DBD-A86A-999FE53834B5}"/>
    <cellStyle name="Millares 11 4" xfId="3173" xr:uid="{8B2A04D2-3988-4ECA-8C87-9EB80B15EF5E}"/>
    <cellStyle name="Millares 11 4 2" xfId="8169" xr:uid="{CB18A384-D887-4EDE-A058-3ABA420DE5C0}"/>
    <cellStyle name="Millares 11 5" xfId="5671" xr:uid="{0A5CA6F1-B131-41C4-9FD5-1CA1CCAD105C}"/>
    <cellStyle name="Millares 11 6" xfId="673" xr:uid="{BCDA52E8-A9C5-4621-9A31-F5B9DBEE2908}"/>
    <cellStyle name="Millares 12" xfId="678" xr:uid="{8B59AF97-89F8-465E-B116-AA14F98BBB60}"/>
    <cellStyle name="Millares 12 2" xfId="1598" xr:uid="{EE7999F8-63A7-4E43-8880-34D98CB48C80}"/>
    <cellStyle name="Millares 12 2 2" xfId="2848" xr:uid="{BC176632-2273-4F86-849D-3609CFAF0A63}"/>
    <cellStyle name="Millares 12 2 2 2" xfId="5346" xr:uid="{7436FB52-2813-4747-8938-53FF37143219}"/>
    <cellStyle name="Millares 12 2 2 2 2" xfId="10342" xr:uid="{C5B67E6E-B15B-44AE-9E12-2A9F802BE24D}"/>
    <cellStyle name="Millares 12 2 2 3" xfId="7844" xr:uid="{5072B37B-E038-4365-ABBE-47AE3EC6242B}"/>
    <cellStyle name="Millares 12 2 3" xfId="4097" xr:uid="{AC7CE486-50EB-4C53-BEA1-7877822A9D6A}"/>
    <cellStyle name="Millares 12 2 3 2" xfId="9093" xr:uid="{BEB381DC-003B-4774-9A1E-6E66D894BE8F}"/>
    <cellStyle name="Millares 12 2 4" xfId="6595" xr:uid="{7CB7B2F6-D793-4174-97D9-9CB8FD828151}"/>
    <cellStyle name="Millares 12 3" xfId="1929" xr:uid="{61FBF52D-7A4C-4302-A895-1103758C6303}"/>
    <cellStyle name="Millares 12 3 2" xfId="4427" xr:uid="{C9C52643-61CC-4EAC-BDB5-5CE367876ED5}"/>
    <cellStyle name="Millares 12 3 2 2" xfId="9423" xr:uid="{D069EEEC-5E02-4292-8058-422C20E86E1D}"/>
    <cellStyle name="Millares 12 3 3" xfId="6925" xr:uid="{7B9ACB8C-B268-4FDD-9B46-0C231E94611A}"/>
    <cellStyle name="Millares 12 4" xfId="3178" xr:uid="{E0094B91-3C48-4AF1-8F4B-1EEF7C7044FA}"/>
    <cellStyle name="Millares 12 4 2" xfId="8174" xr:uid="{F277C9FD-0BE1-4A0A-BA8F-159153F25537}"/>
    <cellStyle name="Millares 12 5" xfId="5676" xr:uid="{21DA53E6-D206-4C8C-AE07-FBD0401758C8}"/>
    <cellStyle name="Millares 13" xfId="682" xr:uid="{129033F8-A613-46B3-A712-C148B4FD24C4}"/>
    <cellStyle name="Millares 13 2" xfId="1933" xr:uid="{0C8D8CE1-B037-4BA6-9041-0C974F550F16}"/>
    <cellStyle name="Millares 13 2 2" xfId="4431" xr:uid="{B22385C9-AD44-48D0-9767-C5118225A114}"/>
    <cellStyle name="Millares 13 2 2 2" xfId="9427" xr:uid="{58CDA337-7429-4D64-ADD0-DB20E225BD6B}"/>
    <cellStyle name="Millares 13 2 3" xfId="6929" xr:uid="{65B92513-A0F5-497C-98A6-E99524C8293F}"/>
    <cellStyle name="Millares 13 3" xfId="3182" xr:uid="{D93E9FD2-2535-46F9-97D8-3FDA935F222D}"/>
    <cellStyle name="Millares 13 3 2" xfId="8178" xr:uid="{57826572-748D-419D-806B-7A7B758A8670}"/>
    <cellStyle name="Millares 13 4" xfId="5680" xr:uid="{0034A702-6E2C-450E-A731-24A8986DE80C}"/>
    <cellStyle name="Millares 14" xfId="995" xr:uid="{C3C4FECD-85C7-4F56-85BA-84F12DD08F55}"/>
    <cellStyle name="Millares 14 2" xfId="2245" xr:uid="{3E0E899E-5E3A-401C-8F7C-04F8703487E1}"/>
    <cellStyle name="Millares 14 2 2" xfId="4743" xr:uid="{AC0D0B13-1CC7-4EF3-B71D-2B68DD554B8E}"/>
    <cellStyle name="Millares 14 2 2 2" xfId="9739" xr:uid="{873B05C0-AD14-4BED-81BB-28854576316F}"/>
    <cellStyle name="Millares 14 2 3" xfId="7241" xr:uid="{D9C70FD8-FCFC-4981-8C95-B481A5C528EF}"/>
    <cellStyle name="Millares 14 3" xfId="3494" xr:uid="{B15E552C-580D-4D7D-82B9-E15277AF56A0}"/>
    <cellStyle name="Millares 14 3 2" xfId="8490" xr:uid="{4DA00E1E-4153-4CDE-B867-8984C9C316D6}"/>
    <cellStyle name="Millares 14 4" xfId="5992" xr:uid="{CC41FE6C-4633-4CC1-AC61-F882791A266D}"/>
    <cellStyle name="Millares 15" xfId="1307" xr:uid="{0702EB55-49AB-41B4-A1A3-EF983330AE55}"/>
    <cellStyle name="Millares 15 2" xfId="2557" xr:uid="{B67A29F7-3199-4B0E-A3F1-E778122EDA16}"/>
    <cellStyle name="Millares 15 2 2" xfId="5055" xr:uid="{63FEF9EE-0F95-4CBA-B4DB-E989E4C8A8AC}"/>
    <cellStyle name="Millares 15 2 2 2" xfId="10051" xr:uid="{C2F56BCF-4C03-440E-A4A8-1B28307FF046}"/>
    <cellStyle name="Millares 15 2 3" xfId="7553" xr:uid="{559B8498-8EA0-4DBB-918C-9B52C5CD02D9}"/>
    <cellStyle name="Millares 15 3" xfId="3806" xr:uid="{9994E946-D3F2-4418-B809-B8E240CC36C2}"/>
    <cellStyle name="Millares 15 3 2" xfId="8802" xr:uid="{6ECB9473-3762-48E5-9183-E280E50B46A0}"/>
    <cellStyle name="Millares 15 4" xfId="6304" xr:uid="{628DBAC6-1406-40FA-AC25-507FAB04005B}"/>
    <cellStyle name="Millares 16" xfId="1604" xr:uid="{1C055A8E-ECA2-445A-B9BC-57E49BA16889}"/>
    <cellStyle name="Millares 16 2" xfId="2853" xr:uid="{7D9EF5C1-4FF6-4428-A9BC-610006884C0C}"/>
    <cellStyle name="Millares 16 2 2" xfId="5351" xr:uid="{5C133DBE-9AAF-4920-B8A6-102D3946BB66}"/>
    <cellStyle name="Millares 16 2 2 2" xfId="10347" xr:uid="{047570F1-3562-4A45-B21D-34F449C058E7}"/>
    <cellStyle name="Millares 16 2 3" xfId="7849" xr:uid="{7BF91590-EA6C-4F38-A7FC-C07E7F1E9BD8}"/>
    <cellStyle name="Millares 16 3" xfId="4102" xr:uid="{30EF60D8-0B00-4EB2-B77B-BAB349870D63}"/>
    <cellStyle name="Millares 16 3 2" xfId="9098" xr:uid="{61FD4314-29DF-4111-A48F-64C57CC6D0C9}"/>
    <cellStyle name="Millares 16 4" xfId="6600" xr:uid="{ED83431A-1805-483C-89C6-91207DD96491}"/>
    <cellStyle name="Millares 17" xfId="1609" xr:uid="{4886B2D2-4BE9-4BBB-830F-4B403E137101}"/>
    <cellStyle name="Millares 17 2" xfId="2858" xr:uid="{23F4270A-CBC6-4EA5-A044-F0B91D462ADB}"/>
    <cellStyle name="Millares 17 2 2" xfId="5356" xr:uid="{028D564A-2213-45C8-B331-E4CC132DBDF3}"/>
    <cellStyle name="Millares 17 2 2 2" xfId="10352" xr:uid="{E729E44B-E47B-443D-9554-98C1E85DEE95}"/>
    <cellStyle name="Millares 17 2 3" xfId="7854" xr:uid="{BD98E4ED-04D9-4D1B-AF77-42BC041C8871}"/>
    <cellStyle name="Millares 17 3" xfId="4107" xr:uid="{D995B12C-BF38-4CB3-B5D8-6BCF35E93DDC}"/>
    <cellStyle name="Millares 17 3 2" xfId="9103" xr:uid="{0B55B67C-8C07-4151-9ABD-BF1BA55BC394}"/>
    <cellStyle name="Millares 17 4" xfId="6605" xr:uid="{51B64CF1-BDFC-4E60-8068-961166E3B59F}"/>
    <cellStyle name="Millares 18" xfId="1614" xr:uid="{A702794A-6C1E-4A33-9A69-766E18B70301}"/>
    <cellStyle name="Millares 18 2" xfId="2863" xr:uid="{D13EF39C-BEE9-4E82-A549-937A7769124B}"/>
    <cellStyle name="Millares 18 2 2" xfId="5361" xr:uid="{E8D816D9-8468-4B16-8AF6-682C7A302A5C}"/>
    <cellStyle name="Millares 18 2 2 2" xfId="10357" xr:uid="{0B5C89B1-D80B-4650-BD70-A4E3B542CC63}"/>
    <cellStyle name="Millares 18 2 3" xfId="7859" xr:uid="{A1AC0DF0-AB17-4B02-A41F-F92E00D0BA91}"/>
    <cellStyle name="Millares 18 3" xfId="4112" xr:uid="{121C4A5D-4C43-4A52-831A-E93876F32067}"/>
    <cellStyle name="Millares 18 3 2" xfId="9108" xr:uid="{9CD0FD20-22EB-43F2-993D-4E6FA90C07FE}"/>
    <cellStyle name="Millares 18 4" xfId="6610" xr:uid="{96EBDAA9-0C19-4C00-9959-6131FBC7A97A}"/>
    <cellStyle name="Millares 19" xfId="1619" xr:uid="{21D24DFE-677A-4C64-932B-091337F3C4A6}"/>
    <cellStyle name="Millares 19 2" xfId="2868" xr:uid="{104076E0-0CDA-4780-B468-95699A06B846}"/>
    <cellStyle name="Millares 19 2 2" xfId="5366" xr:uid="{2C189710-6850-4013-9D37-E82BEC80191F}"/>
    <cellStyle name="Millares 19 2 2 2" xfId="10362" xr:uid="{17F0163A-31F3-4A8D-95A2-42A2B7C07095}"/>
    <cellStyle name="Millares 19 2 3" xfId="7864" xr:uid="{CCB039A0-08E0-4EB7-8722-FE6AC9606C96}"/>
    <cellStyle name="Millares 19 3" xfId="4117" xr:uid="{8ECF14F7-2ACF-40A1-89E9-70F57F58D957}"/>
    <cellStyle name="Millares 19 3 2" xfId="9113" xr:uid="{0CDFF480-6A07-4AC7-BB7D-C0EC2789D94F}"/>
    <cellStyle name="Millares 19 4" xfId="6615" xr:uid="{33820BC1-04A8-446F-BF84-13A255497509}"/>
    <cellStyle name="Millares 2" xfId="10" xr:uid="{00000000-0005-0000-0000-000001000000}"/>
    <cellStyle name="Millares 2 10" xfId="1615" xr:uid="{E8E1BABC-9FB4-4E8D-97D6-4748E8C6AC41}"/>
    <cellStyle name="Millares 2 10 2" xfId="2864" xr:uid="{0E3BDC77-E319-418B-93A3-86297129C972}"/>
    <cellStyle name="Millares 2 10 2 2" xfId="5362" xr:uid="{85A08225-E794-4ECB-8617-1C5B9FFC8C25}"/>
    <cellStyle name="Millares 2 10 2 2 2" xfId="10358" xr:uid="{0F8D02C6-5D8D-4EF9-ACF8-4BC69D51F9F3}"/>
    <cellStyle name="Millares 2 10 2 3" xfId="7860" xr:uid="{30DC06C5-127E-471C-8DE1-5312AF2C1FF1}"/>
    <cellStyle name="Millares 2 10 3" xfId="4113" xr:uid="{438D01B1-9EBB-41E8-837E-70F511E2CFBA}"/>
    <cellStyle name="Millares 2 10 3 2" xfId="9109" xr:uid="{7E194AF3-37D0-4F79-BA4B-B87612AAF100}"/>
    <cellStyle name="Millares 2 10 4" xfId="6611" xr:uid="{36929DCD-2952-4CE8-8D15-4CFC230E4397}"/>
    <cellStyle name="Millares 2 11" xfId="1620" xr:uid="{A0FA34AC-19E7-430C-B3F2-51526EC7D238}"/>
    <cellStyle name="Millares 2 11 2" xfId="2869" xr:uid="{E4C811FB-65B2-4FC6-B7A5-5DBB80C9EAB4}"/>
    <cellStyle name="Millares 2 11 2 2" xfId="5367" xr:uid="{9E36546C-45DC-4FB0-BB6A-CCF6E05016B5}"/>
    <cellStyle name="Millares 2 11 2 2 2" xfId="10363" xr:uid="{075C402D-44A6-4001-80CF-C1B980F6B58C}"/>
    <cellStyle name="Millares 2 11 2 3" xfId="7865" xr:uid="{49F167FC-057E-429B-8625-1A9FC8939B76}"/>
    <cellStyle name="Millares 2 11 3" xfId="4118" xr:uid="{B2FB866B-FA51-40E9-91D4-4671722B3877}"/>
    <cellStyle name="Millares 2 11 3 2" xfId="9114" xr:uid="{F1445C22-F35F-4122-8898-3A7A484986AA}"/>
    <cellStyle name="Millares 2 11 4" xfId="6616" xr:uid="{A464C21A-73BF-411E-AF2B-A9A76385B025}"/>
    <cellStyle name="Millares 2 12" xfId="1625" xr:uid="{5DAAED7F-B633-42E8-914B-89D64EF6DC5B}"/>
    <cellStyle name="Millares 2 12 2" xfId="2874" xr:uid="{749A4A51-4B6A-4EB9-9FE6-E73BEF7FC57B}"/>
    <cellStyle name="Millares 2 12 2 2" xfId="5372" xr:uid="{4B0DE1C8-543B-4AFE-B4CA-0DD887862CB2}"/>
    <cellStyle name="Millares 2 12 2 2 2" xfId="10368" xr:uid="{1F86D27B-5A07-4CE4-8518-71087574F384}"/>
    <cellStyle name="Millares 2 12 2 3" xfId="7870" xr:uid="{37206938-4B92-4231-BF2D-B6D84BDCA577}"/>
    <cellStyle name="Millares 2 12 3" xfId="4123" xr:uid="{973F72AE-3D40-44DE-95C5-BD602787369B}"/>
    <cellStyle name="Millares 2 12 3 2" xfId="9119" xr:uid="{D7690E2F-CFEA-4F21-8EE5-51847A1A632A}"/>
    <cellStyle name="Millares 2 12 4" xfId="6621" xr:uid="{AC6AD01E-519E-446D-AC0C-91D1C864DF9E}"/>
    <cellStyle name="Millares 2 13" xfId="1630" xr:uid="{1BF5DB5E-6C19-432C-82C5-EB73F78B6EA7}"/>
    <cellStyle name="Millares 2 13 2" xfId="2879" xr:uid="{B67583AE-C9D4-4DEE-87D5-AAFFACDFEE4A}"/>
    <cellStyle name="Millares 2 13 2 2" xfId="5377" xr:uid="{0BCC9BC7-9405-4896-9729-D91B324313AF}"/>
    <cellStyle name="Millares 2 13 2 2 2" xfId="10373" xr:uid="{07DCAC8D-B371-4A73-86FC-11822907EE8D}"/>
    <cellStyle name="Millares 2 13 2 3" xfId="7875" xr:uid="{A3CDDE58-F5F0-4235-A096-CA446CDCB61E}"/>
    <cellStyle name="Millares 2 13 3" xfId="4128" xr:uid="{5D6BFE1B-35C3-4C5B-8C36-9E01973AD72B}"/>
    <cellStyle name="Millares 2 13 3 2" xfId="9124" xr:uid="{FDAE36BA-678C-4830-A7E9-10DB240C33F0}"/>
    <cellStyle name="Millares 2 13 4" xfId="6626" xr:uid="{F9857F90-A835-402B-B18E-90C3104152DD}"/>
    <cellStyle name="Millares 2 14" xfId="1635" xr:uid="{8C8CF5D5-1ECE-4771-AF91-E1479999846F}"/>
    <cellStyle name="Millares 2 14 2" xfId="2884" xr:uid="{A7A6A4FB-CFFF-4FD4-8609-A3A4EA2752F2}"/>
    <cellStyle name="Millares 2 14 2 2" xfId="5382" xr:uid="{FAF51279-6CA4-47F1-A30B-2FEC06FCCDF2}"/>
    <cellStyle name="Millares 2 14 2 2 2" xfId="10378" xr:uid="{E3EA0D4E-1E8F-4EDC-BA22-8F159302681A}"/>
    <cellStyle name="Millares 2 14 2 3" xfId="7880" xr:uid="{B603CCA0-7996-41DD-977A-F413B9BF5D86}"/>
    <cellStyle name="Millares 2 14 3" xfId="4133" xr:uid="{597C0659-7363-4CBB-8C57-DB402DD41747}"/>
    <cellStyle name="Millares 2 14 3 2" xfId="9129" xr:uid="{9B9F5A83-9530-4572-9AC9-4857904D297F}"/>
    <cellStyle name="Millares 2 14 4" xfId="6631" xr:uid="{9E9DB343-5F25-4F55-B495-339015162943}"/>
    <cellStyle name="Millares 2 15" xfId="1639" xr:uid="{A054DEBE-F95D-4D36-A130-FFEAA4B27FCF}"/>
    <cellStyle name="Millares 2 15 2" xfId="4137" xr:uid="{813FC990-129C-4B15-B475-45B98BABAF72}"/>
    <cellStyle name="Millares 2 15 2 2" xfId="9133" xr:uid="{84DD9F14-5752-4D49-BD6F-56E7DDA14C41}"/>
    <cellStyle name="Millares 2 15 3" xfId="6635" xr:uid="{D606B229-876D-43CA-A8E3-556D4676F3B1}"/>
    <cellStyle name="Millares 2 16" xfId="2888" xr:uid="{B9F21846-18F3-4CE7-9B7A-8AAE81BB5749}"/>
    <cellStyle name="Millares 2 16 2" xfId="7884" xr:uid="{D7F244AE-71E3-4E9D-99A6-F88CBD0A54E6}"/>
    <cellStyle name="Millares 2 17" xfId="5386" xr:uid="{469A8F3B-1CB1-4C85-8806-014AC1979067}"/>
    <cellStyle name="Millares 2 18" xfId="388" xr:uid="{805A2415-D468-4467-A601-97FE971254D6}"/>
    <cellStyle name="Millares 2 2" xfId="141" xr:uid="{9E32FB40-9756-4DEC-89F5-697537D1FAAD}"/>
    <cellStyle name="Millares 2 2 2" xfId="142" xr:uid="{53CEB28F-F689-4F00-AFC5-19A0B50851A3}"/>
    <cellStyle name="Millares 2 2 2 2" xfId="763" xr:uid="{A1264021-832E-4A00-9D2B-C96E2FB83E87}"/>
    <cellStyle name="Millares 2 2 2 2 2" xfId="2014" xr:uid="{E1BE5509-9016-4584-9C1D-27C31B9405D0}"/>
    <cellStyle name="Millares 2 2 2 2 2 2" xfId="4512" xr:uid="{9A5FE63C-3B52-4DC0-B8BA-F3013FABEB3C}"/>
    <cellStyle name="Millares 2 2 2 2 2 2 2" xfId="9508" xr:uid="{487E7FBC-D798-4F27-8E29-9F04821BF24F}"/>
    <cellStyle name="Millares 2 2 2 2 2 3" xfId="7010" xr:uid="{DC21F578-F026-4F21-959E-26F110F5101C}"/>
    <cellStyle name="Millares 2 2 2 2 3" xfId="3263" xr:uid="{1E3B7726-9441-4E94-A740-61DC6059B44D}"/>
    <cellStyle name="Millares 2 2 2 2 3 2" xfId="8259" xr:uid="{873CB885-2A65-4BB9-BE63-63AF1E899628}"/>
    <cellStyle name="Millares 2 2 2 2 4" xfId="5761" xr:uid="{DA3443C0-FB89-44ED-860B-490C9302CF49}"/>
    <cellStyle name="Millares 2 2 2 3" xfId="1076" xr:uid="{B45957EB-AE72-4758-BE12-7886D0AF267E}"/>
    <cellStyle name="Millares 2 2 2 3 2" xfId="2326" xr:uid="{4D26976B-D1BC-4E26-AFCF-BBBB7D9CECFC}"/>
    <cellStyle name="Millares 2 2 2 3 2 2" xfId="4824" xr:uid="{AB070C56-9A82-47B7-84CD-B25CF4759DDF}"/>
    <cellStyle name="Millares 2 2 2 3 2 2 2" xfId="9820" xr:uid="{ADB8AECA-A5EA-44D0-AC66-FBDFEED1D255}"/>
    <cellStyle name="Millares 2 2 2 3 2 3" xfId="7322" xr:uid="{88507792-F65F-4DBC-BD93-D73C5BE7C616}"/>
    <cellStyle name="Millares 2 2 2 3 3" xfId="3575" xr:uid="{BDCCE62A-AF51-4740-82D3-245AC1C111B0}"/>
    <cellStyle name="Millares 2 2 2 3 3 2" xfId="8571" xr:uid="{13B2D692-409A-4F63-9C87-3CA70A653524}"/>
    <cellStyle name="Millares 2 2 2 3 4" xfId="6073" xr:uid="{CA830A5B-1ED8-4A47-8634-54B79AFB4393}"/>
    <cellStyle name="Millares 2 2 2 4" xfId="1452" xr:uid="{7FD3622E-262F-4448-AE16-9379E8675B48}"/>
    <cellStyle name="Millares 2 2 2 4 2" xfId="2702" xr:uid="{379656E8-316E-42F5-ABDE-F623CEF33943}"/>
    <cellStyle name="Millares 2 2 2 4 2 2" xfId="5200" xr:uid="{988163B8-7D0E-472E-8E84-B25691E9DD8B}"/>
    <cellStyle name="Millares 2 2 2 4 2 2 2" xfId="10196" xr:uid="{0BD31073-AF62-4658-800B-2CB1602D3583}"/>
    <cellStyle name="Millares 2 2 2 4 2 3" xfId="7698" xr:uid="{F816CFA1-5665-4372-B50D-420FA32356A0}"/>
    <cellStyle name="Millares 2 2 2 4 3" xfId="3951" xr:uid="{AA9EED04-2019-4CA9-B7BB-CD9D50A2FDCC}"/>
    <cellStyle name="Millares 2 2 2 4 3 2" xfId="8947" xr:uid="{2BCE6526-7399-4096-8E10-1A64C19FDF39}"/>
    <cellStyle name="Millares 2 2 2 4 4" xfId="6449" xr:uid="{2A57EB7C-45ED-48D6-A2A2-D2F1CB839D08}"/>
    <cellStyle name="Millares 2 2 2 5" xfId="1783" xr:uid="{39891A9B-EAA6-4DF3-B7DA-DBC1B34A316C}"/>
    <cellStyle name="Millares 2 2 2 5 2" xfId="4281" xr:uid="{F3D22B5C-4271-4D5E-A0D6-A3265082EE42}"/>
    <cellStyle name="Millares 2 2 2 5 2 2" xfId="9277" xr:uid="{8B173E2D-5945-4551-A003-F698EAFF8F75}"/>
    <cellStyle name="Millares 2 2 2 5 3" xfId="6779" xr:uid="{83B817A7-3972-4934-B848-F04DFFBD6DDE}"/>
    <cellStyle name="Millares 2 2 2 6" xfId="3032" xr:uid="{FE90F446-B33C-49DE-87DB-F9E11E68D3C8}"/>
    <cellStyle name="Millares 2 2 2 6 2" xfId="8028" xr:uid="{41AE59BE-7480-4FFE-BF62-CBD663A9F5B8}"/>
    <cellStyle name="Millares 2 2 2 7" xfId="5530" xr:uid="{3BA86FF1-E69B-45DA-9E31-0B19CD0E50B8}"/>
    <cellStyle name="Millares 2 2 2 8" xfId="532" xr:uid="{9AD100DD-F4FE-4EC9-A26A-F7F46CAAC5FC}"/>
    <cellStyle name="Millares 2 2 3" xfId="762" xr:uid="{7FDDC825-5854-4B02-B474-B342AFDBA854}"/>
    <cellStyle name="Millares 2 2 3 2" xfId="2013" xr:uid="{BE699EFC-BF32-450F-9C93-137EBAA982CD}"/>
    <cellStyle name="Millares 2 2 3 2 2" xfId="4511" xr:uid="{341DDA90-45A9-4BF3-AB0F-4AEA725FC97E}"/>
    <cellStyle name="Millares 2 2 3 2 2 2" xfId="9507" xr:uid="{ABB12E01-7C8F-45CF-88D9-4C43B1A9F2F9}"/>
    <cellStyle name="Millares 2 2 3 2 3" xfId="7009" xr:uid="{62652588-66B2-4DE9-AF92-30387A1BB78A}"/>
    <cellStyle name="Millares 2 2 3 3" xfId="3262" xr:uid="{28D72EF7-DBB1-4731-89B6-FD2B9BA7E104}"/>
    <cellStyle name="Millares 2 2 3 3 2" xfId="8258" xr:uid="{FE09A57A-21F7-43BA-AEFE-F3B0A4B3AC4E}"/>
    <cellStyle name="Millares 2 2 3 4" xfId="5760" xr:uid="{EB176F4E-2039-473E-AC2E-85D9BF15080C}"/>
    <cellStyle name="Millares 2 2 4" xfId="1075" xr:uid="{8308A190-86F7-4EAE-9CAA-70BCC4988F60}"/>
    <cellStyle name="Millares 2 2 4 2" xfId="2325" xr:uid="{D83730FA-4538-49CA-9054-AD388E53C248}"/>
    <cellStyle name="Millares 2 2 4 2 2" xfId="4823" xr:uid="{02982257-4687-4A1E-ABA8-0ABBBEC25A8F}"/>
    <cellStyle name="Millares 2 2 4 2 2 2" xfId="9819" xr:uid="{F64903C3-5047-43E6-87EF-1FBC886EA2C5}"/>
    <cellStyle name="Millares 2 2 4 2 3" xfId="7321" xr:uid="{E359766E-BF27-4E2C-89D3-034F0FFF1CA4}"/>
    <cellStyle name="Millares 2 2 4 3" xfId="3574" xr:uid="{3FA8ED8A-0A8C-4D36-A3C4-A7412081BB89}"/>
    <cellStyle name="Millares 2 2 4 3 2" xfId="8570" xr:uid="{897DCC3E-45FB-46E7-A99E-BA8412611561}"/>
    <cellStyle name="Millares 2 2 4 4" xfId="6072" xr:uid="{AA619577-2B29-4468-964D-211B81CD295F}"/>
    <cellStyle name="Millares 2 2 5" xfId="1367" xr:uid="{D610E928-C308-4B8A-9BE9-17A70BDEB6E0}"/>
    <cellStyle name="Millares 2 2 5 2" xfId="2617" xr:uid="{FEBF3038-F93F-4DC6-9492-38118A46C1A6}"/>
    <cellStyle name="Millares 2 2 5 2 2" xfId="5115" xr:uid="{4DF6AC3D-1A72-4C98-B3FF-F083177EE3D7}"/>
    <cellStyle name="Millares 2 2 5 2 2 2" xfId="10111" xr:uid="{2B7F29A2-D55F-46A6-B225-23EA24998B8B}"/>
    <cellStyle name="Millares 2 2 5 2 3" xfId="7613" xr:uid="{AB88D5D1-C311-4E68-9F0E-B5B5DB576D8F}"/>
    <cellStyle name="Millares 2 2 5 3" xfId="3866" xr:uid="{07594245-6086-4939-BA30-3A2CA7D4E21C}"/>
    <cellStyle name="Millares 2 2 5 3 2" xfId="8862" xr:uid="{B69099D3-6419-4F54-93BD-AEF307FDF30A}"/>
    <cellStyle name="Millares 2 2 5 4" xfId="6364" xr:uid="{CCB1A836-FC88-4AAF-8028-4D3715EA3546}"/>
    <cellStyle name="Millares 2 2 6" xfId="1698" xr:uid="{FC983062-6C11-447E-AE74-8E51027C9B49}"/>
    <cellStyle name="Millares 2 2 6 2" xfId="4196" xr:uid="{E48DBA4F-7199-48E3-BF9D-249F7E9C5F7E}"/>
    <cellStyle name="Millares 2 2 6 2 2" xfId="9192" xr:uid="{376D1B11-6476-443E-BA9E-D1C2430512EA}"/>
    <cellStyle name="Millares 2 2 6 3" xfId="6694" xr:uid="{E00F0A1D-C6EF-47AE-B963-C35A4520BD60}"/>
    <cellStyle name="Millares 2 2 7" xfId="2947" xr:uid="{9DDFB10A-3E01-45BD-B923-CC47C0CFC833}"/>
    <cellStyle name="Millares 2 2 7 2" xfId="7943" xr:uid="{B0B0B4EA-1CF3-4369-8083-AF92BE972213}"/>
    <cellStyle name="Millares 2 2 8" xfId="5445" xr:uid="{C6533F1D-7A6B-4C4F-AEEB-506C559C8A42}"/>
    <cellStyle name="Millares 2 2 9" xfId="447" xr:uid="{42ADCEF1-D2BB-493A-A0AB-02AD6743C5C8}"/>
    <cellStyle name="Millares 2 3" xfId="358" xr:uid="{1FD10B82-8FD0-4C58-85E5-90923A77C44A}"/>
    <cellStyle name="Millares 2 3 2" xfId="967" xr:uid="{F9377964-0BF7-4118-9AF4-C96FDA4172DC}"/>
    <cellStyle name="Millares 2 3 2 2" xfId="2217" xr:uid="{89AC9C22-646F-4FF2-8FE1-BD74663545E6}"/>
    <cellStyle name="Millares 2 3 2 2 2" xfId="4715" xr:uid="{BC2E1B71-92C9-4C5D-80E7-56253510A2F8}"/>
    <cellStyle name="Millares 2 3 2 2 2 2" xfId="9711" xr:uid="{03F0AEAF-39D8-4994-8FD0-0031B100BD11}"/>
    <cellStyle name="Millares 2 3 2 2 3" xfId="7213" xr:uid="{EC23EF61-F90B-4FF8-9478-274FBB02088A}"/>
    <cellStyle name="Millares 2 3 2 3" xfId="3466" xr:uid="{AF118961-EE43-4988-857C-E9F68B6D58D0}"/>
    <cellStyle name="Millares 2 3 2 3 2" xfId="8462" xr:uid="{31EA7627-C10E-4223-822B-67D9E830853E}"/>
    <cellStyle name="Millares 2 3 2 4" xfId="5964" xr:uid="{01E268B2-8C55-4088-8CF0-D059DE85ACFD}"/>
    <cellStyle name="Millares 2 3 3" xfId="1279" xr:uid="{C887DB3A-6BDF-44C1-BC6E-27271D2331A1}"/>
    <cellStyle name="Millares 2 3 3 2" xfId="2529" xr:uid="{41AD3058-741F-41C3-959C-3AF0D75A78BC}"/>
    <cellStyle name="Millares 2 3 3 2 2" xfId="5027" xr:uid="{BE276D8F-46FC-45CF-AB94-0BA8E28C7C7C}"/>
    <cellStyle name="Millares 2 3 3 2 2 2" xfId="10023" xr:uid="{08146C9C-D524-4EAF-A2B3-EC07A74F058B}"/>
    <cellStyle name="Millares 2 3 3 2 3" xfId="7525" xr:uid="{86FEFBB4-4AF5-4880-9BE3-9C85865CD633}"/>
    <cellStyle name="Millares 2 3 3 3" xfId="3778" xr:uid="{79F0FC2A-2BDD-4ECF-A2F4-A9426B08CFA4}"/>
    <cellStyle name="Millares 2 3 3 3 2" xfId="8774" xr:uid="{1F5F708A-4CCB-4650-A961-655B99A3CF7F}"/>
    <cellStyle name="Millares 2 3 3 4" xfId="6276" xr:uid="{62C76DC7-E8CE-459C-B83C-146BEAD20707}"/>
    <cellStyle name="Millares 2 3 4" xfId="1594" xr:uid="{05253FA5-A00F-4D67-BAF8-8AB98565C5ED}"/>
    <cellStyle name="Millares 2 3 4 2" xfId="2844" xr:uid="{E534C8B6-B484-4FAE-A612-1DBB57A0C63E}"/>
    <cellStyle name="Millares 2 3 4 2 2" xfId="5342" xr:uid="{798D22E2-EA60-40EE-82FC-283BF5CC13C7}"/>
    <cellStyle name="Millares 2 3 4 2 2 2" xfId="10338" xr:uid="{DF57FCD4-1659-495A-9C0E-AF65CDF050F9}"/>
    <cellStyle name="Millares 2 3 4 2 3" xfId="7840" xr:uid="{BE436529-7331-4D28-9E65-0572EC0E226C}"/>
    <cellStyle name="Millares 2 3 4 3" xfId="4093" xr:uid="{F3D97145-9B43-4BA4-AA45-AB4DFB3E93A6}"/>
    <cellStyle name="Millares 2 3 4 3 2" xfId="9089" xr:uid="{E43672DA-96C7-42B4-B56F-A1AC937EF147}"/>
    <cellStyle name="Millares 2 3 4 4" xfId="6591" xr:uid="{790A23EA-58D0-47F4-A176-5756728ADE04}"/>
    <cellStyle name="Millares 2 3 5" xfId="1925" xr:uid="{E0D79267-1308-43D1-987A-EF3DE3AD56A6}"/>
    <cellStyle name="Millares 2 3 5 2" xfId="4423" xr:uid="{26B89231-22B7-484E-8EDF-AC877E2C0743}"/>
    <cellStyle name="Millares 2 3 5 2 2" xfId="9419" xr:uid="{3F1A44B7-5193-45DB-81EF-98751D8C0C2D}"/>
    <cellStyle name="Millares 2 3 5 3" xfId="6921" xr:uid="{9D0D301E-4411-4C53-A31F-EAE88DC76E4A}"/>
    <cellStyle name="Millares 2 3 6" xfId="3174" xr:uid="{E9409CF7-045F-45E1-B9F2-376780E69CD7}"/>
    <cellStyle name="Millares 2 3 6 2" xfId="8170" xr:uid="{B0A2C1E0-CF5C-4E9A-8827-E14CEE441F50}"/>
    <cellStyle name="Millares 2 3 7" xfId="5672" xr:uid="{2F1A43ED-8D41-420A-98A6-7193E4A9AD9E}"/>
    <cellStyle name="Millares 2 3 8" xfId="674" xr:uid="{3246FAF1-A7C4-4B2C-A4AE-1ADECCF66BA4}"/>
    <cellStyle name="Millares 2 4" xfId="24" xr:uid="{9B70F418-B35B-48EE-BC32-2334582C139E}"/>
    <cellStyle name="Millares 2 4 2" xfId="1599" xr:uid="{1140F3CE-4683-4C13-B1C6-3ACA57CD388A}"/>
    <cellStyle name="Millares 2 4 2 2" xfId="2849" xr:uid="{159F5B30-93A5-4934-88D0-1560EA793651}"/>
    <cellStyle name="Millares 2 4 2 2 2" xfId="5347" xr:uid="{BC77DF9E-F057-4E1B-BDA0-2316A7AEE64F}"/>
    <cellStyle name="Millares 2 4 2 2 2 2" xfId="10343" xr:uid="{D6A1A07E-3862-4AAE-8817-AF3AA40A0B34}"/>
    <cellStyle name="Millares 2 4 2 2 3" xfId="7845" xr:uid="{8CC850B9-339A-4893-91D9-A596B48DE6AA}"/>
    <cellStyle name="Millares 2 4 2 3" xfId="4098" xr:uid="{B206B0FC-F581-4D2C-B5EC-A9C2F09624B3}"/>
    <cellStyle name="Millares 2 4 2 3 2" xfId="9094" xr:uid="{D9ECFCA8-7D8D-4920-B212-7B8E6ACB86FC}"/>
    <cellStyle name="Millares 2 4 2 4" xfId="6596" xr:uid="{14A42843-09B7-4BBD-98C5-5116E9988FF2}"/>
    <cellStyle name="Millares 2 4 3" xfId="1930" xr:uid="{682B29AC-C514-464D-8A8F-520FFF685119}"/>
    <cellStyle name="Millares 2 4 3 2" xfId="4428" xr:uid="{5217ECAF-836C-4895-B28E-E9601882F030}"/>
    <cellStyle name="Millares 2 4 3 2 2" xfId="9424" xr:uid="{B55FD969-5B4F-49BE-8552-B17916A6E245}"/>
    <cellStyle name="Millares 2 4 3 3" xfId="6926" xr:uid="{105A5AFD-9485-490A-AC96-FC3A47BAB6C5}"/>
    <cellStyle name="Millares 2 4 4" xfId="3179" xr:uid="{B8D3F385-DAA3-40D6-89D3-697998AF9FA4}"/>
    <cellStyle name="Millares 2 4 4 2" xfId="8175" xr:uid="{D8070B53-4E56-480C-A9C9-D1A101244150}"/>
    <cellStyle name="Millares 2 4 5" xfId="5677" xr:uid="{54337478-81B1-4B00-97FE-C4017E400B09}"/>
    <cellStyle name="Millares 2 4 6" xfId="679" xr:uid="{16B164EB-AAAD-482C-A84E-C27EB0A2F5D0}"/>
    <cellStyle name="Millares 2 5" xfId="683" xr:uid="{5B7F0983-7EE9-415A-A8ED-C3012B8E7AC6}"/>
    <cellStyle name="Millares 2 5 2" xfId="1934" xr:uid="{BC80A9B2-4EA1-4975-B7C1-2DB141F46022}"/>
    <cellStyle name="Millares 2 5 2 2" xfId="4432" xr:uid="{0EB7F138-9EC4-4463-9F86-6679287BFA12}"/>
    <cellStyle name="Millares 2 5 2 2 2" xfId="9428" xr:uid="{7EBBE33B-7477-40B5-B589-706A763F88D7}"/>
    <cellStyle name="Millares 2 5 2 3" xfId="6930" xr:uid="{C190529C-7EDD-4281-82EC-B23589A5C559}"/>
    <cellStyle name="Millares 2 5 3" xfId="3183" xr:uid="{AF74D5A5-A726-40BC-B92A-656676C377FD}"/>
    <cellStyle name="Millares 2 5 3 2" xfId="8179" xr:uid="{60C52131-1CDE-48EB-A4C9-6590C8A01AFD}"/>
    <cellStyle name="Millares 2 5 4" xfId="5681" xr:uid="{7BB317D3-5CF7-4633-9B8C-13B67D53DFC7}"/>
    <cellStyle name="Millares 2 6" xfId="996" xr:uid="{9C101122-FF39-4AE1-9441-8911827E1F05}"/>
    <cellStyle name="Millares 2 6 2" xfId="2246" xr:uid="{49545B41-5A74-4573-903D-04898F10417F}"/>
    <cellStyle name="Millares 2 6 2 2" xfId="4744" xr:uid="{93D5F41C-F555-4CDC-AB6B-F0580139B1BC}"/>
    <cellStyle name="Millares 2 6 2 2 2" xfId="9740" xr:uid="{DF701166-C2D9-4EB7-86C5-3ED5260E79E0}"/>
    <cellStyle name="Millares 2 6 2 3" xfId="7242" xr:uid="{5A7EAC33-0BB7-4E41-A3D5-8473C6A38BB0}"/>
    <cellStyle name="Millares 2 6 3" xfId="3495" xr:uid="{81A7F16C-E8E5-42CC-8ACC-D425210AD271}"/>
    <cellStyle name="Millares 2 6 3 2" xfId="8491" xr:uid="{72405608-87B4-49C5-B4C3-B83E851BFF6B}"/>
    <cellStyle name="Millares 2 6 4" xfId="5993" xr:uid="{F0A155F7-4504-4A81-986C-43F086BF8B3E}"/>
    <cellStyle name="Millares 2 7" xfId="1308" xr:uid="{4B47D5D0-852F-4E5B-95F2-463CD9D78A4B}"/>
    <cellStyle name="Millares 2 7 2" xfId="2558" xr:uid="{9B83F98A-63FD-4859-BBBA-E8D038106C2F}"/>
    <cellStyle name="Millares 2 7 2 2" xfId="5056" xr:uid="{1D4A2FC5-ADB7-41C6-8E7B-05D8C5B1E5B9}"/>
    <cellStyle name="Millares 2 7 2 2 2" xfId="10052" xr:uid="{0C7C99B1-D0BE-41E8-B17B-57FC99691763}"/>
    <cellStyle name="Millares 2 7 2 3" xfId="7554" xr:uid="{7E21DFCD-52E4-4475-B1F7-D492F5BFC124}"/>
    <cellStyle name="Millares 2 7 3" xfId="3807" xr:uid="{E0F88FF7-F769-47F6-8872-1973947D6A1E}"/>
    <cellStyle name="Millares 2 7 3 2" xfId="8803" xr:uid="{CC5BBAFF-9453-4D80-83C7-5B6F9157D82A}"/>
    <cellStyle name="Millares 2 7 4" xfId="6305" xr:uid="{4B84100A-2F51-4BDA-ADA6-7914D8EDABBD}"/>
    <cellStyle name="Millares 2 8" xfId="1605" xr:uid="{5037346F-E082-47A7-BD43-CF528D4BEB87}"/>
    <cellStyle name="Millares 2 8 2" xfId="2854" xr:uid="{62C8447F-EB39-4C81-BBDD-492B00349EB9}"/>
    <cellStyle name="Millares 2 8 2 2" xfId="5352" xr:uid="{7AE4DDB5-9A50-4103-8B77-43375967AD95}"/>
    <cellStyle name="Millares 2 8 2 2 2" xfId="10348" xr:uid="{DDD6FBCF-9290-48A3-8F42-873941F40989}"/>
    <cellStyle name="Millares 2 8 2 3" xfId="7850" xr:uid="{C49A81F9-FB52-4DC1-9D4B-4892829AD71A}"/>
    <cellStyle name="Millares 2 8 3" xfId="4103" xr:uid="{C0058313-5B41-41BC-A8CD-FFC16F8E1E1B}"/>
    <cellStyle name="Millares 2 8 3 2" xfId="9099" xr:uid="{1C4A9593-BDD4-46BC-9C86-1CEA7695A819}"/>
    <cellStyle name="Millares 2 8 4" xfId="6601" xr:uid="{822B0FED-86F9-4BD0-AA6B-C98AE3226425}"/>
    <cellStyle name="Millares 2 9" xfId="1610" xr:uid="{99681B18-965E-45D7-955F-FA4D5391E6AA}"/>
    <cellStyle name="Millares 2 9 2" xfId="2859" xr:uid="{59174568-B2D8-45DF-AB19-B9AACCCACE4D}"/>
    <cellStyle name="Millares 2 9 2 2" xfId="5357" xr:uid="{974E7679-42D4-4C61-B551-F2B8FB7E9791}"/>
    <cellStyle name="Millares 2 9 2 2 2" xfId="10353" xr:uid="{87B03CB1-575C-4EB1-8BA7-E4B33B8FCD1C}"/>
    <cellStyle name="Millares 2 9 2 3" xfId="7855" xr:uid="{A0BB72F2-7D54-4E6B-BD78-D622515FBCA3}"/>
    <cellStyle name="Millares 2 9 3" xfId="4108" xr:uid="{A42404EA-399C-40D8-8374-ED2609F9EFF2}"/>
    <cellStyle name="Millares 2 9 3 2" xfId="9104" xr:uid="{2D952114-BF52-4F6F-8FCC-7595E762409B}"/>
    <cellStyle name="Millares 2 9 4" xfId="6606" xr:uid="{592D3D7F-3F6A-44D3-BE8B-9A279774D496}"/>
    <cellStyle name="Millares 20" xfId="1624" xr:uid="{AC3AD043-0305-4846-BF5B-65CDC9A6CACE}"/>
    <cellStyle name="Millares 20 2" xfId="2873" xr:uid="{3BB0BF36-D985-47CA-BBBD-01B48EF47226}"/>
    <cellStyle name="Millares 20 2 2" xfId="5371" xr:uid="{D0D501BF-57B6-4C91-B5ED-37B31E15E4A6}"/>
    <cellStyle name="Millares 20 2 2 2" xfId="10367" xr:uid="{F2E119E2-FE31-4839-B9DE-CE479156EC81}"/>
    <cellStyle name="Millares 20 2 3" xfId="7869" xr:uid="{7E4C2DCB-4080-4D46-85E9-CE78F887DEAB}"/>
    <cellStyle name="Millares 20 3" xfId="4122" xr:uid="{A5E237B0-889B-4401-911D-302E3DBAB544}"/>
    <cellStyle name="Millares 20 3 2" xfId="9118" xr:uid="{1C183919-8259-415E-A119-6322332ED586}"/>
    <cellStyle name="Millares 20 4" xfId="6620" xr:uid="{5BCF4117-0009-4B36-B406-252E97AEE318}"/>
    <cellStyle name="Millares 21" xfId="1629" xr:uid="{80AC629C-9C9A-429E-B16E-84124157C1AF}"/>
    <cellStyle name="Millares 21 2" xfId="2878" xr:uid="{0EBA61FE-7610-4F13-A6EC-8B6B8C04DAAB}"/>
    <cellStyle name="Millares 21 2 2" xfId="5376" xr:uid="{E2B7F57F-E187-4FA3-A1B8-C2A91C77C6DC}"/>
    <cellStyle name="Millares 21 2 2 2" xfId="10372" xr:uid="{5231A644-605A-4D28-9F65-13A82BFEF136}"/>
    <cellStyle name="Millares 21 2 3" xfId="7874" xr:uid="{F5185B11-8827-4C9C-B477-3141BF13BEFB}"/>
    <cellStyle name="Millares 21 3" xfId="4127" xr:uid="{5FFEFBBB-36F9-4AA6-B45D-7426A690F7D3}"/>
    <cellStyle name="Millares 21 3 2" xfId="9123" xr:uid="{8648DB83-8AC0-48DF-A18D-C31283EFB327}"/>
    <cellStyle name="Millares 21 4" xfId="6625" xr:uid="{0242B45B-AE8A-47B1-896F-C513FACF940F}"/>
    <cellStyle name="Millares 22" xfId="1634" xr:uid="{C0C27C54-62E2-4C0B-8C10-999FAD112057}"/>
    <cellStyle name="Millares 22 2" xfId="2883" xr:uid="{0E0437E0-F88D-4466-B09A-AAA0EA7E50C8}"/>
    <cellStyle name="Millares 22 2 2" xfId="5381" xr:uid="{582D3301-644D-454F-83DC-CB921DAD4BCC}"/>
    <cellStyle name="Millares 22 2 2 2" xfId="10377" xr:uid="{BD090E46-FE90-4AD0-A71E-E02A37051686}"/>
    <cellStyle name="Millares 22 2 3" xfId="7879" xr:uid="{9F3A6C0A-9251-4296-9258-115CB7AA0C70}"/>
    <cellStyle name="Millares 22 3" xfId="4132" xr:uid="{DD03EF8C-A616-4FBC-9ECB-9CD8065187DB}"/>
    <cellStyle name="Millares 22 3 2" xfId="9128" xr:uid="{F45A2978-2EE6-4FEC-BDAF-CBB2C4752391}"/>
    <cellStyle name="Millares 22 4" xfId="6630" xr:uid="{ABD3B8D0-5362-4A0E-9DC4-F2EA7563A9D2}"/>
    <cellStyle name="Millares 23" xfId="1638" xr:uid="{5B7F9324-00BF-4212-B412-F1DABBF13CEC}"/>
    <cellStyle name="Millares 23 2" xfId="4136" xr:uid="{D160D3E4-7C7B-4531-A91C-78915088687C}"/>
    <cellStyle name="Millares 23 2 2" xfId="9132" xr:uid="{507B0C79-E17B-45A7-B0C0-721CE2F9AA87}"/>
    <cellStyle name="Millares 23 3" xfId="6634" xr:uid="{470CA4E1-9DE5-4ED7-ABBC-F2A5704C5C7B}"/>
    <cellStyle name="Millares 24" xfId="2887" xr:uid="{2A460EC7-4B7C-4716-95C9-80872CF43BEF}"/>
    <cellStyle name="Millares 24 2" xfId="7883" xr:uid="{1C18369F-CE9E-4BE2-A51C-2ADDD9C5EC91}"/>
    <cellStyle name="Millares 25" xfId="5385" xr:uid="{5DA46C39-8ED2-45B0-BBEC-BCDD853E9DEE}"/>
    <cellStyle name="Millares 26" xfId="387" xr:uid="{7655B65B-0F3C-4B09-A9EE-817681213A5B}"/>
    <cellStyle name="Millares 3" xfId="14" xr:uid="{00000000-0005-0000-0000-000002000000}"/>
    <cellStyle name="Millares 3 10" xfId="1641" xr:uid="{0A2D223D-D715-479C-9744-A11DAE1E5331}"/>
    <cellStyle name="Millares 3 10 2" xfId="4139" xr:uid="{196681ED-D289-462C-B4C7-7385E7418209}"/>
    <cellStyle name="Millares 3 10 2 2" xfId="9135" xr:uid="{8D37B93A-548C-4009-B7E6-21975B45617A}"/>
    <cellStyle name="Millares 3 10 3" xfId="6637" xr:uid="{764E6E94-F77E-4FA4-A502-1AB067A414F0}"/>
    <cellStyle name="Millares 3 11" xfId="2890" xr:uid="{4C349CD6-657C-4CCE-AC54-2D052F718B73}"/>
    <cellStyle name="Millares 3 11 2" xfId="7886" xr:uid="{5065D535-2D2A-41B5-87D3-40DCFCECD453}"/>
    <cellStyle name="Millares 3 12" xfId="5388" xr:uid="{E3FC2239-81DC-48D4-BB56-EC38E974476F}"/>
    <cellStyle name="Millares 3 13" xfId="390" xr:uid="{0B28AFFF-091C-4E52-A4A7-E4887FAE4D81}"/>
    <cellStyle name="Millares 3 2" xfId="58" xr:uid="{14C23DF8-A238-4F8A-81CB-9EC45B38EA13}"/>
    <cellStyle name="Millares 3 2 10" xfId="5412" xr:uid="{34D4CD0A-92BD-466A-ADA4-11DB20DE9311}"/>
    <cellStyle name="Millares 3 2 11" xfId="414" xr:uid="{384B1EB5-5B0E-4ECA-B262-69067BC7E3B7}"/>
    <cellStyle name="Millares 3 2 2" xfId="143" xr:uid="{2F1DF41C-9952-4508-9990-F659E89FC4DC}"/>
    <cellStyle name="Millares 3 2 2 10" xfId="418" xr:uid="{91781E2E-2A95-4CCB-B431-F7E9F29B5D67}"/>
    <cellStyle name="Millares 3 2 2 2" xfId="144" xr:uid="{0A6C2DB1-0C38-466C-97DD-CC505AFF3A41}"/>
    <cellStyle name="Millares 3 2 2 2 2" xfId="145" xr:uid="{3F341708-6EC7-4D07-811C-27D02B8E0408}"/>
    <cellStyle name="Millares 3 2 2 2 2 2" xfId="766" xr:uid="{3E6C0D19-2469-4A0A-8D4E-63F88F2E1693}"/>
    <cellStyle name="Millares 3 2 2 2 2 2 2" xfId="2017" xr:uid="{36AE51B8-D2C1-4803-B1B8-8A5995BD3406}"/>
    <cellStyle name="Millares 3 2 2 2 2 2 2 2" xfId="4515" xr:uid="{2F55B3AF-C0DE-41BC-94AE-3A25131E8C5A}"/>
    <cellStyle name="Millares 3 2 2 2 2 2 2 2 2" xfId="9511" xr:uid="{2A1588C5-6817-4586-A60D-6179942B606E}"/>
    <cellStyle name="Millares 3 2 2 2 2 2 2 3" xfId="7013" xr:uid="{EE0A40A7-961C-49A4-810F-EEE53150DA49}"/>
    <cellStyle name="Millares 3 2 2 2 2 2 3" xfId="3266" xr:uid="{663E4DA5-2B77-4F22-864D-E79C7BD1F6BC}"/>
    <cellStyle name="Millares 3 2 2 2 2 2 3 2" xfId="8262" xr:uid="{6F1918E7-0BCE-46A8-A97B-E83453BAA161}"/>
    <cellStyle name="Millares 3 2 2 2 2 2 4" xfId="5764" xr:uid="{8D7296B6-DDDB-4187-9012-46E3D15F2618}"/>
    <cellStyle name="Millares 3 2 2 2 2 3" xfId="1079" xr:uid="{D0839095-ADB7-4ACC-AB78-5EE3A078D759}"/>
    <cellStyle name="Millares 3 2 2 2 2 3 2" xfId="2329" xr:uid="{2CC351D0-F8B1-4293-B18A-678A30C305E6}"/>
    <cellStyle name="Millares 3 2 2 2 2 3 2 2" xfId="4827" xr:uid="{55D47715-E620-4663-9006-D11E4F47B6C8}"/>
    <cellStyle name="Millares 3 2 2 2 2 3 2 2 2" xfId="9823" xr:uid="{BAF104BB-EDE6-4040-B638-E34651200A64}"/>
    <cellStyle name="Millares 3 2 2 2 2 3 2 3" xfId="7325" xr:uid="{1FBB7F12-E25B-42BB-A3DC-78B7E49E73FD}"/>
    <cellStyle name="Millares 3 2 2 2 2 3 3" xfId="3578" xr:uid="{81BF0E7A-43C6-43C5-8F4F-E130421D1FC7}"/>
    <cellStyle name="Millares 3 2 2 2 2 3 3 2" xfId="8574" xr:uid="{1EF9C882-C2CB-46F2-BC66-095DC8350CA9}"/>
    <cellStyle name="Millares 3 2 2 2 2 3 4" xfId="6076" xr:uid="{AD6717FE-B734-46A3-9BFD-023D5F3DD555}"/>
    <cellStyle name="Millares 3 2 2 2 2 4" xfId="1456" xr:uid="{311909E2-26DF-4992-BE7A-A88ECD5D029E}"/>
    <cellStyle name="Millares 3 2 2 2 2 4 2" xfId="2706" xr:uid="{3DAF0DE6-73D5-4FEB-9A14-09CFD233642C}"/>
    <cellStyle name="Millares 3 2 2 2 2 4 2 2" xfId="5204" xr:uid="{6F9211AD-8D99-4837-BA99-E63655662F3A}"/>
    <cellStyle name="Millares 3 2 2 2 2 4 2 2 2" xfId="10200" xr:uid="{0E53B980-FCD8-480F-AB3C-9EF09BAE9EBF}"/>
    <cellStyle name="Millares 3 2 2 2 2 4 2 3" xfId="7702" xr:uid="{64E9B9FD-C956-4D35-88EC-0A749A9A7424}"/>
    <cellStyle name="Millares 3 2 2 2 2 4 3" xfId="3955" xr:uid="{5A736481-620D-4B2A-9974-8084B4A9B9BA}"/>
    <cellStyle name="Millares 3 2 2 2 2 4 3 2" xfId="8951" xr:uid="{46F260E1-BB4F-4108-BBC8-3E46AAD25031}"/>
    <cellStyle name="Millares 3 2 2 2 2 4 4" xfId="6453" xr:uid="{73BC4AEB-7F1B-44C6-BBBA-B4F24E1CBDB6}"/>
    <cellStyle name="Millares 3 2 2 2 2 5" xfId="1787" xr:uid="{36A167A6-341D-401A-9571-E6537EA00A11}"/>
    <cellStyle name="Millares 3 2 2 2 2 5 2" xfId="4285" xr:uid="{2EDD3B3E-9808-45B7-9B56-94E0C81EDC52}"/>
    <cellStyle name="Millares 3 2 2 2 2 5 2 2" xfId="9281" xr:uid="{98D39155-D125-4B31-BC18-1C8EA59DA9A5}"/>
    <cellStyle name="Millares 3 2 2 2 2 5 3" xfId="6783" xr:uid="{F5BF49E7-67F2-4081-B3B0-A211F146ECA2}"/>
    <cellStyle name="Millares 3 2 2 2 2 6" xfId="3036" xr:uid="{CF484750-2A51-4FE8-99C9-BEF1C41824E2}"/>
    <cellStyle name="Millares 3 2 2 2 2 6 2" xfId="8032" xr:uid="{4A75A782-A5CE-4B6E-8278-1C55577F3C3B}"/>
    <cellStyle name="Millares 3 2 2 2 2 7" xfId="5534" xr:uid="{97DB4E7C-4BF5-4D97-86ED-3984E0A620E2}"/>
    <cellStyle name="Millares 3 2 2 2 2 8" xfId="536" xr:uid="{488CC3D7-3797-494D-8075-30E1035B478F}"/>
    <cellStyle name="Millares 3 2 2 2 3" xfId="765" xr:uid="{C33DD590-94F9-48A3-8C1A-6A57B97FEC82}"/>
    <cellStyle name="Millares 3 2 2 2 3 2" xfId="2016" xr:uid="{495E6DF7-6E23-4A5C-8A7E-719D80462160}"/>
    <cellStyle name="Millares 3 2 2 2 3 2 2" xfId="4514" xr:uid="{E256EEE8-6C77-4980-A359-C9D34B0AB540}"/>
    <cellStyle name="Millares 3 2 2 2 3 2 2 2" xfId="9510" xr:uid="{8F4A4EC8-8330-4738-93D5-7B3E5A76C9A9}"/>
    <cellStyle name="Millares 3 2 2 2 3 2 3" xfId="7012" xr:uid="{BFFA60ED-3F3A-43A5-AF1F-71A9DD48FA07}"/>
    <cellStyle name="Millares 3 2 2 2 3 3" xfId="3265" xr:uid="{94D70F2D-0D24-437F-8D5E-AB35CC59FF83}"/>
    <cellStyle name="Millares 3 2 2 2 3 3 2" xfId="8261" xr:uid="{B0F11BB5-87CF-4406-9401-D98150C965CB}"/>
    <cellStyle name="Millares 3 2 2 2 3 4" xfId="5763" xr:uid="{40DAB559-FAE6-4DB1-9A16-5533BFB03A67}"/>
    <cellStyle name="Millares 3 2 2 2 4" xfId="1078" xr:uid="{3C5A06B0-BE56-4101-8CE6-FD08273DFA2B}"/>
    <cellStyle name="Millares 3 2 2 2 4 2" xfId="2328" xr:uid="{9FA817E6-63B8-4D02-ABAA-CB5A11D7B798}"/>
    <cellStyle name="Millares 3 2 2 2 4 2 2" xfId="4826" xr:uid="{D5D95385-F4B2-467D-A276-B91ED64EAC12}"/>
    <cellStyle name="Millares 3 2 2 2 4 2 2 2" xfId="9822" xr:uid="{25275791-DE06-4314-AEA4-DD1BEE7D5059}"/>
    <cellStyle name="Millares 3 2 2 2 4 2 3" xfId="7324" xr:uid="{1340C4FF-A688-49F1-A283-66F2E22DD106}"/>
    <cellStyle name="Millares 3 2 2 2 4 3" xfId="3577" xr:uid="{3396E001-DCFC-41C6-86B3-4A0C965CE179}"/>
    <cellStyle name="Millares 3 2 2 2 4 3 2" xfId="8573" xr:uid="{A0031617-6B88-47B5-94F9-C8BCAFD53974}"/>
    <cellStyle name="Millares 3 2 2 2 4 4" xfId="6075" xr:uid="{9A91FED5-A8EC-4090-A8E6-D043B7A7E021}"/>
    <cellStyle name="Millares 3 2 2 2 5" xfId="1342" xr:uid="{A23BC84F-04CC-4ED5-A74E-1897A8218264}"/>
    <cellStyle name="Millares 3 2 2 2 5 2" xfId="2592" xr:uid="{9CCBD697-F863-46AC-B688-B58B7B548BBF}"/>
    <cellStyle name="Millares 3 2 2 2 5 2 2" xfId="5090" xr:uid="{342463F9-C95F-40FB-821E-BAEF1E352964}"/>
    <cellStyle name="Millares 3 2 2 2 5 2 2 2" xfId="10086" xr:uid="{70E504F5-5F7E-49A7-9A54-6E8234D6D078}"/>
    <cellStyle name="Millares 3 2 2 2 5 2 3" xfId="7588" xr:uid="{05D21674-B3D4-4675-8DA3-DD236F4055CC}"/>
    <cellStyle name="Millares 3 2 2 2 5 3" xfId="3841" xr:uid="{8AC727EF-4F00-4926-A604-FB14ADA20615}"/>
    <cellStyle name="Millares 3 2 2 2 5 3 2" xfId="8837" xr:uid="{78351A9E-77FB-4036-A0D0-811C7AC42B2B}"/>
    <cellStyle name="Millares 3 2 2 2 5 4" xfId="6339" xr:uid="{8B657A05-CC23-4BC3-BEB7-1E63D8D6511B}"/>
    <cellStyle name="Millares 3 2 2 2 6" xfId="1673" xr:uid="{2FF7CDBC-93B6-4CDD-856A-81137BE2A91E}"/>
    <cellStyle name="Millares 3 2 2 2 6 2" xfId="4171" xr:uid="{E350969E-C445-46C2-AE15-61D8FCEC2193}"/>
    <cellStyle name="Millares 3 2 2 2 6 2 2" xfId="9167" xr:uid="{7E9C61E9-3F32-4517-9A37-9C412E625703}"/>
    <cellStyle name="Millares 3 2 2 2 6 3" xfId="6669" xr:uid="{1970F901-8DEE-4E3E-912E-B26B8553F573}"/>
    <cellStyle name="Millares 3 2 2 2 7" xfId="2922" xr:uid="{317D2A5B-F98C-42D5-AEA6-203272F153DE}"/>
    <cellStyle name="Millares 3 2 2 2 7 2" xfId="7918" xr:uid="{B60B5DDC-CE1C-4F65-8E25-1F9077E18325}"/>
    <cellStyle name="Millares 3 2 2 2 8" xfId="5420" xr:uid="{45ACE056-9B00-481A-83C1-99792B62C2C9}"/>
    <cellStyle name="Millares 3 2 2 2 9" xfId="422" xr:uid="{7D051025-52B5-4709-BDC0-01700AE4D874}"/>
    <cellStyle name="Millares 3 2 2 3" xfId="146" xr:uid="{30118174-8D8E-4BB5-B036-A1D01037CBEF}"/>
    <cellStyle name="Millares 3 2 2 3 2" xfId="767" xr:uid="{44A3A32C-C633-49A2-86C8-F4FCA8032BED}"/>
    <cellStyle name="Millares 3 2 2 3 2 2" xfId="2018" xr:uid="{34B677A2-A68D-4067-9D3D-924CE1718507}"/>
    <cellStyle name="Millares 3 2 2 3 2 2 2" xfId="4516" xr:uid="{98CC959F-5897-4D8D-BD31-EE3A8F9D9A3B}"/>
    <cellStyle name="Millares 3 2 2 3 2 2 2 2" xfId="9512" xr:uid="{68B247C5-0EFA-4CB3-98E6-1E1E81AA87F3}"/>
    <cellStyle name="Millares 3 2 2 3 2 2 3" xfId="7014" xr:uid="{C9CAC14A-44B6-43F8-A631-88B1027A13E1}"/>
    <cellStyle name="Millares 3 2 2 3 2 3" xfId="3267" xr:uid="{4DBC687E-BF71-4004-8470-B96E7E23CD6E}"/>
    <cellStyle name="Millares 3 2 2 3 2 3 2" xfId="8263" xr:uid="{7A2E2211-C3CF-494C-9E1A-5EEDD26A1F1A}"/>
    <cellStyle name="Millares 3 2 2 3 2 4" xfId="5765" xr:uid="{05C7B515-0EB2-47A7-B498-59EA577C9780}"/>
    <cellStyle name="Millares 3 2 2 3 3" xfId="1080" xr:uid="{04686C44-CE38-4E2C-85F3-B35A472BA098}"/>
    <cellStyle name="Millares 3 2 2 3 3 2" xfId="2330" xr:uid="{2EC4B8B8-7FC5-448F-B26B-2FBE413707A6}"/>
    <cellStyle name="Millares 3 2 2 3 3 2 2" xfId="4828" xr:uid="{2619EE2D-4975-448A-922C-284496C2ECE8}"/>
    <cellStyle name="Millares 3 2 2 3 3 2 2 2" xfId="9824" xr:uid="{E75E341C-3E57-4B78-9F29-43A968817FD2}"/>
    <cellStyle name="Millares 3 2 2 3 3 2 3" xfId="7326" xr:uid="{0FC8423B-3F87-42DA-ADFA-08D405EC21A1}"/>
    <cellStyle name="Millares 3 2 2 3 3 3" xfId="3579" xr:uid="{0845E702-D29E-49F3-BAE9-812719A1E0FA}"/>
    <cellStyle name="Millares 3 2 2 3 3 3 2" xfId="8575" xr:uid="{19162FF9-62B6-45DC-8E20-C803F5893A67}"/>
    <cellStyle name="Millares 3 2 2 3 3 4" xfId="6077" xr:uid="{29511110-7731-473B-9DC6-0F65CBE0AA78}"/>
    <cellStyle name="Millares 3 2 2 3 4" xfId="1455" xr:uid="{0CD20F16-CFA3-446B-92DD-91F01B3948E4}"/>
    <cellStyle name="Millares 3 2 2 3 4 2" xfId="2705" xr:uid="{86062B74-10DB-46AE-980C-C6F84F18DC51}"/>
    <cellStyle name="Millares 3 2 2 3 4 2 2" xfId="5203" xr:uid="{D4CC47B9-D338-487D-8E52-B4ED051CD040}"/>
    <cellStyle name="Millares 3 2 2 3 4 2 2 2" xfId="10199" xr:uid="{A74F3F4B-A21A-4D83-8144-544AE61D456A}"/>
    <cellStyle name="Millares 3 2 2 3 4 2 3" xfId="7701" xr:uid="{0ABBF616-EF53-4E15-9D93-0BF83BF3C829}"/>
    <cellStyle name="Millares 3 2 2 3 4 3" xfId="3954" xr:uid="{1AF4A903-AED8-4846-8CA4-6307B0CA6BBC}"/>
    <cellStyle name="Millares 3 2 2 3 4 3 2" xfId="8950" xr:uid="{A24188CD-8E8C-49AD-B977-AE9C1E594BD4}"/>
    <cellStyle name="Millares 3 2 2 3 4 4" xfId="6452" xr:uid="{3822BBA5-A8A9-4D4B-89A6-C6795ACE1CF5}"/>
    <cellStyle name="Millares 3 2 2 3 5" xfId="1786" xr:uid="{9565A972-59DF-4871-941F-3E521B6E3E84}"/>
    <cellStyle name="Millares 3 2 2 3 5 2" xfId="4284" xr:uid="{BE9ABCFA-EF87-49AF-BB3D-79D3B636E8F0}"/>
    <cellStyle name="Millares 3 2 2 3 5 2 2" xfId="9280" xr:uid="{285E8B09-B42D-49AF-975E-C2B0DEDB5AE8}"/>
    <cellStyle name="Millares 3 2 2 3 5 3" xfId="6782" xr:uid="{4C0FA446-74CC-41E3-957A-F7A1854B25AA}"/>
    <cellStyle name="Millares 3 2 2 3 6" xfId="3035" xr:uid="{B0FC775B-3EC0-48B9-A194-BF6EFD2841F1}"/>
    <cellStyle name="Millares 3 2 2 3 6 2" xfId="8031" xr:uid="{CFD06933-778C-4DF3-85EC-7464B5105DAA}"/>
    <cellStyle name="Millares 3 2 2 3 7" xfId="5533" xr:uid="{C498289D-8150-411F-85FD-B3267CCFDB9E}"/>
    <cellStyle name="Millares 3 2 2 3 8" xfId="535" xr:uid="{3210F54A-C770-47AA-9B46-694EF48B72AA}"/>
    <cellStyle name="Millares 3 2 2 4" xfId="764" xr:uid="{2313F57B-7B31-4938-9917-68BF3F1CA7C4}"/>
    <cellStyle name="Millares 3 2 2 4 2" xfId="2015" xr:uid="{8E693992-7EC1-4678-A4AD-4BBEE4F8C088}"/>
    <cellStyle name="Millares 3 2 2 4 2 2" xfId="4513" xr:uid="{7A57241B-E1C5-421A-9DAC-E6356BAC9818}"/>
    <cellStyle name="Millares 3 2 2 4 2 2 2" xfId="9509" xr:uid="{60E96B28-19A6-4F31-8006-5ED083E5C678}"/>
    <cellStyle name="Millares 3 2 2 4 2 3" xfId="7011" xr:uid="{E5482AF8-D72D-4469-8F48-2D33E8317AF7}"/>
    <cellStyle name="Millares 3 2 2 4 3" xfId="3264" xr:uid="{E0DBFB2D-A7D6-4AE5-A5B9-3AB7DBDE2F8F}"/>
    <cellStyle name="Millares 3 2 2 4 3 2" xfId="8260" xr:uid="{999309ED-0165-4701-B6E8-A4DB4E6CF1DA}"/>
    <cellStyle name="Millares 3 2 2 4 4" xfId="5762" xr:uid="{D3DE29AC-5C1B-4E68-9436-6FEAF2324D0F}"/>
    <cellStyle name="Millares 3 2 2 5" xfId="1077" xr:uid="{78BA69DD-16E8-41C7-8A44-C4AE302CFADD}"/>
    <cellStyle name="Millares 3 2 2 5 2" xfId="2327" xr:uid="{BA04938E-C599-437A-B3DB-F8D4A594A9AA}"/>
    <cellStyle name="Millares 3 2 2 5 2 2" xfId="4825" xr:uid="{AE11939F-1478-4849-9A94-1F9969834067}"/>
    <cellStyle name="Millares 3 2 2 5 2 2 2" xfId="9821" xr:uid="{3CAF0312-AE2B-4707-B110-B3482042C214}"/>
    <cellStyle name="Millares 3 2 2 5 2 3" xfId="7323" xr:uid="{C6930385-3ECD-4809-9AD8-F2ABE3AA49CB}"/>
    <cellStyle name="Millares 3 2 2 5 3" xfId="3576" xr:uid="{4F0562D2-05C5-4676-B9AA-1C4D51AD62B0}"/>
    <cellStyle name="Millares 3 2 2 5 3 2" xfId="8572" xr:uid="{38B95534-0702-4A72-9E31-06FA322933A5}"/>
    <cellStyle name="Millares 3 2 2 5 4" xfId="6074" xr:uid="{BDA47BB0-5425-49B8-9E77-215746F5E522}"/>
    <cellStyle name="Millares 3 2 2 6" xfId="1338" xr:uid="{AA4F7CC6-B538-442B-83DC-4C1BA7CF83BD}"/>
    <cellStyle name="Millares 3 2 2 6 2" xfId="2588" xr:uid="{684662AF-30EF-4866-95BF-055660316A5C}"/>
    <cellStyle name="Millares 3 2 2 6 2 2" xfId="5086" xr:uid="{4C6E1E1E-24F6-419C-9A47-AB9A80DA0EAF}"/>
    <cellStyle name="Millares 3 2 2 6 2 2 2" xfId="10082" xr:uid="{8A32540A-5B4E-44D0-AD95-5EC51C494B91}"/>
    <cellStyle name="Millares 3 2 2 6 2 3" xfId="7584" xr:uid="{DC990517-BF97-4CB4-A217-94044F5D7C5A}"/>
    <cellStyle name="Millares 3 2 2 6 3" xfId="3837" xr:uid="{7849B589-95C9-4D0B-B1A7-AFF4C271446C}"/>
    <cellStyle name="Millares 3 2 2 6 3 2" xfId="8833" xr:uid="{8518EDDF-122B-4352-91CA-EC3FC2B13A0E}"/>
    <cellStyle name="Millares 3 2 2 6 4" xfId="6335" xr:uid="{A7DF62FF-FBB7-4A78-911B-0B133E5DC4D2}"/>
    <cellStyle name="Millares 3 2 2 7" xfId="1669" xr:uid="{CE623009-0C61-4D18-B5D6-77C2CB929FBF}"/>
    <cellStyle name="Millares 3 2 2 7 2" xfId="4167" xr:uid="{83E0FF35-E1F0-43E3-A333-5E9ADE1F780C}"/>
    <cellStyle name="Millares 3 2 2 7 2 2" xfId="9163" xr:uid="{31037AF3-8B28-4B6D-B872-E54AF32C3CF5}"/>
    <cellStyle name="Millares 3 2 2 7 3" xfId="6665" xr:uid="{1CA7C213-3508-44FC-A9BA-29E848F3E3DA}"/>
    <cellStyle name="Millares 3 2 2 8" xfId="2918" xr:uid="{EC9BA70B-784C-47B9-9F7B-C27FBC5009F9}"/>
    <cellStyle name="Millares 3 2 2 8 2" xfId="7914" xr:uid="{DA8AD179-CDF3-4D76-81A7-2480D4AF4C8A}"/>
    <cellStyle name="Millares 3 2 2 9" xfId="5416" xr:uid="{EB0D2066-664A-4223-9181-4FC2075D2742}"/>
    <cellStyle name="Millares 3 2 3" xfId="147" xr:uid="{D66CC07F-857B-4A4E-8AF4-C390238D649C}"/>
    <cellStyle name="Millares 3 2 3 2" xfId="148" xr:uid="{D7AC373D-B880-4C97-9063-3C8F7AF1D441}"/>
    <cellStyle name="Millares 3 2 3 2 2" xfId="769" xr:uid="{22D3BBA5-B279-4855-9974-E08D80065B54}"/>
    <cellStyle name="Millares 3 2 3 2 2 2" xfId="2020" xr:uid="{A6CB716F-28A9-4A76-9DAA-0B6D05496325}"/>
    <cellStyle name="Millares 3 2 3 2 2 2 2" xfId="4518" xr:uid="{81BD18C9-4D26-45DC-A432-2B5C65AFF946}"/>
    <cellStyle name="Millares 3 2 3 2 2 2 2 2" xfId="9514" xr:uid="{4DD18BD9-67CC-48E1-811C-C73CD97082E7}"/>
    <cellStyle name="Millares 3 2 3 2 2 2 3" xfId="7016" xr:uid="{1D476554-8DD2-4F58-86F7-62C5B41E774E}"/>
    <cellStyle name="Millares 3 2 3 2 2 3" xfId="3269" xr:uid="{1C2D3BDE-347B-4C76-B282-DEE760C9A4F2}"/>
    <cellStyle name="Millares 3 2 3 2 2 3 2" xfId="8265" xr:uid="{6F89FCD2-BB3C-4018-A599-B917D4A5EA3D}"/>
    <cellStyle name="Millares 3 2 3 2 2 4" xfId="5767" xr:uid="{B656550B-522A-417E-9665-54DD5D93BBD6}"/>
    <cellStyle name="Millares 3 2 3 2 3" xfId="1082" xr:uid="{7FB53F7E-8B95-4E7E-B17B-93405EA65A77}"/>
    <cellStyle name="Millares 3 2 3 2 3 2" xfId="2332" xr:uid="{B6A4EB47-E09F-47FE-8594-F20C607C9EBE}"/>
    <cellStyle name="Millares 3 2 3 2 3 2 2" xfId="4830" xr:uid="{45F501E0-0115-4C8B-A645-EDEF1B76D190}"/>
    <cellStyle name="Millares 3 2 3 2 3 2 2 2" xfId="9826" xr:uid="{33CBE62C-5D90-49E1-A0BA-C6B5FA155EE5}"/>
    <cellStyle name="Millares 3 2 3 2 3 2 3" xfId="7328" xr:uid="{804A7C03-2997-4E54-A615-FB3A3F566C29}"/>
    <cellStyle name="Millares 3 2 3 2 3 3" xfId="3581" xr:uid="{C705430C-06F2-4805-96CF-480353D56AF9}"/>
    <cellStyle name="Millares 3 2 3 2 3 3 2" xfId="8577" xr:uid="{23042AA0-D8F1-48F8-82BC-2732F62A40C5}"/>
    <cellStyle name="Millares 3 2 3 2 3 4" xfId="6079" xr:uid="{E0826BAD-95FB-4CC6-ACAC-9CF0350AB6B9}"/>
    <cellStyle name="Millares 3 2 3 2 4" xfId="1457" xr:uid="{5A5B7068-E42C-4AE9-BB10-7E2F95F66F99}"/>
    <cellStyle name="Millares 3 2 3 2 4 2" xfId="2707" xr:uid="{4ADBF003-1088-44B0-863E-6A190A520CF3}"/>
    <cellStyle name="Millares 3 2 3 2 4 2 2" xfId="5205" xr:uid="{0B74AFE4-0C40-477A-82C2-5A847467FE5B}"/>
    <cellStyle name="Millares 3 2 3 2 4 2 2 2" xfId="10201" xr:uid="{7F7440A1-A89B-430D-A1D8-1201DD73E8FE}"/>
    <cellStyle name="Millares 3 2 3 2 4 2 3" xfId="7703" xr:uid="{ED38D10C-DB2D-4BF1-8389-85C43824022F}"/>
    <cellStyle name="Millares 3 2 3 2 4 3" xfId="3956" xr:uid="{FC51E5DA-5675-4638-BBBC-38AC6E3764E5}"/>
    <cellStyle name="Millares 3 2 3 2 4 3 2" xfId="8952" xr:uid="{7BF194C4-BC76-480B-B143-3E706B8AB88D}"/>
    <cellStyle name="Millares 3 2 3 2 4 4" xfId="6454" xr:uid="{355F8851-C88A-473F-80C6-9AFF73934056}"/>
    <cellStyle name="Millares 3 2 3 2 5" xfId="1788" xr:uid="{3C2972A1-1172-46C3-91AC-C85A7B9D989A}"/>
    <cellStyle name="Millares 3 2 3 2 5 2" xfId="4286" xr:uid="{7BC4346B-2A2B-41FB-BFC9-B7BD8827C3B6}"/>
    <cellStyle name="Millares 3 2 3 2 5 2 2" xfId="9282" xr:uid="{49E62FDB-4CE6-43F7-AD94-F8B2910A4325}"/>
    <cellStyle name="Millares 3 2 3 2 5 3" xfId="6784" xr:uid="{AA84F779-F729-47EC-AC2B-28C43EB1B1AA}"/>
    <cellStyle name="Millares 3 2 3 2 6" xfId="3037" xr:uid="{C5DBA4AB-2F6C-4FDC-B4D5-B3701C5FC922}"/>
    <cellStyle name="Millares 3 2 3 2 6 2" xfId="8033" xr:uid="{4D0DD5EF-5726-46A5-A5BA-4DA5A4F99324}"/>
    <cellStyle name="Millares 3 2 3 2 7" xfId="5535" xr:uid="{18E52053-A586-4E05-9225-CC4C99DD631C}"/>
    <cellStyle name="Millares 3 2 3 2 8" xfId="537" xr:uid="{FFAF2467-7230-40B6-8B12-D14D8BCBC247}"/>
    <cellStyle name="Millares 3 2 3 3" xfId="768" xr:uid="{69EA47E8-08F1-46D3-B67E-2A8FD9BC4479}"/>
    <cellStyle name="Millares 3 2 3 3 2" xfId="2019" xr:uid="{22F09411-C5C0-4F57-B841-7CC316B56EEE}"/>
    <cellStyle name="Millares 3 2 3 3 2 2" xfId="4517" xr:uid="{1C673DED-65B5-4D2F-97EF-B7B32A67117D}"/>
    <cellStyle name="Millares 3 2 3 3 2 2 2" xfId="9513" xr:uid="{0B0256F5-8D5C-4A63-B94F-DF575385B114}"/>
    <cellStyle name="Millares 3 2 3 3 2 3" xfId="7015" xr:uid="{6CDE1E9E-1B24-4882-9941-40E60A018748}"/>
    <cellStyle name="Millares 3 2 3 3 3" xfId="3268" xr:uid="{7A9C2949-7559-4223-8768-780FB07942D6}"/>
    <cellStyle name="Millares 3 2 3 3 3 2" xfId="8264" xr:uid="{DA89CF2D-95F6-451F-A261-7B2742DF22A9}"/>
    <cellStyle name="Millares 3 2 3 3 4" xfId="5766" xr:uid="{E4429082-E051-4138-AB1A-5A4892B7B852}"/>
    <cellStyle name="Millares 3 2 3 4" xfId="1081" xr:uid="{CE016850-EB9F-4689-9CA4-FBB1266F7BBF}"/>
    <cellStyle name="Millares 3 2 3 4 2" xfId="2331" xr:uid="{1771EE93-5165-457A-B9F9-3FC9442D82D2}"/>
    <cellStyle name="Millares 3 2 3 4 2 2" xfId="4829" xr:uid="{91BAEB84-0865-4483-A784-706BB03A7BDD}"/>
    <cellStyle name="Millares 3 2 3 4 2 2 2" xfId="9825" xr:uid="{8B6D1314-CDB3-4CF4-8172-4395B5911A9C}"/>
    <cellStyle name="Millares 3 2 3 4 2 3" xfId="7327" xr:uid="{E71BDEA1-5847-444F-B9C5-21089A3EF335}"/>
    <cellStyle name="Millares 3 2 3 4 3" xfId="3580" xr:uid="{CC275401-249C-4D40-A1EE-8F7B93AC3029}"/>
    <cellStyle name="Millares 3 2 3 4 3 2" xfId="8576" xr:uid="{5809D126-1379-4704-B28C-3C3D47ED5AD1}"/>
    <cellStyle name="Millares 3 2 3 4 4" xfId="6078" xr:uid="{BA23F2B5-5CE0-4FCF-8C95-B5AEEC5F0FC1}"/>
    <cellStyle name="Millares 3 2 3 5" xfId="1373" xr:uid="{B9AFC8BA-1307-463D-8646-89CE3F5E3F7A}"/>
    <cellStyle name="Millares 3 2 3 5 2" xfId="2623" xr:uid="{FE6676E5-C401-43C4-970B-EF4E08295A92}"/>
    <cellStyle name="Millares 3 2 3 5 2 2" xfId="5121" xr:uid="{CF818B6F-A6C1-42BC-A270-2D971AD2B6E5}"/>
    <cellStyle name="Millares 3 2 3 5 2 2 2" xfId="10117" xr:uid="{E3E13A1D-63C3-4A6B-8347-731C911CD678}"/>
    <cellStyle name="Millares 3 2 3 5 2 3" xfId="7619" xr:uid="{90B4512C-C5DF-4027-9B3B-FF1E98E8325F}"/>
    <cellStyle name="Millares 3 2 3 5 3" xfId="3872" xr:uid="{50B6DE90-A204-4B56-B5FA-8D7F7698A77A}"/>
    <cellStyle name="Millares 3 2 3 5 3 2" xfId="8868" xr:uid="{3D56AC63-DAAB-484E-98D6-F4E3E443CCB6}"/>
    <cellStyle name="Millares 3 2 3 5 4" xfId="6370" xr:uid="{FF574B6E-4B3D-4555-B3AF-C98E7DC5BA8C}"/>
    <cellStyle name="Millares 3 2 3 6" xfId="1704" xr:uid="{4073DAEE-369E-477F-A5C9-010781BFC7F7}"/>
    <cellStyle name="Millares 3 2 3 6 2" xfId="4202" xr:uid="{31B118B4-683E-4CE0-A8AE-D5118CC1C027}"/>
    <cellStyle name="Millares 3 2 3 6 2 2" xfId="9198" xr:uid="{A840DA9B-C561-4A22-B223-905AE2BAEF41}"/>
    <cellStyle name="Millares 3 2 3 6 3" xfId="6700" xr:uid="{CE694B7E-E084-4A5F-880D-5F96EBFBC8A7}"/>
    <cellStyle name="Millares 3 2 3 7" xfId="2953" xr:uid="{321BFC95-B220-4A41-BE4A-DFF4CA65A5C2}"/>
    <cellStyle name="Millares 3 2 3 7 2" xfId="7949" xr:uid="{086F0E33-2AB3-47AE-8BBB-DAEB168340BF}"/>
    <cellStyle name="Millares 3 2 3 8" xfId="5451" xr:uid="{88D3E42C-CAE4-4370-BCAF-76018B813EB5}"/>
    <cellStyle name="Millares 3 2 3 9" xfId="453" xr:uid="{FCE38F8A-6C61-41BA-A69C-3663D154E948}"/>
    <cellStyle name="Millares 3 2 4" xfId="149" xr:uid="{9D1F5199-8F24-4ECC-83EA-840D6FA1D93E}"/>
    <cellStyle name="Millares 3 2 4 2" xfId="770" xr:uid="{55D3E6F8-1CA4-4EEA-9F8F-4F8A9BF41CCF}"/>
    <cellStyle name="Millares 3 2 4 2 2" xfId="2021" xr:uid="{D2F9C1C2-297C-47DC-B5B4-32A2F156712E}"/>
    <cellStyle name="Millares 3 2 4 2 2 2" xfId="4519" xr:uid="{56A1A217-FA29-499F-A07C-B54FAD555871}"/>
    <cellStyle name="Millares 3 2 4 2 2 2 2" xfId="9515" xr:uid="{C6EF06D9-5A2E-4AB8-AAA5-7675CE5C2F59}"/>
    <cellStyle name="Millares 3 2 4 2 2 3" xfId="7017" xr:uid="{412FE54C-0108-480B-96B2-DD0A86428667}"/>
    <cellStyle name="Millares 3 2 4 2 3" xfId="3270" xr:uid="{AA047E4F-5A71-4109-9752-0DC25D8746BE}"/>
    <cellStyle name="Millares 3 2 4 2 3 2" xfId="8266" xr:uid="{871E3532-A987-4B5D-A1E9-8AFFF536F575}"/>
    <cellStyle name="Millares 3 2 4 2 4" xfId="5768" xr:uid="{20C00352-332E-4721-9EE1-D1843B6D4B28}"/>
    <cellStyle name="Millares 3 2 4 3" xfId="1083" xr:uid="{3BB1C3F4-718B-4B17-890F-2C8552B87928}"/>
    <cellStyle name="Millares 3 2 4 3 2" xfId="2333" xr:uid="{ECC1C24C-3B50-46EE-8315-F4D5BFA22076}"/>
    <cellStyle name="Millares 3 2 4 3 2 2" xfId="4831" xr:uid="{F22988D2-0132-48CA-9608-B837ACC98D10}"/>
    <cellStyle name="Millares 3 2 4 3 2 2 2" xfId="9827" xr:uid="{9B46C5B3-0CDC-4392-ACEC-E68D92479D9D}"/>
    <cellStyle name="Millares 3 2 4 3 2 3" xfId="7329" xr:uid="{0D82E4CB-9A35-4ACC-A81A-C459787C1BB2}"/>
    <cellStyle name="Millares 3 2 4 3 3" xfId="3582" xr:uid="{2F93B289-9752-41A0-8210-E8753C821F9D}"/>
    <cellStyle name="Millares 3 2 4 3 3 2" xfId="8578" xr:uid="{E2BB50BB-5ECD-4390-95DD-5A42A5E1D55F}"/>
    <cellStyle name="Millares 3 2 4 3 4" xfId="6080" xr:uid="{ED89630F-A9D2-4C69-8943-42AC2404F740}"/>
    <cellStyle name="Millares 3 2 4 4" xfId="1454" xr:uid="{B5E99F15-C78E-4827-B282-3F29A19751E6}"/>
    <cellStyle name="Millares 3 2 4 4 2" xfId="2704" xr:uid="{AA786EC6-1067-4AF3-81C6-7FEA370B8C2B}"/>
    <cellStyle name="Millares 3 2 4 4 2 2" xfId="5202" xr:uid="{4A279F28-A96A-46A4-B876-1D35F75ABFDE}"/>
    <cellStyle name="Millares 3 2 4 4 2 2 2" xfId="10198" xr:uid="{B46BD89C-D0CD-4641-9556-3970A5B46398}"/>
    <cellStyle name="Millares 3 2 4 4 2 3" xfId="7700" xr:uid="{852FD7B4-019F-41BC-BF84-4D62F4035FAE}"/>
    <cellStyle name="Millares 3 2 4 4 3" xfId="3953" xr:uid="{80196BA4-5FBA-48E1-823B-C02C9E0C6971}"/>
    <cellStyle name="Millares 3 2 4 4 3 2" xfId="8949" xr:uid="{001CCD76-E944-4A39-AB49-BE0601946FFB}"/>
    <cellStyle name="Millares 3 2 4 4 4" xfId="6451" xr:uid="{71EC9AE6-04A1-4C4B-A872-B27561C59353}"/>
    <cellStyle name="Millares 3 2 4 5" xfId="1785" xr:uid="{DC89766E-04F5-4D20-AD01-11DF1AD40A5D}"/>
    <cellStyle name="Millares 3 2 4 5 2" xfId="4283" xr:uid="{12D60AEA-9522-46B4-BE3C-903458BE6445}"/>
    <cellStyle name="Millares 3 2 4 5 2 2" xfId="9279" xr:uid="{05D6B466-0DB2-4451-9B54-411B11157BE1}"/>
    <cellStyle name="Millares 3 2 4 5 3" xfId="6781" xr:uid="{7BAAF71A-A566-4C54-9631-1C36CDEDD114}"/>
    <cellStyle name="Millares 3 2 4 6" xfId="3034" xr:uid="{A9F2DF30-C7C9-496E-B88D-96D1C6869FBC}"/>
    <cellStyle name="Millares 3 2 4 6 2" xfId="8030" xr:uid="{B78838A7-B349-4790-B92B-970A2E29EF0C}"/>
    <cellStyle name="Millares 3 2 4 7" xfId="5532" xr:uid="{8C6C2C05-ECE2-45E0-893A-55A741D9D511}"/>
    <cellStyle name="Millares 3 2 4 8" xfId="534" xr:uid="{85D2E066-4C54-45B1-ACAA-1CA8BDEF5F76}"/>
    <cellStyle name="Millares 3 2 5" xfId="712" xr:uid="{3619F03B-5ED8-4B4D-A086-8FE1D7ECF987}"/>
    <cellStyle name="Millares 3 2 5 2" xfId="1963" xr:uid="{98DC95A4-DE6C-4C9C-B6A3-A48C85FE6AAD}"/>
    <cellStyle name="Millares 3 2 5 2 2" xfId="4461" xr:uid="{303B300A-16C6-40B1-8321-65A583CA4D6F}"/>
    <cellStyle name="Millares 3 2 5 2 2 2" xfId="9457" xr:uid="{F74E4617-6AF9-4595-AA8D-24DEDD07FB76}"/>
    <cellStyle name="Millares 3 2 5 2 3" xfId="6959" xr:uid="{C05A99A4-4E9C-4B9C-895B-2F9B51E7DCC7}"/>
    <cellStyle name="Millares 3 2 5 3" xfId="3212" xr:uid="{2D15846C-D492-42E1-B9E5-A3414CD671B4}"/>
    <cellStyle name="Millares 3 2 5 3 2" xfId="8208" xr:uid="{7F4001C9-4906-45D5-B2CF-25EE1BE68560}"/>
    <cellStyle name="Millares 3 2 5 4" xfId="5710" xr:uid="{4A90C23C-A42B-43A6-AA1E-808DBD639178}"/>
    <cellStyle name="Millares 3 2 6" xfId="1025" xr:uid="{5D31F5E1-9EA9-4276-B1F0-D7F91E13423E}"/>
    <cellStyle name="Millares 3 2 6 2" xfId="2275" xr:uid="{A19456F0-7369-421F-8D0C-E1DA7FDFAC08}"/>
    <cellStyle name="Millares 3 2 6 2 2" xfId="4773" xr:uid="{A54242CD-4DE2-480B-9A53-FE9E18655E4A}"/>
    <cellStyle name="Millares 3 2 6 2 2 2" xfId="9769" xr:uid="{B8D92B7A-70C7-4976-9DA8-C71DDA85464B}"/>
    <cellStyle name="Millares 3 2 6 2 3" xfId="7271" xr:uid="{FA355C96-E456-4486-9B85-78B291F4778D}"/>
    <cellStyle name="Millares 3 2 6 3" xfId="3524" xr:uid="{E97EDE05-3ECF-4E3C-8197-9C55F5A52059}"/>
    <cellStyle name="Millares 3 2 6 3 2" xfId="8520" xr:uid="{51E7033E-7B51-46CD-8758-FDC7773C846F}"/>
    <cellStyle name="Millares 3 2 6 4" xfId="6022" xr:uid="{9BB7840E-104F-4D52-9C63-6272CA3B7910}"/>
    <cellStyle name="Millares 3 2 7" xfId="1334" xr:uid="{300D251B-FCD5-4494-9B94-F3404B91326C}"/>
    <cellStyle name="Millares 3 2 7 2" xfId="2584" xr:uid="{A468FEA6-454E-4E42-B541-E3D25C7207D8}"/>
    <cellStyle name="Millares 3 2 7 2 2" xfId="5082" xr:uid="{37AD4B36-7D32-4738-BD8D-B526A03FBB35}"/>
    <cellStyle name="Millares 3 2 7 2 2 2" xfId="10078" xr:uid="{8E05242A-1C5B-4758-BAD2-7B46E06D488F}"/>
    <cellStyle name="Millares 3 2 7 2 3" xfId="7580" xr:uid="{5DEC92DD-A635-4083-AB3A-5985239F2191}"/>
    <cellStyle name="Millares 3 2 7 3" xfId="3833" xr:uid="{438438CB-44A1-434D-AE7C-869C9EE03348}"/>
    <cellStyle name="Millares 3 2 7 3 2" xfId="8829" xr:uid="{C270169D-8EC9-4178-B77F-4C8EDF1E3BA2}"/>
    <cellStyle name="Millares 3 2 7 4" xfId="6331" xr:uid="{1A337F7D-1FBD-44F9-9A91-33B0C2F62531}"/>
    <cellStyle name="Millares 3 2 8" xfId="1665" xr:uid="{348ECDF1-C9E2-43EF-91CE-2CD1D7682C13}"/>
    <cellStyle name="Millares 3 2 8 2" xfId="4163" xr:uid="{7B806A7C-A256-41A5-9A52-079F296F8DA3}"/>
    <cellStyle name="Millares 3 2 8 2 2" xfId="9159" xr:uid="{ABFC5CA3-B300-4F3A-BC83-634F82E01821}"/>
    <cellStyle name="Millares 3 2 8 3" xfId="6661" xr:uid="{1D748EC7-F4A7-4AB6-90ED-5833D401532E}"/>
    <cellStyle name="Millares 3 2 9" xfId="2914" xr:uid="{3CAE0714-7FBB-40C5-8217-2F43BDC9CF5D}"/>
    <cellStyle name="Millares 3 2 9 2" xfId="7910" xr:uid="{667CF291-E2C9-48A6-A170-45057BFB1B7D}"/>
    <cellStyle name="Millares 3 3" xfId="82" xr:uid="{FEECA9D0-57E8-4299-B81A-066E39C2E9A5}"/>
    <cellStyle name="Millares 3 3 2" xfId="150" xr:uid="{249EB8DC-5653-465D-BAD7-1C2E706FCFB5}"/>
    <cellStyle name="Millares 3 3 2 2" xfId="771" xr:uid="{EF2FFDC0-5C72-4222-BCAB-6F2D51D21872}"/>
    <cellStyle name="Millares 3 3 2 2 2" xfId="2022" xr:uid="{EE4EBBED-69B4-4A20-9CBA-7DDF995D117F}"/>
    <cellStyle name="Millares 3 3 2 2 2 2" xfId="4520" xr:uid="{10882072-05AA-4DDE-8868-55560DBD5218}"/>
    <cellStyle name="Millares 3 3 2 2 2 2 2" xfId="9516" xr:uid="{E80695FD-839B-4146-824A-1436ED9A5D50}"/>
    <cellStyle name="Millares 3 3 2 2 2 3" xfId="7018" xr:uid="{3AB2EBD0-09F0-4262-9AD9-D14004E742C7}"/>
    <cellStyle name="Millares 3 3 2 2 3" xfId="3271" xr:uid="{A38783B1-9302-4F32-B25A-5FC9CAAA13C3}"/>
    <cellStyle name="Millares 3 3 2 2 3 2" xfId="8267" xr:uid="{70893E88-D687-418F-A7F8-DCCA84D9D2CB}"/>
    <cellStyle name="Millares 3 3 2 2 4" xfId="5769" xr:uid="{CDF53CED-8AEA-42CF-B1A9-AB98E836F41B}"/>
    <cellStyle name="Millares 3 3 2 3" xfId="1084" xr:uid="{F84BD8FB-9DC1-4886-A7F7-2CC7F80455C9}"/>
    <cellStyle name="Millares 3 3 2 3 2" xfId="2334" xr:uid="{F65DA7F8-4B4A-4C35-B1BD-732C7F03683A}"/>
    <cellStyle name="Millares 3 3 2 3 2 2" xfId="4832" xr:uid="{E5804F6A-2580-4D90-A70F-8EC0C95FD1CE}"/>
    <cellStyle name="Millares 3 3 2 3 2 2 2" xfId="9828" xr:uid="{A2D0CEBE-F66D-4BD8-919A-A91CB4411024}"/>
    <cellStyle name="Millares 3 3 2 3 2 3" xfId="7330" xr:uid="{B080CA30-870A-40DD-97C9-9F696E1C7E8B}"/>
    <cellStyle name="Millares 3 3 2 3 3" xfId="3583" xr:uid="{F95C23B3-BB3C-4EF1-864F-017663D70CFC}"/>
    <cellStyle name="Millares 3 3 2 3 3 2" xfId="8579" xr:uid="{045D016F-8752-4C8E-8133-CDCE79C8F1B8}"/>
    <cellStyle name="Millares 3 3 2 3 4" xfId="6081" xr:uid="{A2F3F9A9-C873-4753-BD29-F9B95F2C5777}"/>
    <cellStyle name="Millares 3 3 2 4" xfId="1458" xr:uid="{563600D5-8424-4C07-A34A-FB87F3E583CC}"/>
    <cellStyle name="Millares 3 3 2 4 2" xfId="2708" xr:uid="{889AB5FE-2972-454C-9E4F-7AC5681BB4BC}"/>
    <cellStyle name="Millares 3 3 2 4 2 2" xfId="5206" xr:uid="{0E509F3C-ADE3-480F-9A80-FCF7D8ADE2C3}"/>
    <cellStyle name="Millares 3 3 2 4 2 2 2" xfId="10202" xr:uid="{32AA564B-7D93-4177-86AB-809BFA3F40F5}"/>
    <cellStyle name="Millares 3 3 2 4 2 3" xfId="7704" xr:uid="{BDAB2F15-8562-4789-9669-40DCC542662D}"/>
    <cellStyle name="Millares 3 3 2 4 3" xfId="3957" xr:uid="{977177CF-3E2C-4FAE-A50A-1F7E9CCE45E7}"/>
    <cellStyle name="Millares 3 3 2 4 3 2" xfId="8953" xr:uid="{1C7AB89F-C7F1-4B6B-963A-82A77665AD04}"/>
    <cellStyle name="Millares 3 3 2 4 4" xfId="6455" xr:uid="{A5C63EDB-6192-42D9-9EC3-18643B13D6AD}"/>
    <cellStyle name="Millares 3 3 2 5" xfId="1789" xr:uid="{06FE47D7-70DC-40CF-BF32-F527569CDC66}"/>
    <cellStyle name="Millares 3 3 2 5 2" xfId="4287" xr:uid="{9C91B835-3C3D-431A-9FCD-85C1C38238B9}"/>
    <cellStyle name="Millares 3 3 2 5 2 2" xfId="9283" xr:uid="{63F0930C-3245-4EE3-BA18-E0D5AF575FF3}"/>
    <cellStyle name="Millares 3 3 2 5 3" xfId="6785" xr:uid="{29175354-8D51-4358-B4BD-77C5A5F5BF38}"/>
    <cellStyle name="Millares 3 3 2 6" xfId="3038" xr:uid="{CECD0791-02F9-49D2-8081-06B10CB357CC}"/>
    <cellStyle name="Millares 3 3 2 6 2" xfId="8034" xr:uid="{E3EC27FE-E7E9-407B-BE1C-0ECA88F3D8A0}"/>
    <cellStyle name="Millares 3 3 2 7" xfId="5536" xr:uid="{A5FAA27D-1F0C-45A6-B137-E541D47A72D2}"/>
    <cellStyle name="Millares 3 3 2 8" xfId="538" xr:uid="{08AB09DB-8E6D-416C-B6BF-84FBCE957384}"/>
    <cellStyle name="Millares 3 3 3" xfId="736" xr:uid="{F15AB897-19BA-46F0-8914-14CD5CE40ADF}"/>
    <cellStyle name="Millares 3 3 3 2" xfId="1987" xr:uid="{CFB5FACC-9D67-4B14-BE57-4F64E3DBACF2}"/>
    <cellStyle name="Millares 3 3 3 2 2" xfId="4485" xr:uid="{2D36DC60-3FEE-4642-8B9D-3B22C3FAE280}"/>
    <cellStyle name="Millares 3 3 3 2 2 2" xfId="9481" xr:uid="{50FAEFAC-9D3C-45CD-A9A8-7827DF1F4693}"/>
    <cellStyle name="Millares 3 3 3 2 3" xfId="6983" xr:uid="{76EC6E8F-A4DA-454B-AF20-0861D5B08D3C}"/>
    <cellStyle name="Millares 3 3 3 3" xfId="3236" xr:uid="{D173F4B2-932A-46F9-81AF-47DA7788CB56}"/>
    <cellStyle name="Millares 3 3 3 3 2" xfId="8232" xr:uid="{4DA42B77-5C17-4257-B7C9-6F83F0752CB9}"/>
    <cellStyle name="Millares 3 3 3 4" xfId="5734" xr:uid="{A5142F48-F0A2-4C1F-8604-5D4FD2C1CFA1}"/>
    <cellStyle name="Millares 3 3 4" xfId="1049" xr:uid="{C5044798-EFBF-4EB1-8567-1DD914E7AD87}"/>
    <cellStyle name="Millares 3 3 4 2" xfId="2299" xr:uid="{3B48A3AD-AAFF-4D32-81A6-74262B590BB0}"/>
    <cellStyle name="Millares 3 3 4 2 2" xfId="4797" xr:uid="{355C11B1-EE4B-4CFB-BF39-18CE7D8E8F16}"/>
    <cellStyle name="Millares 3 3 4 2 2 2" xfId="9793" xr:uid="{7FEA713B-799D-46FD-9629-AA6334B97E82}"/>
    <cellStyle name="Millares 3 3 4 2 3" xfId="7295" xr:uid="{D5736007-F713-45E3-BA4B-18E9B3A2B560}"/>
    <cellStyle name="Millares 3 3 4 3" xfId="3548" xr:uid="{C792164C-88CE-41B5-AE74-3CDBEDC2CE68}"/>
    <cellStyle name="Millares 3 3 4 3 2" xfId="8544" xr:uid="{A913832F-0E9A-435A-9123-AC848C6EA415}"/>
    <cellStyle name="Millares 3 3 4 4" xfId="6046" xr:uid="{0E1273D5-13F6-48D6-97FA-39D84EE5D736}"/>
    <cellStyle name="Millares 3 3 5" xfId="1374" xr:uid="{C698ECC7-BEF5-49A0-B9A7-65066490B1F0}"/>
    <cellStyle name="Millares 3 3 5 2" xfId="2624" xr:uid="{45E05F7F-67E6-4EFB-BB51-24F98BC55731}"/>
    <cellStyle name="Millares 3 3 5 2 2" xfId="5122" xr:uid="{D2FD796D-2746-40A0-8A5D-A1B46A385715}"/>
    <cellStyle name="Millares 3 3 5 2 2 2" xfId="10118" xr:uid="{72BA6B3E-E605-400E-82F1-ED6787EBA87B}"/>
    <cellStyle name="Millares 3 3 5 2 3" xfId="7620" xr:uid="{D3C68B05-15F9-44B6-999F-B51F98468095}"/>
    <cellStyle name="Millares 3 3 5 3" xfId="3873" xr:uid="{FDA2A1FC-FCA2-43FA-9C8B-9D31A5530C64}"/>
    <cellStyle name="Millares 3 3 5 3 2" xfId="8869" xr:uid="{22638BA1-F9C2-45D2-9AB7-9514C96C4BF5}"/>
    <cellStyle name="Millares 3 3 5 4" xfId="6371" xr:uid="{C33FB9DD-E254-4520-8733-B5B80B609843}"/>
    <cellStyle name="Millares 3 3 6" xfId="1705" xr:uid="{496F3F00-3CF8-408F-9D0D-566847600D6F}"/>
    <cellStyle name="Millares 3 3 6 2" xfId="4203" xr:uid="{7A93D6C7-3257-4B8B-B5A3-5057C2B4D57A}"/>
    <cellStyle name="Millares 3 3 6 2 2" xfId="9199" xr:uid="{591E8787-456F-4AAC-A051-BF0C528E2FF0}"/>
    <cellStyle name="Millares 3 3 6 3" xfId="6701" xr:uid="{C736A2D1-B766-4B1A-AD06-7E49A93F5C28}"/>
    <cellStyle name="Millares 3 3 7" xfId="2954" xr:uid="{7852FA47-F443-408B-9CAD-E474ECEFA333}"/>
    <cellStyle name="Millares 3 3 7 2" xfId="7950" xr:uid="{CD4E6FA4-CE73-43E0-A899-17B4EBA2EC64}"/>
    <cellStyle name="Millares 3 3 8" xfId="5452" xr:uid="{B4FFA306-63D1-4E6B-9E54-657040DB03C7}"/>
    <cellStyle name="Millares 3 3 9" xfId="454" xr:uid="{93378AF4-0B95-4B9B-A833-71A9D17E345E}"/>
    <cellStyle name="Millares 3 4" xfId="151" xr:uid="{0159AE21-E6F1-4B33-B836-3F9251E3DADC}"/>
    <cellStyle name="Millares 3 4 2" xfId="152" xr:uid="{FDBEAE49-E648-4CB2-87F8-645793DF8046}"/>
    <cellStyle name="Millares 3 4 2 2" xfId="773" xr:uid="{EA5C4275-89D5-4C65-9A1A-7F89F3D31DAD}"/>
    <cellStyle name="Millares 3 4 2 2 2" xfId="2024" xr:uid="{08B92C31-C918-4955-BED4-C494F94CB135}"/>
    <cellStyle name="Millares 3 4 2 2 2 2" xfId="4522" xr:uid="{D315A866-42E4-4B94-A584-D9547B542E76}"/>
    <cellStyle name="Millares 3 4 2 2 2 2 2" xfId="9518" xr:uid="{764FD26A-1EC1-4666-8AB0-77F48C7289B1}"/>
    <cellStyle name="Millares 3 4 2 2 2 3" xfId="7020" xr:uid="{D772E430-10E6-404F-AB9D-535383D82693}"/>
    <cellStyle name="Millares 3 4 2 2 3" xfId="3273" xr:uid="{6D82AE01-7DA9-49AA-9A37-E4DFDAA75A1D}"/>
    <cellStyle name="Millares 3 4 2 2 3 2" xfId="8269" xr:uid="{0629E9DC-47B8-44D8-AD56-D1C6FCEF1531}"/>
    <cellStyle name="Millares 3 4 2 2 4" xfId="5771" xr:uid="{4FA26821-2B3D-422F-ABD0-330BE535C30A}"/>
    <cellStyle name="Millares 3 4 2 3" xfId="1086" xr:uid="{AADB2739-134C-4F49-AB12-DA817ACA4977}"/>
    <cellStyle name="Millares 3 4 2 3 2" xfId="2336" xr:uid="{12AF7BE5-7FDD-4CEF-BD77-63F885EEDB3E}"/>
    <cellStyle name="Millares 3 4 2 3 2 2" xfId="4834" xr:uid="{77D498C9-70E5-4EBE-A658-503D9329B5AF}"/>
    <cellStyle name="Millares 3 4 2 3 2 2 2" xfId="9830" xr:uid="{E6200682-7311-40DF-BEF0-897B799D918B}"/>
    <cellStyle name="Millares 3 4 2 3 2 3" xfId="7332" xr:uid="{DCE88DE0-1DEF-4453-96E0-A5EDF937B3CA}"/>
    <cellStyle name="Millares 3 4 2 3 3" xfId="3585" xr:uid="{C3BF9432-DB9A-4E89-9560-808E957208FF}"/>
    <cellStyle name="Millares 3 4 2 3 3 2" xfId="8581" xr:uid="{55E56798-0DB7-4154-9CFB-4E004D354AB4}"/>
    <cellStyle name="Millares 3 4 2 3 4" xfId="6083" xr:uid="{F6108C0C-FAC6-4841-9427-C263A9D9C113}"/>
    <cellStyle name="Millares 3 4 2 4" xfId="1459" xr:uid="{E68DA0AB-04A3-45AD-809D-95AD7E0B13A8}"/>
    <cellStyle name="Millares 3 4 2 4 2" xfId="2709" xr:uid="{029A2937-8F1B-4DC2-A08D-28F3B259A496}"/>
    <cellStyle name="Millares 3 4 2 4 2 2" xfId="5207" xr:uid="{9E81BE72-82FB-404B-ADCE-4ECFB6E47B72}"/>
    <cellStyle name="Millares 3 4 2 4 2 2 2" xfId="10203" xr:uid="{5E774D62-B183-4BA9-8619-8A7A7F589E2A}"/>
    <cellStyle name="Millares 3 4 2 4 2 3" xfId="7705" xr:uid="{ACFC875A-842C-4B66-9D13-70A364C963F8}"/>
    <cellStyle name="Millares 3 4 2 4 3" xfId="3958" xr:uid="{A53EB447-D1B3-4877-9A06-714961C66ADA}"/>
    <cellStyle name="Millares 3 4 2 4 3 2" xfId="8954" xr:uid="{2CCA575A-E832-405E-8DD2-9EBED05F76B5}"/>
    <cellStyle name="Millares 3 4 2 4 4" xfId="6456" xr:uid="{18F49253-B4FC-428E-9CAB-9A846D073359}"/>
    <cellStyle name="Millares 3 4 2 5" xfId="1790" xr:uid="{A22F2690-3CF1-4B6A-BC66-4082723AF5C9}"/>
    <cellStyle name="Millares 3 4 2 5 2" xfId="4288" xr:uid="{9AC2564C-FEE3-48E2-93B1-53C4C90FFF37}"/>
    <cellStyle name="Millares 3 4 2 5 2 2" xfId="9284" xr:uid="{0C0C6F5A-AF41-4D9B-BCD6-B0F4D2508684}"/>
    <cellStyle name="Millares 3 4 2 5 3" xfId="6786" xr:uid="{566D6A98-FB61-4DE1-9B4B-D4FC7926A105}"/>
    <cellStyle name="Millares 3 4 2 6" xfId="3039" xr:uid="{87246585-5C01-4803-B60A-7942AF713251}"/>
    <cellStyle name="Millares 3 4 2 6 2" xfId="8035" xr:uid="{997D3A90-B9E4-42E3-962C-BC2845B108AE}"/>
    <cellStyle name="Millares 3 4 2 7" xfId="5537" xr:uid="{75341CBD-FCE0-472C-96CD-D8975BAD40A3}"/>
    <cellStyle name="Millares 3 4 2 8" xfId="539" xr:uid="{5E3EC55C-99BC-43D8-889C-8438F4207108}"/>
    <cellStyle name="Millares 3 4 3" xfId="772" xr:uid="{CFAA4A79-1305-4C81-9660-565B03712744}"/>
    <cellStyle name="Millares 3 4 3 2" xfId="2023" xr:uid="{C470F0CD-3095-43E2-80E0-387870D8EDC3}"/>
    <cellStyle name="Millares 3 4 3 2 2" xfId="4521" xr:uid="{E771AD13-680E-4709-911C-C1F7C9486EFC}"/>
    <cellStyle name="Millares 3 4 3 2 2 2" xfId="9517" xr:uid="{085A0EB5-970A-47BE-9B12-EE636C44354A}"/>
    <cellStyle name="Millares 3 4 3 2 3" xfId="7019" xr:uid="{516CF5FA-58DA-4B46-AD30-3DB866B3D367}"/>
    <cellStyle name="Millares 3 4 3 3" xfId="3272" xr:uid="{0B981F50-C49D-4B44-A766-9827A9EF8E68}"/>
    <cellStyle name="Millares 3 4 3 3 2" xfId="8268" xr:uid="{1056F299-7EDF-4EBD-B09F-948C4662D70F}"/>
    <cellStyle name="Millares 3 4 3 4" xfId="5770" xr:uid="{EBBF91A1-872C-46A8-B595-6347F622C010}"/>
    <cellStyle name="Millares 3 4 4" xfId="1085" xr:uid="{8933C7BC-E948-4C15-BBD2-05896169C8CA}"/>
    <cellStyle name="Millares 3 4 4 2" xfId="2335" xr:uid="{2A5AA3A2-B42E-430B-8E53-9128C929163A}"/>
    <cellStyle name="Millares 3 4 4 2 2" xfId="4833" xr:uid="{55EF5853-34EF-44A0-8072-7AB4B9C04ED7}"/>
    <cellStyle name="Millares 3 4 4 2 2 2" xfId="9829" xr:uid="{7F57D6CB-7D63-4978-B4A1-681775809F2F}"/>
    <cellStyle name="Millares 3 4 4 2 3" xfId="7331" xr:uid="{BA199DC6-44EA-4F6E-AB29-1C6AC1E2D19B}"/>
    <cellStyle name="Millares 3 4 4 3" xfId="3584" xr:uid="{58D00B3E-21EB-4088-9E9A-68D66B8BF8DA}"/>
    <cellStyle name="Millares 3 4 4 3 2" xfId="8580" xr:uid="{7D3E6625-8531-4D2F-812E-FE563C17B413}"/>
    <cellStyle name="Millares 3 4 4 4" xfId="6082" xr:uid="{1838D7FB-8EDC-429B-ACF2-7D501E1717A2}"/>
    <cellStyle name="Millares 3 4 5" xfId="1372" xr:uid="{05F330EC-D415-4590-8BB7-ACF20B6062FA}"/>
    <cellStyle name="Millares 3 4 5 2" xfId="2622" xr:uid="{0844075D-1A43-4AC7-B75B-C8A950A85BE8}"/>
    <cellStyle name="Millares 3 4 5 2 2" xfId="5120" xr:uid="{B30109B9-CB9E-4A2B-B538-1E98FC79345A}"/>
    <cellStyle name="Millares 3 4 5 2 2 2" xfId="10116" xr:uid="{9D886C70-D1B7-4760-B3AD-AE7C6AA447AF}"/>
    <cellStyle name="Millares 3 4 5 2 3" xfId="7618" xr:uid="{9E64158B-83B8-4B6B-B4D3-8809E4EF0EC3}"/>
    <cellStyle name="Millares 3 4 5 3" xfId="3871" xr:uid="{3B2F3A3E-8246-4004-9980-0FCA16B63F52}"/>
    <cellStyle name="Millares 3 4 5 3 2" xfId="8867" xr:uid="{92842485-016B-4DDA-9ED4-FD0730103CFE}"/>
    <cellStyle name="Millares 3 4 5 4" xfId="6369" xr:uid="{CC74CECD-41DB-402D-A2EE-AB51CC7E7421}"/>
    <cellStyle name="Millares 3 4 6" xfId="1703" xr:uid="{B22EEB4D-44D5-4F1B-A357-157DEE3A4DAC}"/>
    <cellStyle name="Millares 3 4 6 2" xfId="4201" xr:uid="{DD9FE600-7830-445D-9AE3-5DF645AF97F4}"/>
    <cellStyle name="Millares 3 4 6 2 2" xfId="9197" xr:uid="{714250DB-B516-4680-9D4A-E80244DCD44A}"/>
    <cellStyle name="Millares 3 4 6 3" xfId="6699" xr:uid="{0BF2E73A-4D50-4C56-9CAA-06A5819DE70F}"/>
    <cellStyle name="Millares 3 4 7" xfId="2952" xr:uid="{F136417D-14BA-4258-BC3A-C9B1A4095729}"/>
    <cellStyle name="Millares 3 4 7 2" xfId="7948" xr:uid="{975FA930-5B69-44E0-88F7-B53F5BF9BFB7}"/>
    <cellStyle name="Millares 3 4 8" xfId="5450" xr:uid="{CB05FEBD-746A-4975-AE91-2FC96576617A}"/>
    <cellStyle name="Millares 3 4 9" xfId="452" xr:uid="{5D11341A-3205-443B-B0C6-8816D79CB319}"/>
    <cellStyle name="Millares 3 5" xfId="153" xr:uid="{7D02574B-3264-4154-B95D-03114BBEA9CE}"/>
    <cellStyle name="Millares 3 5 2" xfId="774" xr:uid="{A6E02CFA-8797-4729-AD17-ABF4918F2336}"/>
    <cellStyle name="Millares 3 5 2 2" xfId="2025" xr:uid="{EF35F51B-A2CB-4A28-A43E-890CBDF3CD99}"/>
    <cellStyle name="Millares 3 5 2 2 2" xfId="4523" xr:uid="{04249ACC-7834-4ABF-97A6-9411611622AE}"/>
    <cellStyle name="Millares 3 5 2 2 2 2" xfId="9519" xr:uid="{E9482CBA-55B1-4F74-917F-DCA499518B65}"/>
    <cellStyle name="Millares 3 5 2 2 3" xfId="7021" xr:uid="{06FFC382-FC71-4861-ADFA-D3468B961367}"/>
    <cellStyle name="Millares 3 5 2 3" xfId="3274" xr:uid="{CDF469AF-5305-44C0-8919-96D345E16AD6}"/>
    <cellStyle name="Millares 3 5 2 3 2" xfId="8270" xr:uid="{8781AB75-CE78-4C5A-A7FE-8859E3A5E50A}"/>
    <cellStyle name="Millares 3 5 2 4" xfId="5772" xr:uid="{4353ED68-9EFE-46B2-B3E3-45108CEF2A1E}"/>
    <cellStyle name="Millares 3 5 3" xfId="1087" xr:uid="{093D1770-B5A6-4D10-9ECC-57CDDEF075EC}"/>
    <cellStyle name="Millares 3 5 3 2" xfId="2337" xr:uid="{E9323673-4643-413C-820D-CAE4F843B834}"/>
    <cellStyle name="Millares 3 5 3 2 2" xfId="4835" xr:uid="{F339A913-500C-43EA-9D31-25590F5503F4}"/>
    <cellStyle name="Millares 3 5 3 2 2 2" xfId="9831" xr:uid="{008F74CC-115C-4D72-8C26-7B90966EB290}"/>
    <cellStyle name="Millares 3 5 3 2 3" xfId="7333" xr:uid="{7C6D3B1A-275C-4596-BCC3-362FFFE02B8C}"/>
    <cellStyle name="Millares 3 5 3 3" xfId="3586" xr:uid="{10F377F0-D886-40EF-97BC-C4E16A69FDB9}"/>
    <cellStyle name="Millares 3 5 3 3 2" xfId="8582" xr:uid="{3059A4E8-51EC-44B4-9974-A0C2CD2B7804}"/>
    <cellStyle name="Millares 3 5 3 4" xfId="6084" xr:uid="{C830EC32-2C17-4C01-8940-4EADB53AF5B5}"/>
    <cellStyle name="Millares 3 5 4" xfId="1453" xr:uid="{8B091EE5-1786-4F82-A210-D0C13C51613C}"/>
    <cellStyle name="Millares 3 5 4 2" xfId="2703" xr:uid="{5B8C2C30-85C3-4E1B-955F-7D31F4740CE4}"/>
    <cellStyle name="Millares 3 5 4 2 2" xfId="5201" xr:uid="{9A01D070-5910-458C-86FA-D8728E1E9303}"/>
    <cellStyle name="Millares 3 5 4 2 2 2" xfId="10197" xr:uid="{5030F57B-C80B-4683-83F7-47EB3850906F}"/>
    <cellStyle name="Millares 3 5 4 2 3" xfId="7699" xr:uid="{595AC1B5-AAE1-40C7-9C37-0AF6118136EE}"/>
    <cellStyle name="Millares 3 5 4 3" xfId="3952" xr:uid="{021EBE0B-8C09-42F9-9463-B4D8306EE546}"/>
    <cellStyle name="Millares 3 5 4 3 2" xfId="8948" xr:uid="{25707CCC-0A76-44D8-8F86-EA9D39562C4D}"/>
    <cellStyle name="Millares 3 5 4 4" xfId="6450" xr:uid="{39EA60D8-5DE1-4C38-991D-730BE8A453E7}"/>
    <cellStyle name="Millares 3 5 5" xfId="1784" xr:uid="{FDB7127F-6DB9-42CD-AA52-690CCEA1F4CC}"/>
    <cellStyle name="Millares 3 5 5 2" xfId="4282" xr:uid="{18D443F5-AA25-47EA-9C40-C1CD1008A83E}"/>
    <cellStyle name="Millares 3 5 5 2 2" xfId="9278" xr:uid="{CF4CE6E1-8566-4F15-BD13-89A3CBE35850}"/>
    <cellStyle name="Millares 3 5 5 3" xfId="6780" xr:uid="{D8D6586B-9592-42AF-8923-9496BB7F323D}"/>
    <cellStyle name="Millares 3 5 6" xfId="3033" xr:uid="{806F3EB2-BB74-40CF-85ED-365D1027347B}"/>
    <cellStyle name="Millares 3 5 6 2" xfId="8029" xr:uid="{64EFBFED-3B38-4622-A387-93B121DEC7FE}"/>
    <cellStyle name="Millares 3 5 7" xfId="5531" xr:uid="{A4A5F556-CEBE-4492-8C88-BCC727E5F856}"/>
    <cellStyle name="Millares 3 5 8" xfId="533" xr:uid="{DF10F1E5-0BF8-4056-8458-8CBFDA66B416}"/>
    <cellStyle name="Millares 3 6" xfId="359" xr:uid="{09DF1D40-4C5C-4148-A313-5A347E7F8EBC}"/>
    <cellStyle name="Millares 3 6 2" xfId="1280" xr:uid="{DA96D1F4-95F4-4103-9903-3A7238BED4E5}"/>
    <cellStyle name="Millares 3 6 2 2" xfId="2530" xr:uid="{EF274782-ECC2-45FA-8868-63994BC30EF0}"/>
    <cellStyle name="Millares 3 6 2 2 2" xfId="5028" xr:uid="{864CD017-601C-4E6B-9450-4EE106B59E7C}"/>
    <cellStyle name="Millares 3 6 2 2 2 2" xfId="10024" xr:uid="{A08C7745-2FB0-4531-AEF0-6AF184F3E761}"/>
    <cellStyle name="Millares 3 6 2 2 3" xfId="7526" xr:uid="{94377963-8D9F-4E10-9477-94BF14B82E0D}"/>
    <cellStyle name="Millares 3 6 2 3" xfId="3779" xr:uid="{5430E41F-5E25-4015-B56B-BDC37E7C7CA8}"/>
    <cellStyle name="Millares 3 6 2 3 2" xfId="8775" xr:uid="{B2F69D73-92DE-472A-9848-3225595EC3D9}"/>
    <cellStyle name="Millares 3 6 2 4" xfId="6277" xr:uid="{EF9D1170-2E36-4D69-BCC0-682808184FEB}"/>
    <cellStyle name="Millares 3 6 3" xfId="2218" xr:uid="{7E0152A8-C146-49D4-8ED5-6061BA583A32}"/>
    <cellStyle name="Millares 3 6 3 2" xfId="4716" xr:uid="{D5B5652D-0955-4E3B-B7A5-20AA7D24ADDE}"/>
    <cellStyle name="Millares 3 6 3 2 2" xfId="9712" xr:uid="{56C9B099-EBBA-40F6-8DF7-0F9D1E0A1DED}"/>
    <cellStyle name="Millares 3 6 3 3" xfId="7214" xr:uid="{C0A1D227-51F9-4F2B-95D2-8864B49AD934}"/>
    <cellStyle name="Millares 3 6 4" xfId="3467" xr:uid="{FFE3E9D9-1498-480E-A3B7-253F73DDD5D3}"/>
    <cellStyle name="Millares 3 6 4 2" xfId="8463" xr:uid="{A01B33FD-399A-4065-8690-3A5631C34867}"/>
    <cellStyle name="Millares 3 6 5" xfId="5965" xr:uid="{4F1F4593-1339-4AE5-8A04-C8D1E635BE51}"/>
    <cellStyle name="Millares 3 6 6" xfId="968" xr:uid="{4C01AE3B-CB37-4C12-8760-40EB009A62E9}"/>
    <cellStyle name="Millares 3 7" xfId="25" xr:uid="{6671751B-1AE3-4649-9DE6-420400A9EF37}"/>
    <cellStyle name="Millares 3 7 2" xfId="1935" xr:uid="{A4B1E1FA-CE0A-4CCC-863A-65BC5E7EF933}"/>
    <cellStyle name="Millares 3 7 2 2" xfId="4433" xr:uid="{AD48B6C9-3CBF-44C3-9BE4-F8B231F9EFA7}"/>
    <cellStyle name="Millares 3 7 2 2 2" xfId="9429" xr:uid="{02D1FD16-7EEA-4857-BA2A-6C275EEC5946}"/>
    <cellStyle name="Millares 3 7 2 3" xfId="6931" xr:uid="{892F9C5B-DEA0-48AA-A4A9-6A774E40DB0B}"/>
    <cellStyle name="Millares 3 7 3" xfId="3184" xr:uid="{31B2CE73-03AB-40AF-8BE8-A3ADF78CF18D}"/>
    <cellStyle name="Millares 3 7 3 2" xfId="8180" xr:uid="{492EE582-F361-4B0B-B587-2DC6119D3C43}"/>
    <cellStyle name="Millares 3 7 4" xfId="5682" xr:uid="{7A232490-415A-473F-A7B8-5C857B2FE2D8}"/>
    <cellStyle name="Millares 3 7 5" xfId="684" xr:uid="{664C4C2F-20FB-425C-9881-F73A3471AF19}"/>
    <cellStyle name="Millares 3 8" xfId="997" xr:uid="{E2E1EF6E-A54A-4EE8-A673-37BF8326F3A3}"/>
    <cellStyle name="Millares 3 8 2" xfId="2247" xr:uid="{A2644788-654E-460A-8233-98D2896DF561}"/>
    <cellStyle name="Millares 3 8 2 2" xfId="4745" xr:uid="{0EF55F16-B31F-409F-B7C6-2F03B0EEE799}"/>
    <cellStyle name="Millares 3 8 2 2 2" xfId="9741" xr:uid="{3E20A94D-CD97-4D53-B2F5-1B3A91AFD0AF}"/>
    <cellStyle name="Millares 3 8 2 3" xfId="7243" xr:uid="{4A43DC85-5D3D-4545-B746-4AF3E04FEF12}"/>
    <cellStyle name="Millares 3 8 3" xfId="3496" xr:uid="{75157D2C-923C-4955-837E-D2A2F9DD5D28}"/>
    <cellStyle name="Millares 3 8 3 2" xfId="8492" xr:uid="{0E2DE316-4E51-4F48-9469-7C35C2ABBBF2}"/>
    <cellStyle name="Millares 3 8 4" xfId="5994" xr:uid="{F9AB4075-AD68-4C22-A4F0-4C4DBF773C62}"/>
    <cellStyle name="Millares 3 9" xfId="1310" xr:uid="{A27637EC-E2A1-42A9-AB04-298546247608}"/>
    <cellStyle name="Millares 3 9 2" xfId="2560" xr:uid="{431E309D-09C0-45B7-B34C-EECA32D90702}"/>
    <cellStyle name="Millares 3 9 2 2" xfId="5058" xr:uid="{762B7336-B005-4735-979B-370CBE431FD5}"/>
    <cellStyle name="Millares 3 9 2 2 2" xfId="10054" xr:uid="{B7BDE853-AF92-4A77-93C8-B79A3ECE2110}"/>
    <cellStyle name="Millares 3 9 2 3" xfId="7556" xr:uid="{1415A89E-F1D4-4D01-8474-ABCED0C84FC9}"/>
    <cellStyle name="Millares 3 9 3" xfId="3809" xr:uid="{AD981D58-FCD3-4260-917A-08B4F3C4ACA9}"/>
    <cellStyle name="Millares 3 9 3 2" xfId="8805" xr:uid="{8C4A96BB-86C6-4573-84B8-7CE18DAB4194}"/>
    <cellStyle name="Millares 3 9 4" xfId="6307" xr:uid="{4FD67292-7A7D-4A73-B79C-6CA271865FB5}"/>
    <cellStyle name="Millares 4" xfId="3" xr:uid="{00000000-0005-0000-0000-000003000000}"/>
    <cellStyle name="Millares 4 10" xfId="1646" xr:uid="{3C1F7FEC-9CD5-4D08-8192-879A5119088D}"/>
    <cellStyle name="Millares 4 10 2" xfId="4144" xr:uid="{413D4CCF-FC5D-45FA-97CC-FB49EC40BF3E}"/>
    <cellStyle name="Millares 4 10 2 2" xfId="9140" xr:uid="{484B5CA4-4462-4544-A100-292952C7FE02}"/>
    <cellStyle name="Millares 4 10 3" xfId="6642" xr:uid="{D0AE74E5-71D2-4677-9DFB-AFA55DB5F6E8}"/>
    <cellStyle name="Millares 4 11" xfId="2895" xr:uid="{4CBDCE58-2D23-4B82-BF3C-EF8E91F763DA}"/>
    <cellStyle name="Millares 4 11 2" xfId="7891" xr:uid="{C4E27F05-1E1D-4FF4-9107-E92B52873331}"/>
    <cellStyle name="Millares 4 12" xfId="5393" xr:uid="{4FA93FF2-0D5A-4B51-A833-0CDF617E7A7D}"/>
    <cellStyle name="Millares 4 13" xfId="395" xr:uid="{D106DDAD-8044-42BC-A173-A877448E1E0A}"/>
    <cellStyle name="Millares 4 2" xfId="59" xr:uid="{05ED2FDF-6838-45F5-B3F2-ABBAEEDFD277}"/>
    <cellStyle name="Millares 4 2 10" xfId="427" xr:uid="{93B981DC-F03A-4C38-83F5-7C677825A784}"/>
    <cellStyle name="Millares 4 2 2" xfId="154" xr:uid="{BF70AC29-77A2-469E-A72B-0CD4B05CD496}"/>
    <cellStyle name="Millares 4 2 2 2" xfId="155" xr:uid="{E87BC86E-024C-46E2-94B2-A6918E3E432E}"/>
    <cellStyle name="Millares 4 2 2 2 2" xfId="776" xr:uid="{ADD208B4-5F0C-478C-BA84-839E0946D9EE}"/>
    <cellStyle name="Millares 4 2 2 2 2 2" xfId="2027" xr:uid="{EF76C980-2E64-45AB-ACB3-336626E9ED3C}"/>
    <cellStyle name="Millares 4 2 2 2 2 2 2" xfId="4525" xr:uid="{D3DD5198-3C33-465A-9519-4388DF6A3E8C}"/>
    <cellStyle name="Millares 4 2 2 2 2 2 2 2" xfId="9521" xr:uid="{A3A1E4CB-2958-4890-A03F-CF9FC604484A}"/>
    <cellStyle name="Millares 4 2 2 2 2 2 3" xfId="7023" xr:uid="{D88B9FBF-EA36-45C8-8BA1-15BF188434EF}"/>
    <cellStyle name="Millares 4 2 2 2 2 3" xfId="3276" xr:uid="{B6F6256F-1FF8-4430-88D0-BC9E12EB2946}"/>
    <cellStyle name="Millares 4 2 2 2 2 3 2" xfId="8272" xr:uid="{682B560A-D240-472D-ADA3-8FE5D6DB5BD5}"/>
    <cellStyle name="Millares 4 2 2 2 2 4" xfId="5774" xr:uid="{E23E712A-CFA2-4249-AEE0-D243F0E4074E}"/>
    <cellStyle name="Millares 4 2 2 2 3" xfId="1089" xr:uid="{2878B80E-5975-45B8-B40E-60BDFC7CB035}"/>
    <cellStyle name="Millares 4 2 2 2 3 2" xfId="2339" xr:uid="{4E053B49-132E-4A54-9FB5-EC3575AAF360}"/>
    <cellStyle name="Millares 4 2 2 2 3 2 2" xfId="4837" xr:uid="{A03A3D82-22CF-42DF-81F2-09493246665E}"/>
    <cellStyle name="Millares 4 2 2 2 3 2 2 2" xfId="9833" xr:uid="{39F7AB61-3604-4760-82DA-33023C2BB677}"/>
    <cellStyle name="Millares 4 2 2 2 3 2 3" xfId="7335" xr:uid="{AFC0FD37-3543-4628-852F-7EDEBBF210A8}"/>
    <cellStyle name="Millares 4 2 2 2 3 3" xfId="3588" xr:uid="{0CD2CD86-ADC9-4902-8D2D-C46E98950C0C}"/>
    <cellStyle name="Millares 4 2 2 2 3 3 2" xfId="8584" xr:uid="{F6244608-F8FB-4B62-BA2C-D9F9EEC2C938}"/>
    <cellStyle name="Millares 4 2 2 2 3 4" xfId="6086" xr:uid="{3BDACA8A-AAD1-46BE-B5FF-566F1F4FF344}"/>
    <cellStyle name="Millares 4 2 2 2 4" xfId="1462" xr:uid="{41280768-D6BB-43ED-86F8-1A3229960DA2}"/>
    <cellStyle name="Millares 4 2 2 2 4 2" xfId="2712" xr:uid="{49136F80-69C2-487E-A588-F1D52E0A7864}"/>
    <cellStyle name="Millares 4 2 2 2 4 2 2" xfId="5210" xr:uid="{22F69A5E-F678-4E72-807C-534EBC54B2D8}"/>
    <cellStyle name="Millares 4 2 2 2 4 2 2 2" xfId="10206" xr:uid="{0C5CBB89-5C2C-4C77-BAF6-8F6F3E9C5030}"/>
    <cellStyle name="Millares 4 2 2 2 4 2 3" xfId="7708" xr:uid="{019ABA5F-357C-4879-A871-0847BAE8F1C1}"/>
    <cellStyle name="Millares 4 2 2 2 4 3" xfId="3961" xr:uid="{264F66FE-6BF8-4BD5-8461-54DCFA2E87F5}"/>
    <cellStyle name="Millares 4 2 2 2 4 3 2" xfId="8957" xr:uid="{07481AD4-D80B-48E9-94CA-BF2BB1E9F35F}"/>
    <cellStyle name="Millares 4 2 2 2 4 4" xfId="6459" xr:uid="{73702216-52FA-4896-9236-AE4468F7990D}"/>
    <cellStyle name="Millares 4 2 2 2 5" xfId="1793" xr:uid="{FE09FB2F-BCFA-47A0-85F5-1D8537DD9B99}"/>
    <cellStyle name="Millares 4 2 2 2 5 2" xfId="4291" xr:uid="{892270D7-E907-4963-86DF-C55DC470E824}"/>
    <cellStyle name="Millares 4 2 2 2 5 2 2" xfId="9287" xr:uid="{EE59461F-30E5-4B4F-ADFD-6BBEA40FED48}"/>
    <cellStyle name="Millares 4 2 2 2 5 3" xfId="6789" xr:uid="{0EA39E5D-D3B1-411B-AA44-8F39CE1BE6FC}"/>
    <cellStyle name="Millares 4 2 2 2 6" xfId="3042" xr:uid="{BB64B66C-E710-47B1-9541-D3BB4B06DD13}"/>
    <cellStyle name="Millares 4 2 2 2 6 2" xfId="8038" xr:uid="{019C57FC-2705-4D2E-9597-FC8100DCE908}"/>
    <cellStyle name="Millares 4 2 2 2 7" xfId="5540" xr:uid="{02B60CC2-7A8A-4D52-B26D-F73A937042E0}"/>
    <cellStyle name="Millares 4 2 2 2 8" xfId="542" xr:uid="{0F35D2C7-F4A0-4394-9480-2C990635EE3B}"/>
    <cellStyle name="Millares 4 2 2 3" xfId="775" xr:uid="{A8D5A4E5-45D9-4BEB-8626-9C1F37493A0F}"/>
    <cellStyle name="Millares 4 2 2 3 2" xfId="2026" xr:uid="{573B1324-1279-44C4-AA22-AC7557975A3E}"/>
    <cellStyle name="Millares 4 2 2 3 2 2" xfId="4524" xr:uid="{F626C9AD-918C-421E-8C87-92055B321858}"/>
    <cellStyle name="Millares 4 2 2 3 2 2 2" xfId="9520" xr:uid="{C32CE3D5-444A-48C8-94DD-C6241F976019}"/>
    <cellStyle name="Millares 4 2 2 3 2 3" xfId="7022" xr:uid="{823D4AAC-8839-402A-AF86-959E835F2310}"/>
    <cellStyle name="Millares 4 2 2 3 3" xfId="3275" xr:uid="{E49A1412-8B49-46B7-B0FF-C565059D32A5}"/>
    <cellStyle name="Millares 4 2 2 3 3 2" xfId="8271" xr:uid="{59A9F0E1-0404-4238-94AF-6EB0A31E2B17}"/>
    <cellStyle name="Millares 4 2 2 3 4" xfId="5773" xr:uid="{2E064B5C-2C53-4E1D-B1C2-53EAA1018E0C}"/>
    <cellStyle name="Millares 4 2 2 4" xfId="1088" xr:uid="{FBEDADE4-086A-41E3-8EEE-FBFCC0280C3F}"/>
    <cellStyle name="Millares 4 2 2 4 2" xfId="2338" xr:uid="{9856F46F-02C0-476E-9F69-35D237676A7E}"/>
    <cellStyle name="Millares 4 2 2 4 2 2" xfId="4836" xr:uid="{E13BCAC2-8B15-4D8A-B52D-4C6E1E8ECD64}"/>
    <cellStyle name="Millares 4 2 2 4 2 2 2" xfId="9832" xr:uid="{5400D8FC-7A8F-44B3-AE86-C2C2A1FB7C46}"/>
    <cellStyle name="Millares 4 2 2 4 2 3" xfId="7334" xr:uid="{7E887A4B-19E1-426E-A9AB-53293C84DC86}"/>
    <cellStyle name="Millares 4 2 2 4 3" xfId="3587" xr:uid="{BEECFF99-37CF-4E58-8F77-89A72544BCC1}"/>
    <cellStyle name="Millares 4 2 2 4 3 2" xfId="8583" xr:uid="{BA766098-0AC1-40E1-B07B-207D4C4E7C3B}"/>
    <cellStyle name="Millares 4 2 2 4 4" xfId="6085" xr:uid="{A853A90E-EE63-4BFE-A355-D1F75738D410}"/>
    <cellStyle name="Millares 4 2 2 5" xfId="1376" xr:uid="{4A97264B-078A-40BC-9ADB-C2023D401DDC}"/>
    <cellStyle name="Millares 4 2 2 5 2" xfId="2626" xr:uid="{3A83893F-2A01-4E91-9A6B-3BD82A4D8B6B}"/>
    <cellStyle name="Millares 4 2 2 5 2 2" xfId="5124" xr:uid="{A65C14D8-4F10-424B-89F0-3D6B318C1378}"/>
    <cellStyle name="Millares 4 2 2 5 2 2 2" xfId="10120" xr:uid="{76C32255-822A-444B-A83E-768BA327DF04}"/>
    <cellStyle name="Millares 4 2 2 5 2 3" xfId="7622" xr:uid="{07E89CA6-83E4-4449-BBFE-A6E0B3FFC314}"/>
    <cellStyle name="Millares 4 2 2 5 3" xfId="3875" xr:uid="{571F1918-7C63-46BB-A57C-DBAF92D91B36}"/>
    <cellStyle name="Millares 4 2 2 5 3 2" xfId="8871" xr:uid="{D53F1144-DA1F-47BB-A90B-10C468B4EECE}"/>
    <cellStyle name="Millares 4 2 2 5 4" xfId="6373" xr:uid="{050FD24F-7E15-4F1A-AEAA-9B78A87CEE99}"/>
    <cellStyle name="Millares 4 2 2 6" xfId="1707" xr:uid="{9300EAA9-489F-4759-98D3-0853305252BE}"/>
    <cellStyle name="Millares 4 2 2 6 2" xfId="4205" xr:uid="{BE59F88D-3D3C-48F3-A408-503AF1F7AE36}"/>
    <cellStyle name="Millares 4 2 2 6 2 2" xfId="9201" xr:uid="{0F5CCC8D-95A9-40E2-A2F1-0115723B043A}"/>
    <cellStyle name="Millares 4 2 2 6 3" xfId="6703" xr:uid="{C415BF57-7DE8-4075-BD5A-734B8371276A}"/>
    <cellStyle name="Millares 4 2 2 7" xfId="2956" xr:uid="{A6EE7E6C-CC4E-4C8F-BA77-D78C23FB9B0E}"/>
    <cellStyle name="Millares 4 2 2 7 2" xfId="7952" xr:uid="{BDAEA646-C9C4-4449-84E2-1E3422355775}"/>
    <cellStyle name="Millares 4 2 2 8" xfId="5454" xr:uid="{26B58F52-8EFB-4F98-AEE3-01C38453F091}"/>
    <cellStyle name="Millares 4 2 2 9" xfId="456" xr:uid="{916D5ABB-E908-4366-BDEB-B2E942BCA232}"/>
    <cellStyle name="Millares 4 2 3" xfId="156" xr:uid="{D96C85EE-AE97-4B82-BC88-FA224FC5602A}"/>
    <cellStyle name="Millares 4 2 3 2" xfId="777" xr:uid="{FBE55996-0A23-462D-9557-08C518477D79}"/>
    <cellStyle name="Millares 4 2 3 2 2" xfId="2028" xr:uid="{2F249E70-437B-4352-A9A5-0208662B73B3}"/>
    <cellStyle name="Millares 4 2 3 2 2 2" xfId="4526" xr:uid="{4CB1D6F7-1EEC-4071-B90F-B5E4F00D487E}"/>
    <cellStyle name="Millares 4 2 3 2 2 2 2" xfId="9522" xr:uid="{0FBDB893-E122-4E95-99C5-43802B0F557D}"/>
    <cellStyle name="Millares 4 2 3 2 2 3" xfId="7024" xr:uid="{14CC005C-BB27-4A42-89C5-5FF4E2E6C3FC}"/>
    <cellStyle name="Millares 4 2 3 2 3" xfId="3277" xr:uid="{297823D9-8170-42AE-89D1-89670C263550}"/>
    <cellStyle name="Millares 4 2 3 2 3 2" xfId="8273" xr:uid="{19454576-08AE-4003-AC75-1C1131BC7785}"/>
    <cellStyle name="Millares 4 2 3 2 4" xfId="5775" xr:uid="{78309F23-3DE7-4C20-93C2-F14CBE4CAABC}"/>
    <cellStyle name="Millares 4 2 3 3" xfId="1090" xr:uid="{F957B05C-1286-4261-BBA8-D7E0983B068B}"/>
    <cellStyle name="Millares 4 2 3 3 2" xfId="2340" xr:uid="{5E99DF82-2656-4EA5-8161-C8452D243662}"/>
    <cellStyle name="Millares 4 2 3 3 2 2" xfId="4838" xr:uid="{1A8CDE7D-9467-4201-A3A0-DD85497731E4}"/>
    <cellStyle name="Millares 4 2 3 3 2 2 2" xfId="9834" xr:uid="{1B5BD5E5-516A-4B3F-A242-9D7DE293CBC9}"/>
    <cellStyle name="Millares 4 2 3 3 2 3" xfId="7336" xr:uid="{68DC73C4-C591-4D41-AE14-DEE04A6E5651}"/>
    <cellStyle name="Millares 4 2 3 3 3" xfId="3589" xr:uid="{ECEF6197-FB2A-4026-86FC-7C8737566B15}"/>
    <cellStyle name="Millares 4 2 3 3 3 2" xfId="8585" xr:uid="{FB47E67D-00CB-4223-BF97-EF1F841583E1}"/>
    <cellStyle name="Millares 4 2 3 3 4" xfId="6087" xr:uid="{70E9133E-5623-4FE1-AB87-34E7E2FF6FB0}"/>
    <cellStyle name="Millares 4 2 3 4" xfId="1461" xr:uid="{435567A3-E795-4BFE-BFCE-ED4342190A85}"/>
    <cellStyle name="Millares 4 2 3 4 2" xfId="2711" xr:uid="{83788621-885A-4784-8E79-538F7E0ECB96}"/>
    <cellStyle name="Millares 4 2 3 4 2 2" xfId="5209" xr:uid="{EB4CE726-615F-4A50-B8F0-2E1DC5C70677}"/>
    <cellStyle name="Millares 4 2 3 4 2 2 2" xfId="10205" xr:uid="{4993267D-F1EB-4DBD-A5C8-202923CD393A}"/>
    <cellStyle name="Millares 4 2 3 4 2 3" xfId="7707" xr:uid="{1B0F6353-8540-47CE-BAE3-BE916AC0ED99}"/>
    <cellStyle name="Millares 4 2 3 4 3" xfId="3960" xr:uid="{25C32F43-EAD6-40C6-8F55-87388367D086}"/>
    <cellStyle name="Millares 4 2 3 4 3 2" xfId="8956" xr:uid="{D9400950-7AC0-4AE3-80F2-B8C635F17162}"/>
    <cellStyle name="Millares 4 2 3 4 4" xfId="6458" xr:uid="{DB092425-AA06-48F4-83A1-62A1D042BF17}"/>
    <cellStyle name="Millares 4 2 3 5" xfId="1792" xr:uid="{DE25BBAB-2EDC-44C8-9DA4-5F5A8E9BF253}"/>
    <cellStyle name="Millares 4 2 3 5 2" xfId="4290" xr:uid="{73E5FAFF-5FC2-49B3-A633-94BC107DF33B}"/>
    <cellStyle name="Millares 4 2 3 5 2 2" xfId="9286" xr:uid="{3155F5AF-9D84-4BD0-9304-A84718F5F4C5}"/>
    <cellStyle name="Millares 4 2 3 5 3" xfId="6788" xr:uid="{7D27D580-82D1-4926-8E4A-3BC11C4641F2}"/>
    <cellStyle name="Millares 4 2 3 6" xfId="3041" xr:uid="{ACE0A1EC-AE09-457E-B448-11C18E518C55}"/>
    <cellStyle name="Millares 4 2 3 6 2" xfId="8037" xr:uid="{11FDD6B7-9CB0-4B50-9C35-3CEA5FBB8D4F}"/>
    <cellStyle name="Millares 4 2 3 7" xfId="5539" xr:uid="{C8C2AFB8-E71F-4005-A470-2BB43DC908AC}"/>
    <cellStyle name="Millares 4 2 3 8" xfId="541" xr:uid="{527B92B1-B91C-401B-A75D-94711ADAA970}"/>
    <cellStyle name="Millares 4 2 4" xfId="713" xr:uid="{8E89ABE3-040E-4816-BB15-D547655DB1AC}"/>
    <cellStyle name="Millares 4 2 4 2" xfId="1964" xr:uid="{FFB47C6A-F268-40DA-8CF0-BB0941D7DC12}"/>
    <cellStyle name="Millares 4 2 4 2 2" xfId="4462" xr:uid="{4524A780-9940-468B-917F-EA41CBFC90F6}"/>
    <cellStyle name="Millares 4 2 4 2 2 2" xfId="9458" xr:uid="{83C59D3F-8B9B-4F23-A032-AFEB893410C5}"/>
    <cellStyle name="Millares 4 2 4 2 3" xfId="6960" xr:uid="{D3F79CEE-CB04-456A-9FAD-A811A3E706D6}"/>
    <cellStyle name="Millares 4 2 4 3" xfId="3213" xr:uid="{C9E1FD1F-F9DC-41D2-BDE9-E8F5BB95CE70}"/>
    <cellStyle name="Millares 4 2 4 3 2" xfId="8209" xr:uid="{7853AB64-F13F-4983-AB6E-DD11CCC749BB}"/>
    <cellStyle name="Millares 4 2 4 4" xfId="5711" xr:uid="{B91697DC-4744-483D-9E69-9293BF761BB7}"/>
    <cellStyle name="Millares 4 2 5" xfId="1026" xr:uid="{99A0F9A4-021D-43AD-9A18-9F74FE2E8749}"/>
    <cellStyle name="Millares 4 2 5 2" xfId="2276" xr:uid="{1A346E10-BC07-495F-95AA-B432F915ECC1}"/>
    <cellStyle name="Millares 4 2 5 2 2" xfId="4774" xr:uid="{C0046DC3-4835-43B0-A7A0-80817B821A7C}"/>
    <cellStyle name="Millares 4 2 5 2 2 2" xfId="9770" xr:uid="{191BA6ED-73FB-45B5-93BC-2656F7295068}"/>
    <cellStyle name="Millares 4 2 5 2 3" xfId="7272" xr:uid="{278B1955-D15D-48D4-AC37-569340207F95}"/>
    <cellStyle name="Millares 4 2 5 3" xfId="3525" xr:uid="{1197A4AD-E6E7-4241-8266-8F823775E199}"/>
    <cellStyle name="Millares 4 2 5 3 2" xfId="8521" xr:uid="{C33073CF-0488-4EA4-8095-7F4B3244157E}"/>
    <cellStyle name="Millares 4 2 5 4" xfId="6023" xr:uid="{30A96070-3697-4AF4-884E-407AE70C4CF8}"/>
    <cellStyle name="Millares 4 2 6" xfId="1347" xr:uid="{043D45B8-8414-40E3-83AB-F0BCF7479C56}"/>
    <cellStyle name="Millares 4 2 6 2" xfId="2597" xr:uid="{054C06EF-3B0E-457B-B767-4DAF3D740183}"/>
    <cellStyle name="Millares 4 2 6 2 2" xfId="5095" xr:uid="{24EE7E48-B256-4A3C-AD29-40BB732EA037}"/>
    <cellStyle name="Millares 4 2 6 2 2 2" xfId="10091" xr:uid="{570C1EA6-1750-4587-BDFB-C9035DC0D03E}"/>
    <cellStyle name="Millares 4 2 6 2 3" xfId="7593" xr:uid="{06B1E6E0-3AC7-4194-B7DB-FB5DABD134AF}"/>
    <cellStyle name="Millares 4 2 6 3" xfId="3846" xr:uid="{7E4347A0-2E91-489C-8574-6FF91FFBCF89}"/>
    <cellStyle name="Millares 4 2 6 3 2" xfId="8842" xr:uid="{C5B7EED8-724B-4124-8E7B-8280D5C54A8D}"/>
    <cellStyle name="Millares 4 2 6 4" xfId="6344" xr:uid="{0CE014B8-EBC5-463D-973C-29F005D5255F}"/>
    <cellStyle name="Millares 4 2 7" xfId="1678" xr:uid="{64823C30-33AF-48EB-AAEE-83BB925B2DDF}"/>
    <cellStyle name="Millares 4 2 7 2" xfId="4176" xr:uid="{FD76E332-2636-4185-A6BD-39A719467C98}"/>
    <cellStyle name="Millares 4 2 7 2 2" xfId="9172" xr:uid="{B5885E66-171B-4731-821C-FC2F1E7BCDF5}"/>
    <cellStyle name="Millares 4 2 7 3" xfId="6674" xr:uid="{8BF0CD72-475E-4E3B-9FD3-D7100EEDEE8A}"/>
    <cellStyle name="Millares 4 2 8" xfId="2927" xr:uid="{6C1E9EDB-4D8B-4036-A3FA-3AE3DD3D0414}"/>
    <cellStyle name="Millares 4 2 8 2" xfId="7923" xr:uid="{9CE90E0C-95FA-4EB6-800B-47F2409BF5CC}"/>
    <cellStyle name="Millares 4 2 9" xfId="5425" xr:uid="{4955E801-017E-4B76-B254-FB1B7B6267FD}"/>
    <cellStyle name="Millares 4 3" xfId="83" xr:uid="{2977CA0D-2799-493C-9974-DF532B8D9F3F}"/>
    <cellStyle name="Millares 4 3 2" xfId="157" xr:uid="{33E5C9C2-7435-4D34-884E-E1E58EEA9539}"/>
    <cellStyle name="Millares 4 3 2 2" xfId="778" xr:uid="{E1625644-CCA6-4DA3-BA34-56C9C48EB32C}"/>
    <cellStyle name="Millares 4 3 2 2 2" xfId="2029" xr:uid="{D2B7A4D9-878F-4A0F-A6CF-877869F13D9B}"/>
    <cellStyle name="Millares 4 3 2 2 2 2" xfId="4527" xr:uid="{A6420EC4-2406-4C9F-9698-8489467EBD42}"/>
    <cellStyle name="Millares 4 3 2 2 2 2 2" xfId="9523" xr:uid="{14FB148B-97B7-470D-B454-215481F49881}"/>
    <cellStyle name="Millares 4 3 2 2 2 3" xfId="7025" xr:uid="{EC5E3950-BB75-4E84-8EC1-40BC0DE73BDD}"/>
    <cellStyle name="Millares 4 3 2 2 3" xfId="3278" xr:uid="{DA719B50-44FC-4F20-91F1-5AADF2ED1D8E}"/>
    <cellStyle name="Millares 4 3 2 2 3 2" xfId="8274" xr:uid="{EDAF5EE1-CC20-4BFC-96AA-DE2AE9115010}"/>
    <cellStyle name="Millares 4 3 2 2 4" xfId="5776" xr:uid="{EB13EE33-4E6B-4663-AB48-B28697A498CE}"/>
    <cellStyle name="Millares 4 3 2 3" xfId="1091" xr:uid="{8D4B5FAE-D1FF-411F-A6A4-8C4C2B1E9219}"/>
    <cellStyle name="Millares 4 3 2 3 2" xfId="2341" xr:uid="{F9F03F2A-4783-4D6D-9AAD-D58F330D5BF1}"/>
    <cellStyle name="Millares 4 3 2 3 2 2" xfId="4839" xr:uid="{DBC52491-A9CD-4677-AD18-AACAA9DA68E7}"/>
    <cellStyle name="Millares 4 3 2 3 2 2 2" xfId="9835" xr:uid="{46220DBE-11CA-442F-BED3-3DECCA5D9E55}"/>
    <cellStyle name="Millares 4 3 2 3 2 3" xfId="7337" xr:uid="{0797FC68-599F-4CAC-ABA2-B0EB9B97CADC}"/>
    <cellStyle name="Millares 4 3 2 3 3" xfId="3590" xr:uid="{B33B935D-FC85-413D-8F21-9089869F73A0}"/>
    <cellStyle name="Millares 4 3 2 3 3 2" xfId="8586" xr:uid="{2595DE64-418C-4C70-8DD7-EF88B0A39249}"/>
    <cellStyle name="Millares 4 3 2 3 4" xfId="6088" xr:uid="{F87B75BA-D3AE-4E2E-85B6-6B34B0D347F0}"/>
    <cellStyle name="Millares 4 3 2 4" xfId="1463" xr:uid="{E359CDA7-63ED-4E1E-8431-EBE3997CECD2}"/>
    <cellStyle name="Millares 4 3 2 4 2" xfId="2713" xr:uid="{041CDC85-AE3C-4301-997E-63DA5A8896DD}"/>
    <cellStyle name="Millares 4 3 2 4 2 2" xfId="5211" xr:uid="{76DC0229-4FDA-4836-90A3-1E2429E9E97C}"/>
    <cellStyle name="Millares 4 3 2 4 2 2 2" xfId="10207" xr:uid="{7175AA5F-53A8-49F8-9831-068B21AC9B46}"/>
    <cellStyle name="Millares 4 3 2 4 2 3" xfId="7709" xr:uid="{9DD53586-0AD8-49BA-A1B4-1BD9A68EA7FD}"/>
    <cellStyle name="Millares 4 3 2 4 3" xfId="3962" xr:uid="{057388DC-A2B2-4925-9207-16D09A1B3F41}"/>
    <cellStyle name="Millares 4 3 2 4 3 2" xfId="8958" xr:uid="{29328B16-D49B-44EB-8A3A-D220EA15B7E7}"/>
    <cellStyle name="Millares 4 3 2 4 4" xfId="6460" xr:uid="{78D70AEE-D17B-4C9B-8543-5F730BB099DD}"/>
    <cellStyle name="Millares 4 3 2 5" xfId="1794" xr:uid="{EB66F3DA-A4F5-4DD5-8F23-BF567E8CD438}"/>
    <cellStyle name="Millares 4 3 2 5 2" xfId="4292" xr:uid="{026EA6A8-9C03-45FB-AE4A-6AAA8F8E6622}"/>
    <cellStyle name="Millares 4 3 2 5 2 2" xfId="9288" xr:uid="{057FE6EA-6F2F-4F66-BB8C-80D0076CB390}"/>
    <cellStyle name="Millares 4 3 2 5 3" xfId="6790" xr:uid="{A592ECDB-3C13-440C-826C-889147B4680F}"/>
    <cellStyle name="Millares 4 3 2 6" xfId="3043" xr:uid="{6B9A8D3F-F41A-420A-B1EB-11FAED1FFB9F}"/>
    <cellStyle name="Millares 4 3 2 6 2" xfId="8039" xr:uid="{207FDE70-2918-4FD4-9E67-D5812F5E88DD}"/>
    <cellStyle name="Millares 4 3 2 7" xfId="5541" xr:uid="{1B011F4B-4CD8-4952-B29E-BA2C75236A09}"/>
    <cellStyle name="Millares 4 3 2 8" xfId="543" xr:uid="{053F22EA-5786-4F56-B8C8-F98B34D1B958}"/>
    <cellStyle name="Millares 4 3 3" xfId="737" xr:uid="{845D75B6-DC5F-4952-9A79-E6E30128C44D}"/>
    <cellStyle name="Millares 4 3 3 2" xfId="1988" xr:uid="{E917C5A4-4A0B-427F-A33C-6E24F3A9DBD2}"/>
    <cellStyle name="Millares 4 3 3 2 2" xfId="4486" xr:uid="{4E984B7A-1539-4A15-9E9B-035BDB2FE98A}"/>
    <cellStyle name="Millares 4 3 3 2 2 2" xfId="9482" xr:uid="{D35FE95C-3E1B-4A1F-BF74-5B03A8A396AA}"/>
    <cellStyle name="Millares 4 3 3 2 3" xfId="6984" xr:uid="{AC3781E5-FFA5-47C2-94DA-841B78860BFB}"/>
    <cellStyle name="Millares 4 3 3 3" xfId="3237" xr:uid="{23D3A84C-C20B-4CF8-8122-3F4873D02CEE}"/>
    <cellStyle name="Millares 4 3 3 3 2" xfId="8233" xr:uid="{9A976D07-28DA-4E6C-B4D2-325DE7271F89}"/>
    <cellStyle name="Millares 4 3 3 4" xfId="5735" xr:uid="{A06B4ECE-C45F-4144-935A-21406755DD40}"/>
    <cellStyle name="Millares 4 3 4" xfId="1050" xr:uid="{75F374C6-D197-4F6E-A6D6-E971E1A20933}"/>
    <cellStyle name="Millares 4 3 4 2" xfId="2300" xr:uid="{5D46B6BD-DB59-4160-B628-1F474568591F}"/>
    <cellStyle name="Millares 4 3 4 2 2" xfId="4798" xr:uid="{DDBF5276-76EB-4D7F-934D-118E4B477D1F}"/>
    <cellStyle name="Millares 4 3 4 2 2 2" xfId="9794" xr:uid="{03F58A2D-B7CF-4ECA-8238-741CA0D784BE}"/>
    <cellStyle name="Millares 4 3 4 2 3" xfId="7296" xr:uid="{6ED0CBD3-DF9A-449A-B39D-2D6DEC75BCBE}"/>
    <cellStyle name="Millares 4 3 4 3" xfId="3549" xr:uid="{BD732048-3616-4CC5-8F67-18932FEFB764}"/>
    <cellStyle name="Millares 4 3 4 3 2" xfId="8545" xr:uid="{ED07CF73-5BE4-4A48-96C5-8B7FAF0AB552}"/>
    <cellStyle name="Millares 4 3 4 4" xfId="6047" xr:uid="{B08A318B-5644-4C80-B2C8-EFBEE9A9C26A}"/>
    <cellStyle name="Millares 4 3 5" xfId="1377" xr:uid="{DB071BFE-18A3-416E-AFC5-14D40DE2DA1F}"/>
    <cellStyle name="Millares 4 3 5 2" xfId="2627" xr:uid="{F3D7A27A-26AD-4DAB-858B-DA0271D7458C}"/>
    <cellStyle name="Millares 4 3 5 2 2" xfId="5125" xr:uid="{05692BFE-60D4-4594-BA7E-85EBF39865F2}"/>
    <cellStyle name="Millares 4 3 5 2 2 2" xfId="10121" xr:uid="{07C8952D-EBA2-42E2-8199-1A16762877CD}"/>
    <cellStyle name="Millares 4 3 5 2 3" xfId="7623" xr:uid="{98F6FCA6-EDAC-4E38-AE35-12CBB46BF9A4}"/>
    <cellStyle name="Millares 4 3 5 3" xfId="3876" xr:uid="{40CAB35D-001D-4A55-A1C2-472A967EFD43}"/>
    <cellStyle name="Millares 4 3 5 3 2" xfId="8872" xr:uid="{42B3E9C6-7D20-4B5E-A2FA-7EA2710F40D8}"/>
    <cellStyle name="Millares 4 3 5 4" xfId="6374" xr:uid="{2523E53A-5352-4075-9E04-DBA2FE8A01C5}"/>
    <cellStyle name="Millares 4 3 6" xfId="1708" xr:uid="{4A49DABF-7678-43AA-A5D0-9B9BC6C93A56}"/>
    <cellStyle name="Millares 4 3 6 2" xfId="4206" xr:uid="{64DC2E19-4117-457E-828E-B69269BC35F5}"/>
    <cellStyle name="Millares 4 3 6 2 2" xfId="9202" xr:uid="{687DDF87-5DCB-4279-B53C-B61E6EA1D0A7}"/>
    <cellStyle name="Millares 4 3 6 3" xfId="6704" xr:uid="{7E5F8761-6855-4FDF-A07D-4122B0A08C8B}"/>
    <cellStyle name="Millares 4 3 7" xfId="2957" xr:uid="{DDF82BA8-5CBC-4C5A-9D4F-EA3220B47FAF}"/>
    <cellStyle name="Millares 4 3 7 2" xfId="7953" xr:uid="{C107E7E2-6E7E-4E26-82A9-17944CC70CC0}"/>
    <cellStyle name="Millares 4 3 8" xfId="5455" xr:uid="{8CAEA62D-1186-4463-BD29-4A80C0FEFEA1}"/>
    <cellStyle name="Millares 4 3 9" xfId="457" xr:uid="{DEA3D5C7-7352-4EB1-8DEA-5A2C9AA887A2}"/>
    <cellStyle name="Millares 4 4" xfId="158" xr:uid="{B735D4D6-654F-4425-B374-AD24721EC1E7}"/>
    <cellStyle name="Millares 4 4 2" xfId="159" xr:uid="{0F337C42-02C5-46C0-B6F9-B7E7E65111A4}"/>
    <cellStyle name="Millares 4 4 2 2" xfId="780" xr:uid="{1B356CE1-FF66-4FDF-980A-475E1DDE94A7}"/>
    <cellStyle name="Millares 4 4 2 2 2" xfId="2031" xr:uid="{BAE43A0A-3998-4652-A59C-A9396E51E761}"/>
    <cellStyle name="Millares 4 4 2 2 2 2" xfId="4529" xr:uid="{B8A56EFD-039B-43C2-95DE-19918AACB02A}"/>
    <cellStyle name="Millares 4 4 2 2 2 2 2" xfId="9525" xr:uid="{8A10BCCA-44E0-44D0-B12E-64FBCB4831C0}"/>
    <cellStyle name="Millares 4 4 2 2 2 3" xfId="7027" xr:uid="{F21AC26D-416F-487D-88B0-5543F668D360}"/>
    <cellStyle name="Millares 4 4 2 2 3" xfId="3280" xr:uid="{E25B143D-9E60-4E7D-90D0-5466436FE34E}"/>
    <cellStyle name="Millares 4 4 2 2 3 2" xfId="8276" xr:uid="{F3ABF283-E0B2-4DC1-9557-A57B1CDA7225}"/>
    <cellStyle name="Millares 4 4 2 2 4" xfId="5778" xr:uid="{36976B30-9359-4984-8DC6-906A463A0F2A}"/>
    <cellStyle name="Millares 4 4 2 3" xfId="1093" xr:uid="{9C418BB1-53CC-424E-940D-27F61BA3A3ED}"/>
    <cellStyle name="Millares 4 4 2 3 2" xfId="2343" xr:uid="{4662E112-1029-4118-90A5-740FED424144}"/>
    <cellStyle name="Millares 4 4 2 3 2 2" xfId="4841" xr:uid="{4A139742-7930-49A3-8163-5E7EFEDFE3E6}"/>
    <cellStyle name="Millares 4 4 2 3 2 2 2" xfId="9837" xr:uid="{723842D3-23BF-4246-9BE0-853922C43381}"/>
    <cellStyle name="Millares 4 4 2 3 2 3" xfId="7339" xr:uid="{E507FBFC-FBCE-4CA9-A18B-AB2D23E0BC7B}"/>
    <cellStyle name="Millares 4 4 2 3 3" xfId="3592" xr:uid="{1C908953-C4A2-4DA2-AF94-EA422A1FB22F}"/>
    <cellStyle name="Millares 4 4 2 3 3 2" xfId="8588" xr:uid="{6135BFAD-168A-4AD5-8F78-19FCFB46AFB5}"/>
    <cellStyle name="Millares 4 4 2 3 4" xfId="6090" xr:uid="{1569A4D3-A935-443C-9427-FB404E76A5AD}"/>
    <cellStyle name="Millares 4 4 2 4" xfId="1464" xr:uid="{C0FE7003-6A99-463C-8B20-623909FCD471}"/>
    <cellStyle name="Millares 4 4 2 4 2" xfId="2714" xr:uid="{14D64380-DE1E-4BB1-8840-1811CACE2DFB}"/>
    <cellStyle name="Millares 4 4 2 4 2 2" xfId="5212" xr:uid="{7740EC75-822A-47E6-8795-6FAFB1E2E6CA}"/>
    <cellStyle name="Millares 4 4 2 4 2 2 2" xfId="10208" xr:uid="{7F77C4A2-66A1-4CEA-A268-7E823FD9B68A}"/>
    <cellStyle name="Millares 4 4 2 4 2 3" xfId="7710" xr:uid="{6980AF5D-32C8-4FBC-AA37-0217A3E7B2F6}"/>
    <cellStyle name="Millares 4 4 2 4 3" xfId="3963" xr:uid="{9697B255-3186-4676-B143-1977742D029E}"/>
    <cellStyle name="Millares 4 4 2 4 3 2" xfId="8959" xr:uid="{CC61EC1C-D1F2-4B73-9736-A0AE07A93046}"/>
    <cellStyle name="Millares 4 4 2 4 4" xfId="6461" xr:uid="{367DC9D2-FC70-43F0-849D-213F0B7B226A}"/>
    <cellStyle name="Millares 4 4 2 5" xfId="1795" xr:uid="{00431F7D-81F9-402C-9B8B-968EA605C31E}"/>
    <cellStyle name="Millares 4 4 2 5 2" xfId="4293" xr:uid="{6CE38BAB-D39A-44E1-BDA1-4E5549AD06B2}"/>
    <cellStyle name="Millares 4 4 2 5 2 2" xfId="9289" xr:uid="{A90363DF-E897-4604-990A-479DDDA8A7F2}"/>
    <cellStyle name="Millares 4 4 2 5 3" xfId="6791" xr:uid="{EABA65D4-9261-411D-AFCB-68B47667687D}"/>
    <cellStyle name="Millares 4 4 2 6" xfId="3044" xr:uid="{A376C95D-1C7C-4A03-8A87-106020CCF98F}"/>
    <cellStyle name="Millares 4 4 2 6 2" xfId="8040" xr:uid="{385994A8-9D68-4764-965C-F6DE8CE9DE05}"/>
    <cellStyle name="Millares 4 4 2 7" xfId="5542" xr:uid="{4B40D1BF-9BFE-48EA-9AA7-8FA670912970}"/>
    <cellStyle name="Millares 4 4 2 8" xfId="544" xr:uid="{7F2CEAEA-2F48-438E-83B6-C0D4EDC53532}"/>
    <cellStyle name="Millares 4 4 3" xfId="779" xr:uid="{CC541289-A24E-4D49-B730-E2AABF86B058}"/>
    <cellStyle name="Millares 4 4 3 2" xfId="2030" xr:uid="{FEFF6EE3-3E02-4EF6-882B-3987875E90E9}"/>
    <cellStyle name="Millares 4 4 3 2 2" xfId="4528" xr:uid="{F9789A5E-DFF0-4F6A-85B4-13A9F223E42B}"/>
    <cellStyle name="Millares 4 4 3 2 2 2" xfId="9524" xr:uid="{8A01D58F-B7E6-4C80-9EA6-F57527EDF28E}"/>
    <cellStyle name="Millares 4 4 3 2 3" xfId="7026" xr:uid="{829EA2C1-9620-4509-B065-5BBFC17A9E45}"/>
    <cellStyle name="Millares 4 4 3 3" xfId="3279" xr:uid="{9FEC2B21-77E1-4B6A-B3BA-540399DAD217}"/>
    <cellStyle name="Millares 4 4 3 3 2" xfId="8275" xr:uid="{62FFC1BA-6C15-40C8-AB49-E8C2574C010A}"/>
    <cellStyle name="Millares 4 4 3 4" xfId="5777" xr:uid="{FFE54E8C-8773-4B72-B16C-A04D51F61680}"/>
    <cellStyle name="Millares 4 4 4" xfId="1092" xr:uid="{45FB4971-9CF6-4122-89CF-9FE6482B0019}"/>
    <cellStyle name="Millares 4 4 4 2" xfId="2342" xr:uid="{958E0D8C-4964-45EF-BB6A-B7123520942F}"/>
    <cellStyle name="Millares 4 4 4 2 2" xfId="4840" xr:uid="{4769D3D0-038B-455B-9B7D-8A956F82416E}"/>
    <cellStyle name="Millares 4 4 4 2 2 2" xfId="9836" xr:uid="{3E0EAFBA-100E-4FE3-830E-7E1E52BB1521}"/>
    <cellStyle name="Millares 4 4 4 2 3" xfId="7338" xr:uid="{A4BB107D-1E64-4293-B1B5-904598A62FFC}"/>
    <cellStyle name="Millares 4 4 4 3" xfId="3591" xr:uid="{B3129F80-1266-4D42-ACD4-2DB35C0195D7}"/>
    <cellStyle name="Millares 4 4 4 3 2" xfId="8587" xr:uid="{39CCD592-9815-477B-9710-3AC7B3659E3C}"/>
    <cellStyle name="Millares 4 4 4 4" xfId="6089" xr:uid="{493807CC-7777-4C50-8094-553156BCB3B3}"/>
    <cellStyle name="Millares 4 4 5" xfId="1375" xr:uid="{83130B37-0636-4195-9D7D-43F87159141F}"/>
    <cellStyle name="Millares 4 4 5 2" xfId="2625" xr:uid="{1DF69349-29B4-4994-B2DE-85890977428E}"/>
    <cellStyle name="Millares 4 4 5 2 2" xfId="5123" xr:uid="{13A4F013-F6FD-40E9-84CB-43CC0EEC0F57}"/>
    <cellStyle name="Millares 4 4 5 2 2 2" xfId="10119" xr:uid="{3F046B4A-B86D-4303-BC51-4952D0ED2A33}"/>
    <cellStyle name="Millares 4 4 5 2 3" xfId="7621" xr:uid="{84D03E5A-BA9C-49F7-871C-E8DA32C131C5}"/>
    <cellStyle name="Millares 4 4 5 3" xfId="3874" xr:uid="{B211C095-C0B6-4F98-B823-6491B82BE48C}"/>
    <cellStyle name="Millares 4 4 5 3 2" xfId="8870" xr:uid="{C39851B3-C58A-4D21-BE44-188115FD4F72}"/>
    <cellStyle name="Millares 4 4 5 4" xfId="6372" xr:uid="{597ECC11-F97A-4B9A-BFA5-AEC10F24C3FA}"/>
    <cellStyle name="Millares 4 4 6" xfId="1706" xr:uid="{6A8742AB-C31B-488D-BED5-3109BFD9DE45}"/>
    <cellStyle name="Millares 4 4 6 2" xfId="4204" xr:uid="{D218E4A9-C4C3-499D-A99A-63597DF79CD4}"/>
    <cellStyle name="Millares 4 4 6 2 2" xfId="9200" xr:uid="{84FB749C-92BE-4865-8107-B3EF3095147F}"/>
    <cellStyle name="Millares 4 4 6 3" xfId="6702" xr:uid="{7DEC0106-BA81-4604-ABD6-C3A0F3545179}"/>
    <cellStyle name="Millares 4 4 7" xfId="2955" xr:uid="{DA6B875C-0CAC-4853-9636-CAF709CF2EB3}"/>
    <cellStyle name="Millares 4 4 7 2" xfId="7951" xr:uid="{0DF45B04-8E63-4EE1-985A-34CDB2A6C012}"/>
    <cellStyle name="Millares 4 4 8" xfId="5453" xr:uid="{F5699BB5-C927-423E-902E-7F2BF94340C3}"/>
    <cellStyle name="Millares 4 4 9" xfId="455" xr:uid="{AA67E807-35F6-49F1-A19A-297E625D6070}"/>
    <cellStyle name="Millares 4 5" xfId="160" xr:uid="{81BDFBAD-0459-4D59-B488-D84102A03E6E}"/>
    <cellStyle name="Millares 4 5 2" xfId="781" xr:uid="{A13752C9-F713-419B-9B33-A643CA354CD5}"/>
    <cellStyle name="Millares 4 5 2 2" xfId="2032" xr:uid="{41A0FDEE-8B29-41C8-8E73-331E496566A9}"/>
    <cellStyle name="Millares 4 5 2 2 2" xfId="4530" xr:uid="{DF9A6C27-932E-4CFD-8270-B6FFE11D683F}"/>
    <cellStyle name="Millares 4 5 2 2 2 2" xfId="9526" xr:uid="{29EF02C6-3B0D-4F29-9422-0C7A883BD935}"/>
    <cellStyle name="Millares 4 5 2 2 3" xfId="7028" xr:uid="{A1184A1A-FB04-4DA5-A265-64FB1BD8F352}"/>
    <cellStyle name="Millares 4 5 2 3" xfId="3281" xr:uid="{8E9D0269-BC1B-45E4-9048-2DD16394F8CD}"/>
    <cellStyle name="Millares 4 5 2 3 2" xfId="8277" xr:uid="{D7F1DC55-57BD-4556-923E-B014DC069F8B}"/>
    <cellStyle name="Millares 4 5 2 4" xfId="5779" xr:uid="{8576439C-7E82-4EC9-9445-38CA2053AEFF}"/>
    <cellStyle name="Millares 4 5 3" xfId="1094" xr:uid="{9A43FD51-F28E-4209-A59E-C9C70A4C4BF3}"/>
    <cellStyle name="Millares 4 5 3 2" xfId="2344" xr:uid="{6E8673FB-3E1B-4D7B-9412-867415AD75D4}"/>
    <cellStyle name="Millares 4 5 3 2 2" xfId="4842" xr:uid="{568372AF-8F6E-41E4-935C-CE350277AE5B}"/>
    <cellStyle name="Millares 4 5 3 2 2 2" xfId="9838" xr:uid="{E9F81CF2-3A8B-4B43-A13C-C58A9AB0A606}"/>
    <cellStyle name="Millares 4 5 3 2 3" xfId="7340" xr:uid="{E1ED6251-A94B-40B4-A72F-0AB9EA99CC7F}"/>
    <cellStyle name="Millares 4 5 3 3" xfId="3593" xr:uid="{1AF81AD4-7877-4188-8B20-C361CA815F50}"/>
    <cellStyle name="Millares 4 5 3 3 2" xfId="8589" xr:uid="{F8A96F0F-B38A-476A-9A66-E6D0FA14790B}"/>
    <cellStyle name="Millares 4 5 3 4" xfId="6091" xr:uid="{D11CDEC9-12E8-4A53-9B1F-5DAB5EBC502B}"/>
    <cellStyle name="Millares 4 5 4" xfId="1460" xr:uid="{B2937038-CCC1-46E6-9C5D-AC43A2925753}"/>
    <cellStyle name="Millares 4 5 4 2" xfId="2710" xr:uid="{F1A5DE00-4C92-45B9-BAE4-D2E23C369112}"/>
    <cellStyle name="Millares 4 5 4 2 2" xfId="5208" xr:uid="{A9B26B07-C160-4A8D-8B1F-C6A39BF8BF8C}"/>
    <cellStyle name="Millares 4 5 4 2 2 2" xfId="10204" xr:uid="{7803EF16-6EBB-49CB-AA54-F32E7FEE6CDD}"/>
    <cellStyle name="Millares 4 5 4 2 3" xfId="7706" xr:uid="{0EDBB12A-A2D2-4BAB-ACCF-295594C995B3}"/>
    <cellStyle name="Millares 4 5 4 3" xfId="3959" xr:uid="{37707F5C-50F1-439F-9422-68470798B25E}"/>
    <cellStyle name="Millares 4 5 4 3 2" xfId="8955" xr:uid="{A1CB3970-A59E-4601-ABD2-F79B4C77EFF3}"/>
    <cellStyle name="Millares 4 5 4 4" xfId="6457" xr:uid="{C3C81D28-582C-4C70-AC4D-2D932720FF36}"/>
    <cellStyle name="Millares 4 5 5" xfId="1791" xr:uid="{5982D70D-3010-46AA-8122-5095557B339E}"/>
    <cellStyle name="Millares 4 5 5 2" xfId="4289" xr:uid="{8F3CEAD2-B0A9-4D7F-A40D-2FC2AFFF7AED}"/>
    <cellStyle name="Millares 4 5 5 2 2" xfId="9285" xr:uid="{372D864B-A6F6-4A20-B9B1-5BF199EA745E}"/>
    <cellStyle name="Millares 4 5 5 3" xfId="6787" xr:uid="{5E29782D-EE71-4C7B-9A15-381D450419AF}"/>
    <cellStyle name="Millares 4 5 6" xfId="3040" xr:uid="{0D2A0788-31AD-4A59-A2FB-6F5065D0342A}"/>
    <cellStyle name="Millares 4 5 6 2" xfId="8036" xr:uid="{B568DFE7-760A-4E31-8BF5-BA0AD83C4F3A}"/>
    <cellStyle name="Millares 4 5 7" xfId="5538" xr:uid="{4B0FB6CA-7AFC-4152-A695-9410FD798579}"/>
    <cellStyle name="Millares 4 5 8" xfId="540" xr:uid="{B3AE4198-6A0B-4366-B1DF-6BE1D221892A}"/>
    <cellStyle name="Millares 4 6" xfId="360" xr:uid="{B1AAAF19-92B2-4EF2-B9D5-60E89E006714}"/>
    <cellStyle name="Millares 4 6 2" xfId="1281" xr:uid="{A8DF76CE-D502-4529-A40C-50BACD39D1F0}"/>
    <cellStyle name="Millares 4 6 2 2" xfId="2531" xr:uid="{099207B3-2E68-49C2-8035-73CF7C256E6E}"/>
    <cellStyle name="Millares 4 6 2 2 2" xfId="5029" xr:uid="{2E8801A3-3027-4AEA-9283-1E1FEC4153FD}"/>
    <cellStyle name="Millares 4 6 2 2 2 2" xfId="10025" xr:uid="{7940C1B0-12BE-4203-9B74-D93A0780CC3B}"/>
    <cellStyle name="Millares 4 6 2 2 3" xfId="7527" xr:uid="{A13A4373-A217-4FEC-80E2-7A7A740D9F6E}"/>
    <cellStyle name="Millares 4 6 2 3" xfId="3780" xr:uid="{4F171586-C991-4801-8B6B-DBF245E66DE3}"/>
    <cellStyle name="Millares 4 6 2 3 2" xfId="8776" xr:uid="{59A348AD-7E14-4244-BB6C-BA1208D3EDAA}"/>
    <cellStyle name="Millares 4 6 2 4" xfId="6278" xr:uid="{116DE5FB-6D66-4D21-9FBD-78D2CD3E18CE}"/>
    <cellStyle name="Millares 4 6 3" xfId="2219" xr:uid="{7768BE6C-2D26-4C65-9DE2-4F5D26C2CAEC}"/>
    <cellStyle name="Millares 4 6 3 2" xfId="4717" xr:uid="{B7A8CC83-B4AB-41A5-9345-DD622C9E521F}"/>
    <cellStyle name="Millares 4 6 3 2 2" xfId="9713" xr:uid="{851F9CF3-FB76-4047-8A97-3A0E75E7217F}"/>
    <cellStyle name="Millares 4 6 3 3" xfId="7215" xr:uid="{6F17FC71-C429-4E42-8109-C6BCF9DE053E}"/>
    <cellStyle name="Millares 4 6 4" xfId="3468" xr:uid="{AAB15CA1-B869-4A11-9C68-323646E65914}"/>
    <cellStyle name="Millares 4 6 4 2" xfId="8464" xr:uid="{5F5F3A9B-EC95-4729-8BF6-4227A357498C}"/>
    <cellStyle name="Millares 4 6 5" xfId="5966" xr:uid="{0592A871-B95A-448A-AC02-27B4179C38C0}"/>
    <cellStyle name="Millares 4 6 6" xfId="969" xr:uid="{0E98A9FA-E2A3-4B84-9124-1253372240C3}"/>
    <cellStyle name="Millares 4 7" xfId="31" xr:uid="{66F9D867-6CD2-45CA-973A-9B3931054F66}"/>
    <cellStyle name="Millares 4 7 2" xfId="1939" xr:uid="{1829E18B-B9D0-4CAE-870C-ABD8EC986AEF}"/>
    <cellStyle name="Millares 4 7 2 2" xfId="4437" xr:uid="{37563827-7484-41D6-9926-CC38D4F99D49}"/>
    <cellStyle name="Millares 4 7 2 2 2" xfId="9433" xr:uid="{82171B83-303E-4EDC-A700-9DBA787B9FE5}"/>
    <cellStyle name="Millares 4 7 2 3" xfId="6935" xr:uid="{118375F3-FE04-4A23-A2CB-00284D2A6BB6}"/>
    <cellStyle name="Millares 4 7 3" xfId="3188" xr:uid="{DCE6CC7B-F893-4638-BC05-9F8BAE9E6416}"/>
    <cellStyle name="Millares 4 7 3 2" xfId="8184" xr:uid="{16A6709B-02EC-483A-BE77-475D5D465085}"/>
    <cellStyle name="Millares 4 7 4" xfId="5686" xr:uid="{D2092CD9-798B-46C0-A8E1-7020AC708BB2}"/>
    <cellStyle name="Millares 4 7 5" xfId="688" xr:uid="{26E52A75-DFE8-4928-A9D5-15911E01BFF1}"/>
    <cellStyle name="Millares 4 8" xfId="1001" xr:uid="{AA59D525-48AD-4514-A5E1-E5FCAB316CA1}"/>
    <cellStyle name="Millares 4 8 2" xfId="2251" xr:uid="{55C8B7A5-1BF4-44D7-AF2D-795671F1838A}"/>
    <cellStyle name="Millares 4 8 2 2" xfId="4749" xr:uid="{E9D16919-74D5-4F92-BE31-238A27A8B108}"/>
    <cellStyle name="Millares 4 8 2 2 2" xfId="9745" xr:uid="{78F6B9FF-D113-4EC9-8D51-726206E61CBE}"/>
    <cellStyle name="Millares 4 8 2 3" xfId="7247" xr:uid="{C9071878-4421-4E4C-9C44-02D55262A7C3}"/>
    <cellStyle name="Millares 4 8 3" xfId="3500" xr:uid="{50C3E2C3-F289-428B-BF82-965184C00DBF}"/>
    <cellStyle name="Millares 4 8 3 2" xfId="8496" xr:uid="{282D5BF1-F4AB-4182-86CA-15471D91196A}"/>
    <cellStyle name="Millares 4 8 4" xfId="5998" xr:uid="{E2E61CE2-F157-47F4-8B90-83E37A557955}"/>
    <cellStyle name="Millares 4 9" xfId="1315" xr:uid="{3F470B84-415A-43F5-9FD5-C0D6F1D9C50C}"/>
    <cellStyle name="Millares 4 9 2" xfId="2565" xr:uid="{EDAB6247-798C-4EC9-989B-8C9C824653D1}"/>
    <cellStyle name="Millares 4 9 2 2" xfId="5063" xr:uid="{5C58A34B-04C9-483F-848B-B7A9CEE6F817}"/>
    <cellStyle name="Millares 4 9 2 2 2" xfId="10059" xr:uid="{3B163492-19BC-4342-B1D3-61314BDD2530}"/>
    <cellStyle name="Millares 4 9 2 3" xfId="7561" xr:uid="{79872E52-09B0-470F-96CF-A47324B257C4}"/>
    <cellStyle name="Millares 4 9 3" xfId="3814" xr:uid="{E7F1B4E9-700A-41F8-8075-A775B224BC7D}"/>
    <cellStyle name="Millares 4 9 3 2" xfId="8810" xr:uid="{6E4F7EEF-27AD-4450-894B-99B7BFA5D729}"/>
    <cellStyle name="Millares 4 9 4" xfId="6312" xr:uid="{5DF8C9F5-D2DF-4C51-AD54-DA7D7326E63C}"/>
    <cellStyle name="Millares 5" xfId="9" xr:uid="{00000000-0005-0000-0000-000004000000}"/>
    <cellStyle name="Millares 5 10" xfId="1651" xr:uid="{FE0C6D21-E4B8-4256-9978-4DCC2169A996}"/>
    <cellStyle name="Millares 5 10 2" xfId="4149" xr:uid="{D7E3E141-4354-4E71-8F45-DED15511549A}"/>
    <cellStyle name="Millares 5 10 2 2" xfId="9145" xr:uid="{897F6B88-2DCD-4857-B298-94CA85C355E0}"/>
    <cellStyle name="Millares 5 10 3" xfId="6647" xr:uid="{83E17327-5DBE-47C2-B041-99947A340741}"/>
    <cellStyle name="Millares 5 11" xfId="2900" xr:uid="{079F7DC8-D31E-4AFE-98A5-9519F8C503BD}"/>
    <cellStyle name="Millares 5 11 2" xfId="7896" xr:uid="{2B6D5869-2039-4DF5-AA4A-F15DC491527F}"/>
    <cellStyle name="Millares 5 12" xfId="5398" xr:uid="{40D5E4E8-F144-4284-B610-70F848CCDF01}"/>
    <cellStyle name="Millares 5 13" xfId="400" xr:uid="{C59F56BD-3EFD-49CB-8059-F043FB54499A}"/>
    <cellStyle name="Millares 5 2" xfId="60" xr:uid="{FCC576FA-0F64-4B7E-9CBE-2124F1DBDA98}"/>
    <cellStyle name="Millares 5 2 10" xfId="5426" xr:uid="{49997159-6F78-4AF4-B74A-1B3B9E817171}"/>
    <cellStyle name="Millares 5 2 11" xfId="428" xr:uid="{6A38F43D-22CF-4C85-BDE8-B692CFB9BF35}"/>
    <cellStyle name="Millares 5 2 2" xfId="161" xr:uid="{642A793B-5E7F-4E05-B3F8-26C9A21886A8}"/>
    <cellStyle name="Millares 5 2 2 2" xfId="162" xr:uid="{99A4A8DA-9611-4DAB-9650-231F7ADC8ABA}"/>
    <cellStyle name="Millares 5 2 2 2 2" xfId="783" xr:uid="{61DEDD64-2698-4CFD-BBC5-18B1789BFF15}"/>
    <cellStyle name="Millares 5 2 2 2 2 2" xfId="2034" xr:uid="{474FC142-BDFC-4488-B079-8C82A78FB146}"/>
    <cellStyle name="Millares 5 2 2 2 2 2 2" xfId="4532" xr:uid="{6BD72B04-7A29-4935-8D52-FE310FA339D2}"/>
    <cellStyle name="Millares 5 2 2 2 2 2 2 2" xfId="9528" xr:uid="{A9298C36-89D5-4250-9624-17D24DA12C42}"/>
    <cellStyle name="Millares 5 2 2 2 2 2 3" xfId="7030" xr:uid="{CE9633CB-6172-49D7-B866-3F7754009961}"/>
    <cellStyle name="Millares 5 2 2 2 2 3" xfId="3283" xr:uid="{F4309016-8DC9-4784-A7F5-A9C40711ABC9}"/>
    <cellStyle name="Millares 5 2 2 2 2 3 2" xfId="8279" xr:uid="{7EB4EE75-56B7-411C-B2B4-658EFC5DD626}"/>
    <cellStyle name="Millares 5 2 2 2 2 4" xfId="5781" xr:uid="{D4C06CFA-665A-47AA-A9AD-33A78C167252}"/>
    <cellStyle name="Millares 5 2 2 2 3" xfId="1096" xr:uid="{D6DE051E-E9D9-404E-A10D-B95B1B32421E}"/>
    <cellStyle name="Millares 5 2 2 2 3 2" xfId="2346" xr:uid="{A7A41B22-52CA-4C69-A894-F2E5CF72D37C}"/>
    <cellStyle name="Millares 5 2 2 2 3 2 2" xfId="4844" xr:uid="{6D09B773-936B-42ED-819E-D9678CAB394A}"/>
    <cellStyle name="Millares 5 2 2 2 3 2 2 2" xfId="9840" xr:uid="{2D684FB1-8CA8-4629-80C4-5847DDE90569}"/>
    <cellStyle name="Millares 5 2 2 2 3 2 3" xfId="7342" xr:uid="{1E974C34-BA5A-4D12-93E3-8EDBADFACC5E}"/>
    <cellStyle name="Millares 5 2 2 2 3 3" xfId="3595" xr:uid="{3DE07F67-2708-4403-967B-72D74F17375D}"/>
    <cellStyle name="Millares 5 2 2 2 3 3 2" xfId="8591" xr:uid="{F6FD09A5-C86B-466D-BC82-23EC1F2CD8D2}"/>
    <cellStyle name="Millares 5 2 2 2 3 4" xfId="6093" xr:uid="{F4B220A7-88B8-4B56-BFCA-990C131890E1}"/>
    <cellStyle name="Millares 5 2 2 2 4" xfId="1467" xr:uid="{012A8207-C2F3-4F7C-9053-561EDBBBB497}"/>
    <cellStyle name="Millares 5 2 2 2 4 2" xfId="2717" xr:uid="{0A9E0FE1-9F13-4801-98AF-D14C216BB23F}"/>
    <cellStyle name="Millares 5 2 2 2 4 2 2" xfId="5215" xr:uid="{453529D7-D1CF-4600-A1BF-3BBBAD825F8D}"/>
    <cellStyle name="Millares 5 2 2 2 4 2 2 2" xfId="10211" xr:uid="{AB378A2B-620B-42B5-8E1D-8822A91BF2FC}"/>
    <cellStyle name="Millares 5 2 2 2 4 2 3" xfId="7713" xr:uid="{5304B46D-15F4-4129-8A60-65CA6110A810}"/>
    <cellStyle name="Millares 5 2 2 2 4 3" xfId="3966" xr:uid="{D3942847-D3B9-48EF-AD9A-711B8B0BBE3B}"/>
    <cellStyle name="Millares 5 2 2 2 4 3 2" xfId="8962" xr:uid="{DA2647BE-FD53-4838-8474-293110E3C73B}"/>
    <cellStyle name="Millares 5 2 2 2 4 4" xfId="6464" xr:uid="{F8A83EFA-E5DA-4DE8-BB8B-3E1C024642E7}"/>
    <cellStyle name="Millares 5 2 2 2 5" xfId="1798" xr:uid="{F0F38EE7-D484-40D6-8EFF-94B09D363D2C}"/>
    <cellStyle name="Millares 5 2 2 2 5 2" xfId="4296" xr:uid="{08DC80F6-2F8E-41B2-AF66-C1C6BB9FD443}"/>
    <cellStyle name="Millares 5 2 2 2 5 2 2" xfId="9292" xr:uid="{B7B8D5DF-2856-4289-A9CB-5EF07721EE69}"/>
    <cellStyle name="Millares 5 2 2 2 5 3" xfId="6794" xr:uid="{63B7FE5B-9A8F-489C-A212-52F275213CDE}"/>
    <cellStyle name="Millares 5 2 2 2 6" xfId="3047" xr:uid="{66B0712D-6316-4F0C-9801-7716D94AC1FE}"/>
    <cellStyle name="Millares 5 2 2 2 6 2" xfId="8043" xr:uid="{FF3CEAC8-F2C2-4B75-8A72-91CD4D5A1FEB}"/>
    <cellStyle name="Millares 5 2 2 2 7" xfId="5545" xr:uid="{50D2A22F-8576-4620-95AC-2742A85405D4}"/>
    <cellStyle name="Millares 5 2 2 2 8" xfId="547" xr:uid="{92657AAF-E0E2-43F7-9AB2-10A8A1505696}"/>
    <cellStyle name="Millares 5 2 2 3" xfId="782" xr:uid="{8313AA3A-17B5-45B2-BF7B-BB27512A7CA8}"/>
    <cellStyle name="Millares 5 2 2 3 2" xfId="2033" xr:uid="{84E05519-649A-4A33-9E91-D5F0B6B230DB}"/>
    <cellStyle name="Millares 5 2 2 3 2 2" xfId="4531" xr:uid="{CF5D0025-1084-4F59-80DD-C3C752620AF1}"/>
    <cellStyle name="Millares 5 2 2 3 2 2 2" xfId="9527" xr:uid="{AFEA7AAC-ECE5-44D0-B52D-7515D252C52A}"/>
    <cellStyle name="Millares 5 2 2 3 2 3" xfId="7029" xr:uid="{DDEC703E-EAD0-43FF-8046-B8A7B0900C1A}"/>
    <cellStyle name="Millares 5 2 2 3 3" xfId="3282" xr:uid="{8AF1ED30-0A79-48D5-BC79-69CDC5A20EA6}"/>
    <cellStyle name="Millares 5 2 2 3 3 2" xfId="8278" xr:uid="{12A6518D-4CFA-49B5-A0E7-6059BB2B8418}"/>
    <cellStyle name="Millares 5 2 2 3 4" xfId="5780" xr:uid="{821BE555-9CE2-49D4-9946-A79B382EAE4A}"/>
    <cellStyle name="Millares 5 2 2 4" xfId="1095" xr:uid="{17F55378-6554-427D-81D8-69AA8360918D}"/>
    <cellStyle name="Millares 5 2 2 4 2" xfId="2345" xr:uid="{F80219E8-33E1-4BEA-AE13-EC14A27ABE0A}"/>
    <cellStyle name="Millares 5 2 2 4 2 2" xfId="4843" xr:uid="{37327E0D-E31D-4FBF-897B-8671F3169F81}"/>
    <cellStyle name="Millares 5 2 2 4 2 2 2" xfId="9839" xr:uid="{4401E6AC-61FE-4EC0-95A2-D559B4AA0303}"/>
    <cellStyle name="Millares 5 2 2 4 2 3" xfId="7341" xr:uid="{13A0BAF3-DEA6-42F1-B425-2F3CC230B54C}"/>
    <cellStyle name="Millares 5 2 2 4 3" xfId="3594" xr:uid="{CE97DC90-4E72-4EC6-A571-F77658730A6E}"/>
    <cellStyle name="Millares 5 2 2 4 3 2" xfId="8590" xr:uid="{60CF09FC-CD85-4E03-8540-9CF85556507D}"/>
    <cellStyle name="Millares 5 2 2 4 4" xfId="6092" xr:uid="{9116C98F-A39F-4C54-B3F3-B7C1FECCCF6F}"/>
    <cellStyle name="Millares 5 2 2 5" xfId="1349" xr:uid="{8F436CF3-5E48-48EF-9C7C-D1333069CE08}"/>
    <cellStyle name="Millares 5 2 2 5 2" xfId="2599" xr:uid="{C4CB875E-311F-4A73-A0E8-6AA0D4921484}"/>
    <cellStyle name="Millares 5 2 2 5 2 2" xfId="5097" xr:uid="{1BA2C39D-EF61-4EBB-B18F-823CB8EC1093}"/>
    <cellStyle name="Millares 5 2 2 5 2 2 2" xfId="10093" xr:uid="{82DC00E6-0A95-45AE-8B82-29FF1D5B1C4B}"/>
    <cellStyle name="Millares 5 2 2 5 2 3" xfId="7595" xr:uid="{F87B261C-63B9-46F6-9749-EFCF71303B42}"/>
    <cellStyle name="Millares 5 2 2 5 3" xfId="3848" xr:uid="{CD94C8FE-E5E3-48FA-9C43-1ACB7A26F451}"/>
    <cellStyle name="Millares 5 2 2 5 3 2" xfId="8844" xr:uid="{471A0051-E46C-449E-A1D3-CCD2BBFA136D}"/>
    <cellStyle name="Millares 5 2 2 5 4" xfId="6346" xr:uid="{C6621503-0CEB-43FA-8572-590E989EBA42}"/>
    <cellStyle name="Millares 5 2 2 6" xfId="1680" xr:uid="{79E3FFB5-44B1-4A2E-AAE7-C2CD96FB4CB9}"/>
    <cellStyle name="Millares 5 2 2 6 2" xfId="4178" xr:uid="{BB9EC570-293A-4FA6-B5BD-69F78EB71782}"/>
    <cellStyle name="Millares 5 2 2 6 2 2" xfId="9174" xr:uid="{3AF269F2-9693-447E-86D9-618203F9AEF8}"/>
    <cellStyle name="Millares 5 2 2 6 3" xfId="6676" xr:uid="{3F4207CA-A26B-4ED9-A534-9E7133C6B62B}"/>
    <cellStyle name="Millares 5 2 2 7" xfId="2929" xr:uid="{3B20C9CF-1850-4058-97E8-7AB93865BA1B}"/>
    <cellStyle name="Millares 5 2 2 7 2" xfId="7925" xr:uid="{3FF58DCF-5FA8-422D-B80A-863D7BC553B4}"/>
    <cellStyle name="Millares 5 2 2 8" xfId="5427" xr:uid="{3DBA9AF9-B03E-435D-9055-10EFD0D2B778}"/>
    <cellStyle name="Millares 5 2 2 9" xfId="429" xr:uid="{EDC56F93-6CA5-4803-B6FC-27041DD1F7F8}"/>
    <cellStyle name="Millares 5 2 3" xfId="163" xr:uid="{36717FEF-12BF-4F5C-B1AD-AA40AE9E8042}"/>
    <cellStyle name="Millares 5 2 3 2" xfId="164" xr:uid="{C71378E0-47DC-4793-BD32-6DD2AF39C3CE}"/>
    <cellStyle name="Millares 5 2 3 2 2" xfId="785" xr:uid="{858C65E1-8656-4C65-81BA-AAF0D13B7ED6}"/>
    <cellStyle name="Millares 5 2 3 2 2 2" xfId="2036" xr:uid="{0C949146-0275-44BA-BEC3-913B56C85AB1}"/>
    <cellStyle name="Millares 5 2 3 2 2 2 2" xfId="4534" xr:uid="{A5C34E8B-4B5D-4C20-BCFC-E30FDCFC452F}"/>
    <cellStyle name="Millares 5 2 3 2 2 2 2 2" xfId="9530" xr:uid="{653DDE88-FD63-48AA-8A61-45EF5E0328FF}"/>
    <cellStyle name="Millares 5 2 3 2 2 2 3" xfId="7032" xr:uid="{C3CD8742-FF3D-4CCD-9F33-AB43A80A300B}"/>
    <cellStyle name="Millares 5 2 3 2 2 3" xfId="3285" xr:uid="{B8202BD9-9003-4633-ADA8-9BC5870A11CD}"/>
    <cellStyle name="Millares 5 2 3 2 2 3 2" xfId="8281" xr:uid="{F57E28CB-E089-4C2B-9EE4-76F5A20235FC}"/>
    <cellStyle name="Millares 5 2 3 2 2 4" xfId="5783" xr:uid="{A0A98E1F-E827-4DED-B8C2-E356E4B0FAA5}"/>
    <cellStyle name="Millares 5 2 3 2 3" xfId="1098" xr:uid="{B5A09636-1456-4B28-99B1-78E9FCA34E72}"/>
    <cellStyle name="Millares 5 2 3 2 3 2" xfId="2348" xr:uid="{E923D807-B050-402D-9A65-12E795718A40}"/>
    <cellStyle name="Millares 5 2 3 2 3 2 2" xfId="4846" xr:uid="{97CD77DA-9D24-4E81-B79A-64061C8B0707}"/>
    <cellStyle name="Millares 5 2 3 2 3 2 2 2" xfId="9842" xr:uid="{FC83ACEB-FBE5-47C9-A579-29EB1BA218DE}"/>
    <cellStyle name="Millares 5 2 3 2 3 2 3" xfId="7344" xr:uid="{59263837-B236-4D32-BFA0-AFC20D00024C}"/>
    <cellStyle name="Millares 5 2 3 2 3 3" xfId="3597" xr:uid="{5F197475-AA53-41E5-9096-7B3E2EA91FFD}"/>
    <cellStyle name="Millares 5 2 3 2 3 3 2" xfId="8593" xr:uid="{0BF6EC7A-E970-4F0D-B12B-9AF705AB604F}"/>
    <cellStyle name="Millares 5 2 3 2 3 4" xfId="6095" xr:uid="{8FC32464-5060-42DE-A470-C7A0476401F0}"/>
    <cellStyle name="Millares 5 2 3 2 4" xfId="1468" xr:uid="{57E80FAA-D642-47AB-B5F4-75D978BB25D1}"/>
    <cellStyle name="Millares 5 2 3 2 4 2" xfId="2718" xr:uid="{0DD8398E-D787-4FD1-829C-1C77A2F2F147}"/>
    <cellStyle name="Millares 5 2 3 2 4 2 2" xfId="5216" xr:uid="{1E275575-4842-41CA-890E-F1D47148D7C5}"/>
    <cellStyle name="Millares 5 2 3 2 4 2 2 2" xfId="10212" xr:uid="{FA5CF687-4E5F-405C-B09F-CCEDC85DEE85}"/>
    <cellStyle name="Millares 5 2 3 2 4 2 3" xfId="7714" xr:uid="{68326609-4D76-4ABE-B258-993CB07D6861}"/>
    <cellStyle name="Millares 5 2 3 2 4 3" xfId="3967" xr:uid="{2C631C30-F449-401D-9E97-71169A7130D1}"/>
    <cellStyle name="Millares 5 2 3 2 4 3 2" xfId="8963" xr:uid="{11BB1DC4-099B-4633-8F53-C90D56D2BD22}"/>
    <cellStyle name="Millares 5 2 3 2 4 4" xfId="6465" xr:uid="{455DB3F0-D8A4-4A80-BB91-26E30A73A1F6}"/>
    <cellStyle name="Millares 5 2 3 2 5" xfId="1799" xr:uid="{29220E97-DA3F-4E68-AE18-4ABF8B3AFDBC}"/>
    <cellStyle name="Millares 5 2 3 2 5 2" xfId="4297" xr:uid="{1EED5993-0F4C-4679-B226-C8CCD6CD8B77}"/>
    <cellStyle name="Millares 5 2 3 2 5 2 2" xfId="9293" xr:uid="{E585863C-C426-4399-832A-0702616A5A4F}"/>
    <cellStyle name="Millares 5 2 3 2 5 3" xfId="6795" xr:uid="{4808988E-73A8-40C0-99A4-4EEB30989E5B}"/>
    <cellStyle name="Millares 5 2 3 2 6" xfId="3048" xr:uid="{8AD4BD13-17C8-41B3-92E8-A41DEC4272A4}"/>
    <cellStyle name="Millares 5 2 3 2 6 2" xfId="8044" xr:uid="{102F873B-5CED-458C-875B-F5959CED3093}"/>
    <cellStyle name="Millares 5 2 3 2 7" xfId="5546" xr:uid="{631CE28A-439F-4168-99AC-B0A9DAEB6B91}"/>
    <cellStyle name="Millares 5 2 3 2 8" xfId="548" xr:uid="{B417818D-5468-48B8-9554-7AD3CD417989}"/>
    <cellStyle name="Millares 5 2 3 3" xfId="784" xr:uid="{358ED424-A211-4FD1-A65E-090A74F14D8F}"/>
    <cellStyle name="Millares 5 2 3 3 2" xfId="2035" xr:uid="{A1F9693D-87AE-4DEC-BC51-A493AB589A3D}"/>
    <cellStyle name="Millares 5 2 3 3 2 2" xfId="4533" xr:uid="{02C3D26D-24DE-417C-B0F6-06ADE2C966C2}"/>
    <cellStyle name="Millares 5 2 3 3 2 2 2" xfId="9529" xr:uid="{7E04DBAA-4140-4ECC-8AC8-8A156FF1DDAE}"/>
    <cellStyle name="Millares 5 2 3 3 2 3" xfId="7031" xr:uid="{C82D7267-83D0-40BE-BF66-4BE03F552F0D}"/>
    <cellStyle name="Millares 5 2 3 3 3" xfId="3284" xr:uid="{023B01CA-7081-462B-B585-BFD2112934BE}"/>
    <cellStyle name="Millares 5 2 3 3 3 2" xfId="8280" xr:uid="{6ED6D1B5-744A-44BF-85EF-0B2F076AE2B8}"/>
    <cellStyle name="Millares 5 2 3 3 4" xfId="5782" xr:uid="{7430C58F-B5B0-4CA7-B738-A0F2BE4EC2DE}"/>
    <cellStyle name="Millares 5 2 3 4" xfId="1097" xr:uid="{85D2594C-E92B-45DD-9645-D2160DC11ECB}"/>
    <cellStyle name="Millares 5 2 3 4 2" xfId="2347" xr:uid="{A0CEE636-E881-4BD4-81CE-B39BEF2454B6}"/>
    <cellStyle name="Millares 5 2 3 4 2 2" xfId="4845" xr:uid="{37829100-CD84-4813-BA7E-82EFFBCF4C8E}"/>
    <cellStyle name="Millares 5 2 3 4 2 2 2" xfId="9841" xr:uid="{BA5E1C5C-6F43-4161-8E2F-A05503E022F8}"/>
    <cellStyle name="Millares 5 2 3 4 2 3" xfId="7343" xr:uid="{780CB17C-BB44-4E31-9711-8728A4DAD296}"/>
    <cellStyle name="Millares 5 2 3 4 3" xfId="3596" xr:uid="{9434AB92-4490-42B6-94D0-07C9093AE620}"/>
    <cellStyle name="Millares 5 2 3 4 3 2" xfId="8592" xr:uid="{80442359-8A23-493A-90AD-AA7C418EAA2F}"/>
    <cellStyle name="Millares 5 2 3 4 4" xfId="6094" xr:uid="{39916302-09CA-471F-BB07-E6874ABFA33C}"/>
    <cellStyle name="Millares 5 2 3 5" xfId="1379" xr:uid="{7FD3E739-1268-4712-8551-F31887FDB516}"/>
    <cellStyle name="Millares 5 2 3 5 2" xfId="2629" xr:uid="{3337A784-3C88-4A17-A85C-F4DF6D6E51B4}"/>
    <cellStyle name="Millares 5 2 3 5 2 2" xfId="5127" xr:uid="{CBC5FF29-A63A-4117-B2EF-E7D8D23A5452}"/>
    <cellStyle name="Millares 5 2 3 5 2 2 2" xfId="10123" xr:uid="{B8BADCBC-A4E4-4B62-AB21-6D165D96F953}"/>
    <cellStyle name="Millares 5 2 3 5 2 3" xfId="7625" xr:uid="{65020865-9E02-4ED5-A6B6-461B2C96BC83}"/>
    <cellStyle name="Millares 5 2 3 5 3" xfId="3878" xr:uid="{64422334-11B0-4108-AC40-A1F4012A188A}"/>
    <cellStyle name="Millares 5 2 3 5 3 2" xfId="8874" xr:uid="{2024011B-5DF6-4E15-8FB1-A6C801168F51}"/>
    <cellStyle name="Millares 5 2 3 5 4" xfId="6376" xr:uid="{A3C6330D-74D7-408F-A3B2-E00490919FB1}"/>
    <cellStyle name="Millares 5 2 3 6" xfId="1710" xr:uid="{4C756704-BA4E-4092-AEED-CEF7384DE2E2}"/>
    <cellStyle name="Millares 5 2 3 6 2" xfId="4208" xr:uid="{44AB4E7C-D116-4792-87ED-C628BC8F7DAB}"/>
    <cellStyle name="Millares 5 2 3 6 2 2" xfId="9204" xr:uid="{1B38AE00-1B54-410B-8AD3-7BC663677F8F}"/>
    <cellStyle name="Millares 5 2 3 6 3" xfId="6706" xr:uid="{776992DB-7B31-4419-BE58-644BC5A356CB}"/>
    <cellStyle name="Millares 5 2 3 7" xfId="2959" xr:uid="{7337A315-36EC-4DD0-9641-C755978E89C9}"/>
    <cellStyle name="Millares 5 2 3 7 2" xfId="7955" xr:uid="{E764DE51-78CA-455D-B2E7-62524FD0091B}"/>
    <cellStyle name="Millares 5 2 3 8" xfId="5457" xr:uid="{FBF62CC3-35EE-419B-ADB2-7F59BEC65B54}"/>
    <cellStyle name="Millares 5 2 3 9" xfId="459" xr:uid="{682C21A4-82D2-44EE-A59E-D1DBCAEF0B2E}"/>
    <cellStyle name="Millares 5 2 4" xfId="165" xr:uid="{159ED939-D766-40DB-9331-6B2E528AB1BF}"/>
    <cellStyle name="Millares 5 2 4 2" xfId="786" xr:uid="{C935F408-5597-44D3-B160-DEB900421C9B}"/>
    <cellStyle name="Millares 5 2 4 2 2" xfId="2037" xr:uid="{73CF1A4E-FE1B-48E9-A94B-E06A9EA7D5A9}"/>
    <cellStyle name="Millares 5 2 4 2 2 2" xfId="4535" xr:uid="{ED16A50F-1283-4374-9AB7-D1FA133CEB2C}"/>
    <cellStyle name="Millares 5 2 4 2 2 2 2" xfId="9531" xr:uid="{817DBE18-2D8D-4403-98B0-AB793DC93F1A}"/>
    <cellStyle name="Millares 5 2 4 2 2 3" xfId="7033" xr:uid="{407C38D2-25B8-48E1-ABEA-75D4AB0EA11B}"/>
    <cellStyle name="Millares 5 2 4 2 3" xfId="3286" xr:uid="{D9DAB57D-9646-444C-A3EA-88D279BF7959}"/>
    <cellStyle name="Millares 5 2 4 2 3 2" xfId="8282" xr:uid="{F68E5859-B9E0-4789-BBED-36765CCD3A42}"/>
    <cellStyle name="Millares 5 2 4 2 4" xfId="5784" xr:uid="{4CC5672E-2911-4A3F-832D-61836E632596}"/>
    <cellStyle name="Millares 5 2 4 3" xfId="1099" xr:uid="{8637D6CF-8C54-40C9-8C99-F3790484AC0F}"/>
    <cellStyle name="Millares 5 2 4 3 2" xfId="2349" xr:uid="{37769F8B-2197-415C-A369-1DD39C00ADB7}"/>
    <cellStyle name="Millares 5 2 4 3 2 2" xfId="4847" xr:uid="{8F3230C9-0DF3-4C79-BDC9-A441A77D88F6}"/>
    <cellStyle name="Millares 5 2 4 3 2 2 2" xfId="9843" xr:uid="{E1F6130F-E3BD-49FF-BE99-E563E764B1F4}"/>
    <cellStyle name="Millares 5 2 4 3 2 3" xfId="7345" xr:uid="{873C099F-10C6-4816-BD21-AC400FE1FE20}"/>
    <cellStyle name="Millares 5 2 4 3 3" xfId="3598" xr:uid="{6E504996-F54F-4351-98A3-AE4682F377AC}"/>
    <cellStyle name="Millares 5 2 4 3 3 2" xfId="8594" xr:uid="{55BAA09E-470D-4CD2-A434-D01404FB2C1D}"/>
    <cellStyle name="Millares 5 2 4 3 4" xfId="6096" xr:uid="{B050B441-FF2E-49D8-ABA1-11B88D1309A4}"/>
    <cellStyle name="Millares 5 2 4 4" xfId="1466" xr:uid="{2097A02A-DB07-42D0-8E33-88727E45E83A}"/>
    <cellStyle name="Millares 5 2 4 4 2" xfId="2716" xr:uid="{430A278B-2B7D-4C2D-A467-69BDEBBF6068}"/>
    <cellStyle name="Millares 5 2 4 4 2 2" xfId="5214" xr:uid="{49E31C3F-7192-4342-BD39-EFF72E7666AD}"/>
    <cellStyle name="Millares 5 2 4 4 2 2 2" xfId="10210" xr:uid="{56736119-E2B9-45D3-8E6D-2605D009C6A8}"/>
    <cellStyle name="Millares 5 2 4 4 2 3" xfId="7712" xr:uid="{8FACA10A-B471-4DB1-BEA3-E780441AC303}"/>
    <cellStyle name="Millares 5 2 4 4 3" xfId="3965" xr:uid="{95A2BE14-29BD-419B-8A3E-20EE2DB0CC3D}"/>
    <cellStyle name="Millares 5 2 4 4 3 2" xfId="8961" xr:uid="{A8101C23-B374-4CF5-93CF-3125B8DC93B1}"/>
    <cellStyle name="Millares 5 2 4 4 4" xfId="6463" xr:uid="{EB9DD176-5793-4263-9689-9D6F7D492362}"/>
    <cellStyle name="Millares 5 2 4 5" xfId="1797" xr:uid="{6499868B-AA06-4560-8185-1D4638761B0C}"/>
    <cellStyle name="Millares 5 2 4 5 2" xfId="4295" xr:uid="{D3B86696-12E1-4EE2-B8FD-B0C146FA4301}"/>
    <cellStyle name="Millares 5 2 4 5 2 2" xfId="9291" xr:uid="{6C367AA9-75BA-4488-9FF4-37120126FC2A}"/>
    <cellStyle name="Millares 5 2 4 5 3" xfId="6793" xr:uid="{9B427C95-687E-4BA4-842B-151A8369B554}"/>
    <cellStyle name="Millares 5 2 4 6" xfId="3046" xr:uid="{196065E0-3247-44B7-AA1B-BFEDB7FA3DB1}"/>
    <cellStyle name="Millares 5 2 4 6 2" xfId="8042" xr:uid="{6FF3A69F-76C8-4A15-80F4-64AE2A9B5811}"/>
    <cellStyle name="Millares 5 2 4 7" xfId="5544" xr:uid="{3FE0FFE6-C5D2-44A8-A0AE-3EDF06CEB0A4}"/>
    <cellStyle name="Millares 5 2 4 8" xfId="546" xr:uid="{FB501056-36F8-42A7-B1D6-B43D9913DB49}"/>
    <cellStyle name="Millares 5 2 5" xfId="714" xr:uid="{A14E0C03-A86D-47C2-93ED-760CC222C30C}"/>
    <cellStyle name="Millares 5 2 5 2" xfId="1965" xr:uid="{9DF491CF-2480-4EC7-9E86-A8FE68DBCA58}"/>
    <cellStyle name="Millares 5 2 5 2 2" xfId="4463" xr:uid="{456F7A17-01A3-4A9F-B0C3-66B9231CB4E6}"/>
    <cellStyle name="Millares 5 2 5 2 2 2" xfId="9459" xr:uid="{22800FCE-0D27-45C4-A9F4-A1F5704F4704}"/>
    <cellStyle name="Millares 5 2 5 2 3" xfId="6961" xr:uid="{4A6810AE-B73F-43CE-9DE4-0605B103BD4D}"/>
    <cellStyle name="Millares 5 2 5 3" xfId="3214" xr:uid="{874AEC1D-1AB6-4FA8-8ACC-55DF591FF311}"/>
    <cellStyle name="Millares 5 2 5 3 2" xfId="8210" xr:uid="{2D6C5334-7C93-4D47-A44E-1119EEEE82A2}"/>
    <cellStyle name="Millares 5 2 5 4" xfId="5712" xr:uid="{0FB3774D-0941-497D-8ECF-4C51E5813029}"/>
    <cellStyle name="Millares 5 2 6" xfId="1027" xr:uid="{33B8F9CA-31FA-454D-8D4F-DA18AF468286}"/>
    <cellStyle name="Millares 5 2 6 2" xfId="2277" xr:uid="{0F3CE3A2-B173-407C-8141-C989E62B3DDB}"/>
    <cellStyle name="Millares 5 2 6 2 2" xfId="4775" xr:uid="{581621D4-AB96-4A8E-859C-E13CC33F4D2E}"/>
    <cellStyle name="Millares 5 2 6 2 2 2" xfId="9771" xr:uid="{734368AB-BECA-4DD6-AA2C-A21D1305972A}"/>
    <cellStyle name="Millares 5 2 6 2 3" xfId="7273" xr:uid="{159CC62F-634D-4AE5-A4F4-A098C6D8BE0D}"/>
    <cellStyle name="Millares 5 2 6 3" xfId="3526" xr:uid="{143A4BDB-0B1E-44F7-8760-5DCE7536A717}"/>
    <cellStyle name="Millares 5 2 6 3 2" xfId="8522" xr:uid="{5FD08AFC-83F9-4EFE-8B79-141601DDB026}"/>
    <cellStyle name="Millares 5 2 6 4" xfId="6024" xr:uid="{9F5114AB-580C-4E94-9774-A7DC1719DCE2}"/>
    <cellStyle name="Millares 5 2 7" xfId="1348" xr:uid="{4D085A63-9C8A-4C6C-BA6B-A85E6922A9FA}"/>
    <cellStyle name="Millares 5 2 7 2" xfId="2598" xr:uid="{4D8E246B-7B22-41C6-BE40-AE619027E912}"/>
    <cellStyle name="Millares 5 2 7 2 2" xfId="5096" xr:uid="{C737EB16-FA67-4739-9D58-8709E2CB45F4}"/>
    <cellStyle name="Millares 5 2 7 2 2 2" xfId="10092" xr:uid="{FD32C3DC-34AF-4181-81BD-4626EBA66053}"/>
    <cellStyle name="Millares 5 2 7 2 3" xfId="7594" xr:uid="{79CE6756-00D0-4596-8241-637DC7644D77}"/>
    <cellStyle name="Millares 5 2 7 3" xfId="3847" xr:uid="{10867DF7-8A55-4E6C-A648-1A4668300B5F}"/>
    <cellStyle name="Millares 5 2 7 3 2" xfId="8843" xr:uid="{896901A8-7F9C-4F31-9583-642319EDDB7E}"/>
    <cellStyle name="Millares 5 2 7 4" xfId="6345" xr:uid="{7D896132-DA06-4590-9EA9-5C4D6B21458C}"/>
    <cellStyle name="Millares 5 2 8" xfId="1679" xr:uid="{A10DD67E-E85F-4E12-AD1E-D93A047F6F0B}"/>
    <cellStyle name="Millares 5 2 8 2" xfId="4177" xr:uid="{B9C7D9C8-BC27-4854-8D9B-42FF64F1BBDA}"/>
    <cellStyle name="Millares 5 2 8 2 2" xfId="9173" xr:uid="{E3EC66D5-9D32-482E-89DE-070D3FBC4FAF}"/>
    <cellStyle name="Millares 5 2 8 3" xfId="6675" xr:uid="{1B3D6FF3-B9FB-4643-A253-852665A6C8F5}"/>
    <cellStyle name="Millares 5 2 9" xfId="2928" xr:uid="{24AA791A-4BA1-43EB-A1E8-C0F89BFAD469}"/>
    <cellStyle name="Millares 5 2 9 2" xfId="7924" xr:uid="{28F0CF24-1CE1-4F06-88DE-B1BAFFF66FAF}"/>
    <cellStyle name="Millares 5 3" xfId="84" xr:uid="{22AA61EA-B666-4520-9D0C-6DA9ED462AAA}"/>
    <cellStyle name="Millares 5 3 2" xfId="166" xr:uid="{BD69B4A2-98C2-45F0-8762-E8239BDEC42A}"/>
    <cellStyle name="Millares 5 3 2 2" xfId="787" xr:uid="{21526009-FFCE-4F10-AFB8-49EDBEE3DB32}"/>
    <cellStyle name="Millares 5 3 2 2 2" xfId="2038" xr:uid="{CBC91185-A67C-457A-999B-B502684FBF6C}"/>
    <cellStyle name="Millares 5 3 2 2 2 2" xfId="4536" xr:uid="{C78DA855-19F7-4475-A754-551F1899F333}"/>
    <cellStyle name="Millares 5 3 2 2 2 2 2" xfId="9532" xr:uid="{2A911FA0-80EF-402F-BE65-ADF72CDFC748}"/>
    <cellStyle name="Millares 5 3 2 2 2 3" xfId="7034" xr:uid="{B15AF50E-EC10-4B6C-82E5-0DAEEAB5D32B}"/>
    <cellStyle name="Millares 5 3 2 2 3" xfId="3287" xr:uid="{55139459-7128-4379-8D85-5876EFFCBEE5}"/>
    <cellStyle name="Millares 5 3 2 2 3 2" xfId="8283" xr:uid="{E6E47492-BFA4-43BD-8834-AF82AB2AEA69}"/>
    <cellStyle name="Millares 5 3 2 2 4" xfId="5785" xr:uid="{6AC59EFF-D7E2-4036-808D-8FD7C5C0DB61}"/>
    <cellStyle name="Millares 5 3 2 3" xfId="1100" xr:uid="{5D6A5F46-9736-4293-B01F-8D2C5CE66464}"/>
    <cellStyle name="Millares 5 3 2 3 2" xfId="2350" xr:uid="{DDEB6D04-4857-4FD6-AFF9-CCB7B2B73EAB}"/>
    <cellStyle name="Millares 5 3 2 3 2 2" xfId="4848" xr:uid="{A2542206-B75A-446B-ADAD-992545BFBD54}"/>
    <cellStyle name="Millares 5 3 2 3 2 2 2" xfId="9844" xr:uid="{50CD7F51-A482-49A0-8320-0045D2955BED}"/>
    <cellStyle name="Millares 5 3 2 3 2 3" xfId="7346" xr:uid="{AAEC389F-22A5-4B6E-A228-ADB0EAA1BC78}"/>
    <cellStyle name="Millares 5 3 2 3 3" xfId="3599" xr:uid="{9129DC66-BA22-4326-B920-3DF4DE66936B}"/>
    <cellStyle name="Millares 5 3 2 3 3 2" xfId="8595" xr:uid="{EE69AB4D-976E-4DD8-B5DB-6595115E4727}"/>
    <cellStyle name="Millares 5 3 2 3 4" xfId="6097" xr:uid="{C3A51B8F-B6B1-4F1C-8210-07EEBEDC100E}"/>
    <cellStyle name="Millares 5 3 2 4" xfId="1469" xr:uid="{2DC9C3C5-1CA4-4B3A-ACE7-D0DDA6BB03E0}"/>
    <cellStyle name="Millares 5 3 2 4 2" xfId="2719" xr:uid="{D58D7F65-0A37-4821-B8CF-294F05974D08}"/>
    <cellStyle name="Millares 5 3 2 4 2 2" xfId="5217" xr:uid="{5F782421-EA0C-496E-BF5C-2BDA7A4A1F66}"/>
    <cellStyle name="Millares 5 3 2 4 2 2 2" xfId="10213" xr:uid="{41A2EB16-7889-4036-B22E-28D899586740}"/>
    <cellStyle name="Millares 5 3 2 4 2 3" xfId="7715" xr:uid="{683951F1-A45D-4A15-A030-F1C3DFD18F79}"/>
    <cellStyle name="Millares 5 3 2 4 3" xfId="3968" xr:uid="{71335E92-EB1E-469D-A164-30BD2CD75B90}"/>
    <cellStyle name="Millares 5 3 2 4 3 2" xfId="8964" xr:uid="{6F5EBED8-3642-4273-9DFB-E51D72D15E9D}"/>
    <cellStyle name="Millares 5 3 2 4 4" xfId="6466" xr:uid="{E58BE817-7B2E-4896-BC8A-08EB8B1C9811}"/>
    <cellStyle name="Millares 5 3 2 5" xfId="1800" xr:uid="{4D7CC742-D583-4C4F-9293-A8E1451D7D33}"/>
    <cellStyle name="Millares 5 3 2 5 2" xfId="4298" xr:uid="{D0148CBB-76D0-4F0C-8AB2-7DF64BC6F390}"/>
    <cellStyle name="Millares 5 3 2 5 2 2" xfId="9294" xr:uid="{5A0F5C00-77C2-4915-9170-2485D4AE4BAB}"/>
    <cellStyle name="Millares 5 3 2 5 3" xfId="6796" xr:uid="{25E9625A-F7DF-4750-9845-042DA53AEE25}"/>
    <cellStyle name="Millares 5 3 2 6" xfId="3049" xr:uid="{7231B5A3-005A-4F74-AEED-CF539A680736}"/>
    <cellStyle name="Millares 5 3 2 6 2" xfId="8045" xr:uid="{D791F034-9B3A-4AB2-9F46-151FD1E2423D}"/>
    <cellStyle name="Millares 5 3 2 7" xfId="5547" xr:uid="{F368C61A-706F-4165-A4C2-0B45AAAAFF6B}"/>
    <cellStyle name="Millares 5 3 2 8" xfId="549" xr:uid="{C6AD3B4D-7D04-464A-BB2E-47C2AB2F528F}"/>
    <cellStyle name="Millares 5 3 3" xfId="738" xr:uid="{D40B22E3-1E0F-4D55-B650-0D9F6E955093}"/>
    <cellStyle name="Millares 5 3 3 2" xfId="1989" xr:uid="{AE6A6081-F2A5-4AC3-BA02-4B9D0C3D485E}"/>
    <cellStyle name="Millares 5 3 3 2 2" xfId="4487" xr:uid="{A32BCDEC-A818-403E-BA41-D73F0CE78659}"/>
    <cellStyle name="Millares 5 3 3 2 2 2" xfId="9483" xr:uid="{66CBB1B1-0993-4156-B239-ACDD882805C9}"/>
    <cellStyle name="Millares 5 3 3 2 3" xfId="6985" xr:uid="{35D4C518-1BCC-4AB1-A6B2-7D5DAA489E1F}"/>
    <cellStyle name="Millares 5 3 3 3" xfId="3238" xr:uid="{7282671E-53C7-44FD-BBE1-AFAC4604D012}"/>
    <cellStyle name="Millares 5 3 3 3 2" xfId="8234" xr:uid="{114E231A-1007-4F58-BABA-A4D95F61FBCC}"/>
    <cellStyle name="Millares 5 3 3 4" xfId="5736" xr:uid="{7FD8200C-5AA7-4579-A061-DF46497749A4}"/>
    <cellStyle name="Millares 5 3 4" xfId="1051" xr:uid="{9F9E1721-68DF-4666-8087-2A9B5CF6D8D8}"/>
    <cellStyle name="Millares 5 3 4 2" xfId="2301" xr:uid="{484155A6-7206-42E3-BF71-8F5A780D4EE3}"/>
    <cellStyle name="Millares 5 3 4 2 2" xfId="4799" xr:uid="{E62B7827-C273-47F9-B676-82CD5C054DCB}"/>
    <cellStyle name="Millares 5 3 4 2 2 2" xfId="9795" xr:uid="{430515BD-32CE-4EA1-9129-3157567F14C5}"/>
    <cellStyle name="Millares 5 3 4 2 3" xfId="7297" xr:uid="{962BED02-766F-49D5-9D02-A878C9720365}"/>
    <cellStyle name="Millares 5 3 4 3" xfId="3550" xr:uid="{C4BD1AB7-4735-4F0E-A00C-129EEE0880A0}"/>
    <cellStyle name="Millares 5 3 4 3 2" xfId="8546" xr:uid="{E539B9BA-E703-41CC-B8D3-74D35B2BF524}"/>
    <cellStyle name="Millares 5 3 4 4" xfId="6048" xr:uid="{EF47D1E6-6CE4-4BE0-8D7C-EC6653A91DED}"/>
    <cellStyle name="Millares 5 3 5" xfId="1380" xr:uid="{DCAE46F9-05AA-4EFC-A30A-888AE50A4CCC}"/>
    <cellStyle name="Millares 5 3 5 2" xfId="2630" xr:uid="{0E2CD987-AEEF-4D33-AD1B-0873B2CF1178}"/>
    <cellStyle name="Millares 5 3 5 2 2" xfId="5128" xr:uid="{AA88E3BB-199E-47D6-A252-8C5789D0A823}"/>
    <cellStyle name="Millares 5 3 5 2 2 2" xfId="10124" xr:uid="{3797BD0C-196F-4DD2-A3A2-3695C21BA3E7}"/>
    <cellStyle name="Millares 5 3 5 2 3" xfId="7626" xr:uid="{D204BF84-7275-49A2-9967-B64F2242293E}"/>
    <cellStyle name="Millares 5 3 5 3" xfId="3879" xr:uid="{0BBF382E-E554-45EF-B58A-7A359D7A88AA}"/>
    <cellStyle name="Millares 5 3 5 3 2" xfId="8875" xr:uid="{7AD992C2-1506-4C35-8692-9F22E0387C2D}"/>
    <cellStyle name="Millares 5 3 5 4" xfId="6377" xr:uid="{1237F597-4206-4614-9819-537237014678}"/>
    <cellStyle name="Millares 5 3 6" xfId="1711" xr:uid="{E6C910B3-12CF-4F8A-9E27-A61DD37346AB}"/>
    <cellStyle name="Millares 5 3 6 2" xfId="4209" xr:uid="{6666D79E-264F-4570-B81E-164A8D26F4ED}"/>
    <cellStyle name="Millares 5 3 6 2 2" xfId="9205" xr:uid="{63F1E9EC-DD25-4946-95C5-8FA04BD35083}"/>
    <cellStyle name="Millares 5 3 6 3" xfId="6707" xr:uid="{088EFAD4-9A44-4DA6-AF04-F4FF8FCD3BA9}"/>
    <cellStyle name="Millares 5 3 7" xfId="2960" xr:uid="{A5ECEAA3-D6D1-4BAB-9AD0-3F813F4BD60F}"/>
    <cellStyle name="Millares 5 3 7 2" xfId="7956" xr:uid="{50E81FF9-1035-4518-B692-5EAB3A7B0EFB}"/>
    <cellStyle name="Millares 5 3 8" xfId="5458" xr:uid="{BF734AE8-ED14-4184-B7AA-18FD94B7D30C}"/>
    <cellStyle name="Millares 5 3 9" xfId="460" xr:uid="{3FADEF53-0DF9-4D7E-AB40-793C68DEA7D9}"/>
    <cellStyle name="Millares 5 4" xfId="167" xr:uid="{E8C27A54-495D-44F9-96ED-3EF120B068D4}"/>
    <cellStyle name="Millares 5 4 2" xfId="168" xr:uid="{8A1199DF-2B7A-4E21-8B32-0AB0FC75260D}"/>
    <cellStyle name="Millares 5 4 2 2" xfId="789" xr:uid="{1237214A-21C0-49AB-B0B3-5C0201D47CCA}"/>
    <cellStyle name="Millares 5 4 2 2 2" xfId="2040" xr:uid="{E7D85256-6060-4E9D-A910-B134FFBEC1C7}"/>
    <cellStyle name="Millares 5 4 2 2 2 2" xfId="4538" xr:uid="{00FCF5BB-B879-4C21-A7A0-2E9492A388D3}"/>
    <cellStyle name="Millares 5 4 2 2 2 2 2" xfId="9534" xr:uid="{0F6232F8-AD67-4D8A-881B-C9A096F92B0F}"/>
    <cellStyle name="Millares 5 4 2 2 2 3" xfId="7036" xr:uid="{5EDA6ACA-40DC-46D1-B0D3-ACF5FA41BB4C}"/>
    <cellStyle name="Millares 5 4 2 2 3" xfId="3289" xr:uid="{A328CD13-B251-4BBF-AA08-B818C122D1C6}"/>
    <cellStyle name="Millares 5 4 2 2 3 2" xfId="8285" xr:uid="{AB3AD70C-96BE-42E9-B73A-0F1C6AABF785}"/>
    <cellStyle name="Millares 5 4 2 2 4" xfId="5787" xr:uid="{A64654C5-9DE9-4486-93FD-680BC931840F}"/>
    <cellStyle name="Millares 5 4 2 3" xfId="1102" xr:uid="{89978E92-6BA6-4329-98EF-E57A18243FB0}"/>
    <cellStyle name="Millares 5 4 2 3 2" xfId="2352" xr:uid="{28C76ED4-0C33-4962-8472-4D29C0CAD1D9}"/>
    <cellStyle name="Millares 5 4 2 3 2 2" xfId="4850" xr:uid="{42826B7E-58B7-4C41-8619-5346F09100E7}"/>
    <cellStyle name="Millares 5 4 2 3 2 2 2" xfId="9846" xr:uid="{1CE60C55-DB03-485B-B3AD-383B76967B85}"/>
    <cellStyle name="Millares 5 4 2 3 2 3" xfId="7348" xr:uid="{E62A629C-4D6D-4114-9D2C-F6237C07927D}"/>
    <cellStyle name="Millares 5 4 2 3 3" xfId="3601" xr:uid="{0865FAFC-BC61-4C69-B0ED-7A274B37E0FC}"/>
    <cellStyle name="Millares 5 4 2 3 3 2" xfId="8597" xr:uid="{7350BAD2-6A48-468F-A285-EC6FA3ED5FBE}"/>
    <cellStyle name="Millares 5 4 2 3 4" xfId="6099" xr:uid="{73B83E1B-D8FA-4FDD-8B2D-FBB38D8A1D78}"/>
    <cellStyle name="Millares 5 4 2 4" xfId="1470" xr:uid="{29E6A946-C9AF-4327-AC0B-77BF75FCE9D2}"/>
    <cellStyle name="Millares 5 4 2 4 2" xfId="2720" xr:uid="{B16DC9D7-4AD1-4405-98D6-DA6D8ECA4C8D}"/>
    <cellStyle name="Millares 5 4 2 4 2 2" xfId="5218" xr:uid="{32FDE278-1C57-47EB-950A-B740FDE79B7D}"/>
    <cellStyle name="Millares 5 4 2 4 2 2 2" xfId="10214" xr:uid="{042AB383-5C94-442D-AC92-3155FAB18615}"/>
    <cellStyle name="Millares 5 4 2 4 2 3" xfId="7716" xr:uid="{1CFFC101-1DE8-49D0-A33C-D6E40067624D}"/>
    <cellStyle name="Millares 5 4 2 4 3" xfId="3969" xr:uid="{217DBDED-2081-4706-91F3-A8FF77D52F99}"/>
    <cellStyle name="Millares 5 4 2 4 3 2" xfId="8965" xr:uid="{A5FB8161-5233-4E9A-9233-73D732133D1E}"/>
    <cellStyle name="Millares 5 4 2 4 4" xfId="6467" xr:uid="{03DA11E1-1444-425E-99B1-7053C2A3ECA8}"/>
    <cellStyle name="Millares 5 4 2 5" xfId="1801" xr:uid="{90FEF5F3-EE9F-452A-9D4B-97145E8866D7}"/>
    <cellStyle name="Millares 5 4 2 5 2" xfId="4299" xr:uid="{07C8D6A4-5200-4A6A-B452-18DA48E144CE}"/>
    <cellStyle name="Millares 5 4 2 5 2 2" xfId="9295" xr:uid="{A6739945-D35E-47B8-9DE6-B6EB43486733}"/>
    <cellStyle name="Millares 5 4 2 5 3" xfId="6797" xr:uid="{E6110664-CEEB-4568-9D78-778E7E5D9923}"/>
    <cellStyle name="Millares 5 4 2 6" xfId="3050" xr:uid="{0C0BFE1A-6990-4BCC-BD9B-319108D238D9}"/>
    <cellStyle name="Millares 5 4 2 6 2" xfId="8046" xr:uid="{755FEBCD-E619-4507-9900-2FD90E7AEABC}"/>
    <cellStyle name="Millares 5 4 2 7" xfId="5548" xr:uid="{76859C8F-A096-4DAF-956F-3037DDF3480A}"/>
    <cellStyle name="Millares 5 4 2 8" xfId="550" xr:uid="{01C9AF96-89F4-4C2B-B970-689D2D0CFDE4}"/>
    <cellStyle name="Millares 5 4 3" xfId="788" xr:uid="{96142489-4968-47E3-A71D-B9F3152C6E5B}"/>
    <cellStyle name="Millares 5 4 3 2" xfId="2039" xr:uid="{7804CC25-8808-46E9-8F54-41833CAAD4B2}"/>
    <cellStyle name="Millares 5 4 3 2 2" xfId="4537" xr:uid="{FACB172E-FB9E-489C-AA01-4853AB174A28}"/>
    <cellStyle name="Millares 5 4 3 2 2 2" xfId="9533" xr:uid="{7D12D946-B2E8-46C0-A049-774C54AE5C82}"/>
    <cellStyle name="Millares 5 4 3 2 3" xfId="7035" xr:uid="{39CC35C2-09CD-4873-971B-E7C316B0F21B}"/>
    <cellStyle name="Millares 5 4 3 3" xfId="3288" xr:uid="{FCF007D6-9C68-4A31-834B-D41D6CD19CC1}"/>
    <cellStyle name="Millares 5 4 3 3 2" xfId="8284" xr:uid="{40D984A9-AF6E-4556-9CE0-265717A847A9}"/>
    <cellStyle name="Millares 5 4 3 4" xfId="5786" xr:uid="{AF5ED1C2-65B8-49CF-8F3B-7A7C1CDB4925}"/>
    <cellStyle name="Millares 5 4 4" xfId="1101" xr:uid="{A6BE208B-1C2A-441F-89F1-F69FBB35AAEA}"/>
    <cellStyle name="Millares 5 4 4 2" xfId="2351" xr:uid="{B73355D7-7AE5-4EC2-94D0-64205A80FE47}"/>
    <cellStyle name="Millares 5 4 4 2 2" xfId="4849" xr:uid="{241A22F7-9EFB-4C0D-97B4-3359ABE1E196}"/>
    <cellStyle name="Millares 5 4 4 2 2 2" xfId="9845" xr:uid="{704FB832-64E3-45F5-8836-FA16176F1BAF}"/>
    <cellStyle name="Millares 5 4 4 2 3" xfId="7347" xr:uid="{BFF3E47C-0E64-4711-80C3-16807CAC5685}"/>
    <cellStyle name="Millares 5 4 4 3" xfId="3600" xr:uid="{686DD7E9-C6A7-4843-9194-6D2BB6CB07E2}"/>
    <cellStyle name="Millares 5 4 4 3 2" xfId="8596" xr:uid="{7E92B926-5C51-4485-B0FB-BE76D5D76D34}"/>
    <cellStyle name="Millares 5 4 4 4" xfId="6098" xr:uid="{427C9414-F395-443B-8B5C-1748C03EC955}"/>
    <cellStyle name="Millares 5 4 5" xfId="1378" xr:uid="{9CBF7009-D833-48D4-88CE-A65506B36997}"/>
    <cellStyle name="Millares 5 4 5 2" xfId="2628" xr:uid="{889588AE-D384-4CC9-84F5-332B12759EB9}"/>
    <cellStyle name="Millares 5 4 5 2 2" xfId="5126" xr:uid="{BA13CE6A-BAB8-4ED6-B7A3-EDD1267D2119}"/>
    <cellStyle name="Millares 5 4 5 2 2 2" xfId="10122" xr:uid="{6D19C9ED-5CAD-4298-B6F0-98FD6093DDE4}"/>
    <cellStyle name="Millares 5 4 5 2 3" xfId="7624" xr:uid="{0C01D18C-C8D4-4749-9F9C-24ED217225B2}"/>
    <cellStyle name="Millares 5 4 5 3" xfId="3877" xr:uid="{0101260D-83FA-4D8C-8FAF-4BAE0E1E5796}"/>
    <cellStyle name="Millares 5 4 5 3 2" xfId="8873" xr:uid="{D56C54A1-A081-4256-BBCF-9A412B4DB920}"/>
    <cellStyle name="Millares 5 4 5 4" xfId="6375" xr:uid="{81B80B93-E351-4D23-B902-84D2AAD94A93}"/>
    <cellStyle name="Millares 5 4 6" xfId="1709" xr:uid="{0361138B-825B-49E1-A52B-C0D6E84789D6}"/>
    <cellStyle name="Millares 5 4 6 2" xfId="4207" xr:uid="{709FC558-D5D1-4EB5-BE93-ADD39A02C144}"/>
    <cellStyle name="Millares 5 4 6 2 2" xfId="9203" xr:uid="{93A176D5-37F1-4262-A3BE-C5D9B66D3BE1}"/>
    <cellStyle name="Millares 5 4 6 3" xfId="6705" xr:uid="{525BB914-5C5E-426C-9014-5B9441EFDD55}"/>
    <cellStyle name="Millares 5 4 7" xfId="2958" xr:uid="{24C3A176-7EB8-4E65-9DEC-C485C7123718}"/>
    <cellStyle name="Millares 5 4 7 2" xfId="7954" xr:uid="{D09D397D-C975-4EB4-BC68-4E985B633303}"/>
    <cellStyle name="Millares 5 4 8" xfId="5456" xr:uid="{3E60D020-568F-424E-98DA-F29BBDD07C23}"/>
    <cellStyle name="Millares 5 4 9" xfId="458" xr:uid="{4801F6AB-29CB-456C-BE86-FBC63812D1D9}"/>
    <cellStyle name="Millares 5 5" xfId="169" xr:uid="{00A15030-F2A2-4BE1-ABD1-19FC42405059}"/>
    <cellStyle name="Millares 5 5 2" xfId="790" xr:uid="{B8BD2FA4-BA61-4F1E-8B91-6564119B5262}"/>
    <cellStyle name="Millares 5 5 2 2" xfId="2041" xr:uid="{550C0254-BEC3-4172-8C3A-99E2AFF3C6CF}"/>
    <cellStyle name="Millares 5 5 2 2 2" xfId="4539" xr:uid="{572CF919-BDA6-4423-9D2E-5882FB3E8AEF}"/>
    <cellStyle name="Millares 5 5 2 2 2 2" xfId="9535" xr:uid="{E77AAF47-DF5B-4B0C-A20C-31F0D0F269A6}"/>
    <cellStyle name="Millares 5 5 2 2 3" xfId="7037" xr:uid="{D6BA5DE4-4F01-42BB-8D81-18BE6E2D0D3C}"/>
    <cellStyle name="Millares 5 5 2 3" xfId="3290" xr:uid="{956C9EA1-212D-46F5-93EA-F5D70B87A30A}"/>
    <cellStyle name="Millares 5 5 2 3 2" xfId="8286" xr:uid="{4C159109-FC55-4EA5-A618-36A30D34B5A5}"/>
    <cellStyle name="Millares 5 5 2 4" xfId="5788" xr:uid="{DB2D52FC-BC06-4FB9-8F03-BAFF94C2FAF5}"/>
    <cellStyle name="Millares 5 5 3" xfId="1103" xr:uid="{21E240D1-8BFD-4563-AB96-E592218495A1}"/>
    <cellStyle name="Millares 5 5 3 2" xfId="2353" xr:uid="{755C2C85-3305-4CFD-B080-71ADBB615929}"/>
    <cellStyle name="Millares 5 5 3 2 2" xfId="4851" xr:uid="{44F04DC1-9B0E-4FD3-989A-40026D0628A1}"/>
    <cellStyle name="Millares 5 5 3 2 2 2" xfId="9847" xr:uid="{508F9DC4-EEBB-4251-9CE6-D64FC3C02E9A}"/>
    <cellStyle name="Millares 5 5 3 2 3" xfId="7349" xr:uid="{FB12144C-9752-484F-A66D-9AC40DBC2128}"/>
    <cellStyle name="Millares 5 5 3 3" xfId="3602" xr:uid="{1F0DE15A-039D-4E9A-9AFC-2B2027B7A134}"/>
    <cellStyle name="Millares 5 5 3 3 2" xfId="8598" xr:uid="{FCA6909C-4D5D-4971-80FE-E26FE967C50B}"/>
    <cellStyle name="Millares 5 5 3 4" xfId="6100" xr:uid="{ED7F0A3A-1F8D-4BAB-AAE5-5E6EEE621ED3}"/>
    <cellStyle name="Millares 5 5 4" xfId="1465" xr:uid="{390B562C-F0E3-46E5-A830-9108665C9026}"/>
    <cellStyle name="Millares 5 5 4 2" xfId="2715" xr:uid="{3D62CD67-A037-46F3-A1FA-0B251D06C40C}"/>
    <cellStyle name="Millares 5 5 4 2 2" xfId="5213" xr:uid="{28B86275-9118-456B-81EC-DBFF425E1130}"/>
    <cellStyle name="Millares 5 5 4 2 2 2" xfId="10209" xr:uid="{5C8419D1-7CA1-4F9A-B9CA-1E71F5FEDBB3}"/>
    <cellStyle name="Millares 5 5 4 2 3" xfId="7711" xr:uid="{F4D7454E-EF3F-4B71-9F44-5C61427E51D5}"/>
    <cellStyle name="Millares 5 5 4 3" xfId="3964" xr:uid="{1D0CE638-8392-45B1-9D9D-FF02104C47C3}"/>
    <cellStyle name="Millares 5 5 4 3 2" xfId="8960" xr:uid="{7665F99C-AAE5-4979-B857-3D402F756C0C}"/>
    <cellStyle name="Millares 5 5 4 4" xfId="6462" xr:uid="{56C167DE-B812-4E61-8F8B-5D5043859F20}"/>
    <cellStyle name="Millares 5 5 5" xfId="1796" xr:uid="{73A6F1C9-DEA7-4482-82A6-B2546E034E53}"/>
    <cellStyle name="Millares 5 5 5 2" xfId="4294" xr:uid="{75CF60C5-8D68-4462-82C8-9CE5F9F1771C}"/>
    <cellStyle name="Millares 5 5 5 2 2" xfId="9290" xr:uid="{CD014EB2-BED7-4EB6-B1D6-28CDEB515B3C}"/>
    <cellStyle name="Millares 5 5 5 3" xfId="6792" xr:uid="{F33D458F-D126-4535-8A62-9D87C098AB9E}"/>
    <cellStyle name="Millares 5 5 6" xfId="3045" xr:uid="{5FDE20D5-E6C4-4461-9C0C-2F8B5C516F35}"/>
    <cellStyle name="Millares 5 5 6 2" xfId="8041" xr:uid="{91B558B1-C887-4730-AB98-BC957A57EA24}"/>
    <cellStyle name="Millares 5 5 7" xfId="5543" xr:uid="{BA9C2EEC-FC78-4313-B3E9-1F160D261D58}"/>
    <cellStyle name="Millares 5 5 8" xfId="545" xr:uid="{C5037511-88FB-4870-A093-CF872245A263}"/>
    <cellStyle name="Millares 5 6" xfId="361" xr:uid="{AB794DA4-605B-4348-A71B-A98F59A22C04}"/>
    <cellStyle name="Millares 5 6 2" xfId="1282" xr:uid="{9D5E86E5-421A-4827-9DBE-16C915979018}"/>
    <cellStyle name="Millares 5 6 2 2" xfId="2532" xr:uid="{661944F6-D2DC-40D6-A326-3BEE93B21B50}"/>
    <cellStyle name="Millares 5 6 2 2 2" xfId="5030" xr:uid="{A0E756F6-1395-44FD-9D01-BD6C8A6DC97A}"/>
    <cellStyle name="Millares 5 6 2 2 2 2" xfId="10026" xr:uid="{A532A687-7C29-41E3-AC46-A2BD70EC7959}"/>
    <cellStyle name="Millares 5 6 2 2 3" xfId="7528" xr:uid="{8D513805-8F32-43CA-B84B-C4779ED92669}"/>
    <cellStyle name="Millares 5 6 2 3" xfId="3781" xr:uid="{BE27817C-6AE4-4B7F-9DF8-A2330EDA6F83}"/>
    <cellStyle name="Millares 5 6 2 3 2" xfId="8777" xr:uid="{B5AF91F6-CAF6-4362-8F33-E12DED28A5DC}"/>
    <cellStyle name="Millares 5 6 2 4" xfId="6279" xr:uid="{C0D1F960-CE51-435E-AE8D-F5525AD1D70B}"/>
    <cellStyle name="Millares 5 6 3" xfId="2220" xr:uid="{B9B2104A-8596-48A0-9187-7A1EBCEE5D8C}"/>
    <cellStyle name="Millares 5 6 3 2" xfId="4718" xr:uid="{A75C7911-D51C-4095-8117-5C7DBB0DB3D1}"/>
    <cellStyle name="Millares 5 6 3 2 2" xfId="9714" xr:uid="{EECA902F-79BF-4FF2-BF45-225375103AC9}"/>
    <cellStyle name="Millares 5 6 3 3" xfId="7216" xr:uid="{87E5A38C-2DE9-4521-B9B3-4CC48D088C39}"/>
    <cellStyle name="Millares 5 6 4" xfId="3469" xr:uid="{046BA6B6-1188-4010-8307-CC2C8EC9FD50}"/>
    <cellStyle name="Millares 5 6 4 2" xfId="8465" xr:uid="{A02B5E8D-5F5A-4716-81D6-CD18E28F7AD8}"/>
    <cellStyle name="Millares 5 6 5" xfId="5967" xr:uid="{07799444-7F3E-420C-B1A1-13B38B047CA1}"/>
    <cellStyle name="Millares 5 6 6" xfId="970" xr:uid="{9F06090F-3B9B-4C53-8283-6D2B7BDE3A3C}"/>
    <cellStyle name="Millares 5 7" xfId="32" xr:uid="{F22675DC-9E0A-4464-B035-72A98853942E}"/>
    <cellStyle name="Millares 5 7 2" xfId="1940" xr:uid="{B83E4EA0-9812-4840-A9CC-5D103E4A4B17}"/>
    <cellStyle name="Millares 5 7 2 2" xfId="4438" xr:uid="{ABD0369E-ED36-4AEE-8D93-3A647C325E62}"/>
    <cellStyle name="Millares 5 7 2 2 2" xfId="9434" xr:uid="{5D2145C4-5D97-4B62-83FA-E48F3A80914D}"/>
    <cellStyle name="Millares 5 7 2 3" xfId="6936" xr:uid="{B85668E6-B6C6-4834-864A-1024E03D1393}"/>
    <cellStyle name="Millares 5 7 3" xfId="3189" xr:uid="{31585B1F-FF31-41E1-8905-B105072E8353}"/>
    <cellStyle name="Millares 5 7 3 2" xfId="8185" xr:uid="{214BEAF0-A019-45A8-87DC-B1E8F6B42529}"/>
    <cellStyle name="Millares 5 7 4" xfId="5687" xr:uid="{86F1DC80-CED0-4C30-B851-E66189F12986}"/>
    <cellStyle name="Millares 5 7 5" xfId="689" xr:uid="{D784DE2D-2C2D-4308-92DB-A92D977BA3D9}"/>
    <cellStyle name="Millares 5 8" xfId="1002" xr:uid="{ED405C91-DD23-41D8-8B98-2F1737DEED37}"/>
    <cellStyle name="Millares 5 8 2" xfId="2252" xr:uid="{AA708EB6-157A-44B8-8556-E0D11AC984EF}"/>
    <cellStyle name="Millares 5 8 2 2" xfId="4750" xr:uid="{D5CF6792-EF92-40F5-8708-1217CD3CF351}"/>
    <cellStyle name="Millares 5 8 2 2 2" xfId="9746" xr:uid="{86BDDDE9-CAAC-4502-AA03-B84D58BAF89E}"/>
    <cellStyle name="Millares 5 8 2 3" xfId="7248" xr:uid="{1CC2C80D-1412-4454-989B-4CAE41EE2700}"/>
    <cellStyle name="Millares 5 8 3" xfId="3501" xr:uid="{DB59E43E-1D5A-446F-A883-5C25F15B3012}"/>
    <cellStyle name="Millares 5 8 3 2" xfId="8497" xr:uid="{42AC50A8-AF86-4058-9442-8A4B9B426E7D}"/>
    <cellStyle name="Millares 5 8 4" xfId="5999" xr:uid="{AC09078E-506E-46FA-A734-475C6A7FE969}"/>
    <cellStyle name="Millares 5 9" xfId="1320" xr:uid="{B19DD7C6-A954-4D44-9DB8-6B328D462B9C}"/>
    <cellStyle name="Millares 5 9 2" xfId="2570" xr:uid="{D86369FD-A80E-4F44-B814-064ED39B1817}"/>
    <cellStyle name="Millares 5 9 2 2" xfId="5068" xr:uid="{2119EE54-60BD-4CCA-9871-2906CF9A919E}"/>
    <cellStyle name="Millares 5 9 2 2 2" xfId="10064" xr:uid="{A4B09F5D-3BE9-4E92-9A0B-01C6AAA0EADD}"/>
    <cellStyle name="Millares 5 9 2 3" xfId="7566" xr:uid="{EF8D011F-3343-4053-881D-8A9646023334}"/>
    <cellStyle name="Millares 5 9 3" xfId="3819" xr:uid="{508CABA1-CD44-416D-8CF7-2FD822B02EAB}"/>
    <cellStyle name="Millares 5 9 3 2" xfId="8815" xr:uid="{8E6DB1F2-2EAD-479E-B972-37BAC472C3F9}"/>
    <cellStyle name="Millares 5 9 4" xfId="6317" xr:uid="{73D3479C-B158-4208-92A2-D90F9540AA44}"/>
    <cellStyle name="Millares 6" xfId="33" xr:uid="{411B2174-3CBF-491C-85BE-C233359EFF4F}"/>
    <cellStyle name="Millares 6 10" xfId="1653" xr:uid="{A936312A-77B9-4166-9B50-F8D1D097473A}"/>
    <cellStyle name="Millares 6 10 2" xfId="4151" xr:uid="{F8DFE707-2844-48D7-BE8B-9B96FDB3C706}"/>
    <cellStyle name="Millares 6 10 2 2" xfId="9147" xr:uid="{6AC21002-BE97-4A7A-AF10-4ACB5D296499}"/>
    <cellStyle name="Millares 6 10 3" xfId="6649" xr:uid="{DC5917EE-D0BA-433D-9324-500244D3C546}"/>
    <cellStyle name="Millares 6 11" xfId="2902" xr:uid="{530F792F-C753-4D9A-8304-CDF8FF926113}"/>
    <cellStyle name="Millares 6 11 2" xfId="7898" xr:uid="{ABED2AC1-8A69-4AD6-982D-F14698AEFCDE}"/>
    <cellStyle name="Millares 6 12" xfId="5400" xr:uid="{863806A9-CF7C-4908-A89C-525C47A191F5}"/>
    <cellStyle name="Millares 6 13" xfId="402" xr:uid="{72FA49C1-48B8-4937-ABC9-2ED527874E1A}"/>
    <cellStyle name="Millares 6 2" xfId="61" xr:uid="{38881405-49F1-4A8C-A1EA-06F686D12389}"/>
    <cellStyle name="Millares 6 2 10" xfId="5428" xr:uid="{FE103E68-113F-4BF0-AC70-69F04DC8BF6D}"/>
    <cellStyle name="Millares 6 2 11" xfId="430" xr:uid="{531A6676-7396-4545-9799-1AC7E0EF3EFF}"/>
    <cellStyle name="Millares 6 2 2" xfId="170" xr:uid="{41955AD5-1530-4B9F-AAFA-BECD165042BE}"/>
    <cellStyle name="Millares 6 2 2 2" xfId="171" xr:uid="{C1C59749-0687-4F22-9158-696E70B0023E}"/>
    <cellStyle name="Millares 6 2 2 2 2" xfId="792" xr:uid="{848BC75F-6351-4DB6-92E8-0F94883CEED9}"/>
    <cellStyle name="Millares 6 2 2 2 2 2" xfId="2043" xr:uid="{ADAA5713-4AA3-49DF-B110-E605B710A510}"/>
    <cellStyle name="Millares 6 2 2 2 2 2 2" xfId="4541" xr:uid="{D205B07C-FAC9-4D13-93EB-1EB11DDF6C9F}"/>
    <cellStyle name="Millares 6 2 2 2 2 2 2 2" xfId="9537" xr:uid="{B3801FEB-E2A2-489F-8D8C-ABB7A9864702}"/>
    <cellStyle name="Millares 6 2 2 2 2 2 3" xfId="7039" xr:uid="{63171904-DC8F-4415-AE1B-7F8F1AC3F29D}"/>
    <cellStyle name="Millares 6 2 2 2 2 3" xfId="3292" xr:uid="{F7202747-62A2-491A-BBC5-D895DC5C2210}"/>
    <cellStyle name="Millares 6 2 2 2 2 3 2" xfId="8288" xr:uid="{4E67EA0C-3930-425A-AEB1-C88CCB030E22}"/>
    <cellStyle name="Millares 6 2 2 2 2 4" xfId="5790" xr:uid="{261DFE73-513A-4754-9C48-D52FC88ED3CC}"/>
    <cellStyle name="Millares 6 2 2 2 3" xfId="1105" xr:uid="{35544585-6087-4B7B-90D2-AA5846CF0CC2}"/>
    <cellStyle name="Millares 6 2 2 2 3 2" xfId="2355" xr:uid="{F29D8929-E4F1-4034-8846-BE0C2A9F75D5}"/>
    <cellStyle name="Millares 6 2 2 2 3 2 2" xfId="4853" xr:uid="{A2AFCC92-B8AC-4F1C-BF1E-857CB2D9E176}"/>
    <cellStyle name="Millares 6 2 2 2 3 2 2 2" xfId="9849" xr:uid="{24199EF8-94C5-466B-9966-FB9BE02374D5}"/>
    <cellStyle name="Millares 6 2 2 2 3 2 3" xfId="7351" xr:uid="{E0C18B2A-1BFD-4377-85CD-CB796D29E0BC}"/>
    <cellStyle name="Millares 6 2 2 2 3 3" xfId="3604" xr:uid="{DC2E4345-59AB-484D-8B0D-F427D5C7BD7D}"/>
    <cellStyle name="Millares 6 2 2 2 3 3 2" xfId="8600" xr:uid="{238E1D8F-B9E3-4621-825F-B3C91D318315}"/>
    <cellStyle name="Millares 6 2 2 2 3 4" xfId="6102" xr:uid="{885F4541-9EF7-48FD-8855-52FE396B6B6C}"/>
    <cellStyle name="Millares 6 2 2 2 4" xfId="1473" xr:uid="{D92EFF1B-3DBB-430B-BD18-E09C8AE994CE}"/>
    <cellStyle name="Millares 6 2 2 2 4 2" xfId="2723" xr:uid="{83067415-B3EB-4CC4-83BA-8C843AF4050A}"/>
    <cellStyle name="Millares 6 2 2 2 4 2 2" xfId="5221" xr:uid="{29C85BC8-E515-437E-A05B-A1EBC7076663}"/>
    <cellStyle name="Millares 6 2 2 2 4 2 2 2" xfId="10217" xr:uid="{63B6F7B0-A28D-4F3F-A227-165BD397DD39}"/>
    <cellStyle name="Millares 6 2 2 2 4 2 3" xfId="7719" xr:uid="{8960A67D-010D-4C93-8333-0FC8C5DFC082}"/>
    <cellStyle name="Millares 6 2 2 2 4 3" xfId="3972" xr:uid="{27308F5A-5D22-40FF-9286-EB62FF447801}"/>
    <cellStyle name="Millares 6 2 2 2 4 3 2" xfId="8968" xr:uid="{2EC688AB-8B56-49AD-8310-BDE6BB4D9A08}"/>
    <cellStyle name="Millares 6 2 2 2 4 4" xfId="6470" xr:uid="{D185E03D-F5DB-4554-84FE-E37E43D31B36}"/>
    <cellStyle name="Millares 6 2 2 2 5" xfId="1804" xr:uid="{6016D61C-2E7B-4DEF-89B3-07194EB9BACE}"/>
    <cellStyle name="Millares 6 2 2 2 5 2" xfId="4302" xr:uid="{BBA53BD7-6C28-4BE9-8CAC-F5990E069E6B}"/>
    <cellStyle name="Millares 6 2 2 2 5 2 2" xfId="9298" xr:uid="{FA8C8D47-E3B4-4AF7-B109-BF0915129F18}"/>
    <cellStyle name="Millares 6 2 2 2 5 3" xfId="6800" xr:uid="{176CD9AC-FBA2-4F27-AB2D-9E835FE36FD5}"/>
    <cellStyle name="Millares 6 2 2 2 6" xfId="3053" xr:uid="{30E9DA3A-7C79-4D97-A0E1-FE3CAA7B348E}"/>
    <cellStyle name="Millares 6 2 2 2 6 2" xfId="8049" xr:uid="{5A43F7A6-586E-4A34-9A59-32F61ED858EF}"/>
    <cellStyle name="Millares 6 2 2 2 7" xfId="5551" xr:uid="{C2200BE9-75A1-429A-BC92-47414E9113A1}"/>
    <cellStyle name="Millares 6 2 2 2 8" xfId="553" xr:uid="{185893AB-8E8F-45E7-B975-FB7017AB7BDB}"/>
    <cellStyle name="Millares 6 2 2 3" xfId="791" xr:uid="{157DCE78-139C-40E9-AE77-10AB535AB5C4}"/>
    <cellStyle name="Millares 6 2 2 3 2" xfId="2042" xr:uid="{B1291C43-2815-4BF2-A9B1-391958D1E712}"/>
    <cellStyle name="Millares 6 2 2 3 2 2" xfId="4540" xr:uid="{FE93A5E7-E1D4-4EE1-AC46-2BB2CAF716B2}"/>
    <cellStyle name="Millares 6 2 2 3 2 2 2" xfId="9536" xr:uid="{0214EE8B-9250-401A-B031-D12BFDC6CD4E}"/>
    <cellStyle name="Millares 6 2 2 3 2 3" xfId="7038" xr:uid="{2CBB0D1D-0B90-47C0-95BF-15AC5C291EFE}"/>
    <cellStyle name="Millares 6 2 2 3 3" xfId="3291" xr:uid="{88C1514F-F112-43C6-81E3-B78FC2FCCC41}"/>
    <cellStyle name="Millares 6 2 2 3 3 2" xfId="8287" xr:uid="{E36E2922-49C4-4AC4-A60F-9C849F68BAD3}"/>
    <cellStyle name="Millares 6 2 2 3 4" xfId="5789" xr:uid="{EE6C07DC-872D-4AEC-868C-A6102F0127A6}"/>
    <cellStyle name="Millares 6 2 2 4" xfId="1104" xr:uid="{89F10B18-6E2C-474C-8E50-A29D88B4E71A}"/>
    <cellStyle name="Millares 6 2 2 4 2" xfId="2354" xr:uid="{0672452F-BF9B-464E-BF14-D396B13233DA}"/>
    <cellStyle name="Millares 6 2 2 4 2 2" xfId="4852" xr:uid="{7B6F8F23-A218-4C4F-9F17-9096E5F1C585}"/>
    <cellStyle name="Millares 6 2 2 4 2 2 2" xfId="9848" xr:uid="{A18F3944-9FC5-4F35-A0BA-AD243C44D110}"/>
    <cellStyle name="Millares 6 2 2 4 2 3" xfId="7350" xr:uid="{67844355-1696-47F2-BEED-605F7D8D04C5}"/>
    <cellStyle name="Millares 6 2 2 4 3" xfId="3603" xr:uid="{A1C5FF59-E53F-43E3-9541-DC40C4590AE1}"/>
    <cellStyle name="Millares 6 2 2 4 3 2" xfId="8599" xr:uid="{FB6C2599-D64F-4114-90CC-4A9D8F42D2F4}"/>
    <cellStyle name="Millares 6 2 2 4 4" xfId="6101" xr:uid="{55542C95-43F0-4785-BE6A-00C594996E90}"/>
    <cellStyle name="Millares 6 2 2 5" xfId="1351" xr:uid="{AAD9DBEE-EDFF-4B11-9D22-5A6BDBAFC4B2}"/>
    <cellStyle name="Millares 6 2 2 5 2" xfId="2601" xr:uid="{779464A3-32BA-44FF-9893-595EB0C930B7}"/>
    <cellStyle name="Millares 6 2 2 5 2 2" xfId="5099" xr:uid="{491A84B4-E7C7-4474-A8BB-0BA97FE37E68}"/>
    <cellStyle name="Millares 6 2 2 5 2 2 2" xfId="10095" xr:uid="{8D213576-3445-4191-86CD-968CC7A26E92}"/>
    <cellStyle name="Millares 6 2 2 5 2 3" xfId="7597" xr:uid="{C46E04FB-FF2D-4279-98FB-2EA5383D2469}"/>
    <cellStyle name="Millares 6 2 2 5 3" xfId="3850" xr:uid="{9192D19C-D2D1-42C7-923D-1300B1402CB3}"/>
    <cellStyle name="Millares 6 2 2 5 3 2" xfId="8846" xr:uid="{741BC852-30E4-453D-A72F-84BC4BD8FA92}"/>
    <cellStyle name="Millares 6 2 2 5 4" xfId="6348" xr:uid="{E7A755E3-275F-4E99-80FD-CA46C3A798AB}"/>
    <cellStyle name="Millares 6 2 2 6" xfId="1682" xr:uid="{3668C2A4-01A2-4FC2-BB3B-E3045F2303DE}"/>
    <cellStyle name="Millares 6 2 2 6 2" xfId="4180" xr:uid="{9D41CFD8-8953-48AC-80B4-6FB96F8D7DDF}"/>
    <cellStyle name="Millares 6 2 2 6 2 2" xfId="9176" xr:uid="{4A7DED10-E8D6-4C0A-8559-D6BFE4F1E159}"/>
    <cellStyle name="Millares 6 2 2 6 3" xfId="6678" xr:uid="{0AABFCF6-8140-46AF-B5DF-D3341D84976C}"/>
    <cellStyle name="Millares 6 2 2 7" xfId="2931" xr:uid="{2A67FBCE-C3BD-4AD8-9837-6C4B7B01BC7A}"/>
    <cellStyle name="Millares 6 2 2 7 2" xfId="7927" xr:uid="{DE10A521-A748-4801-9B5D-7B6D54DFD796}"/>
    <cellStyle name="Millares 6 2 2 8" xfId="5429" xr:uid="{21468AAC-6C0F-444D-84C8-95490348CE83}"/>
    <cellStyle name="Millares 6 2 2 9" xfId="431" xr:uid="{5C3E5CC8-04AC-4F11-9FF8-7C61EEBB0E96}"/>
    <cellStyle name="Millares 6 2 3" xfId="172" xr:uid="{B8B9B7E1-2124-451F-8E7C-0EC228ECEFA4}"/>
    <cellStyle name="Millares 6 2 3 2" xfId="173" xr:uid="{67A9FC19-18A9-4445-A385-4DDC8C7C5204}"/>
    <cellStyle name="Millares 6 2 3 2 2" xfId="794" xr:uid="{739FC08E-93F6-45FD-A173-D56FF1CFD26C}"/>
    <cellStyle name="Millares 6 2 3 2 2 2" xfId="2045" xr:uid="{B815BC84-EB48-4D4E-8857-BD5B4E0B7003}"/>
    <cellStyle name="Millares 6 2 3 2 2 2 2" xfId="4543" xr:uid="{BC15631C-CFF3-46D4-AB41-442FE24C9FE6}"/>
    <cellStyle name="Millares 6 2 3 2 2 2 2 2" xfId="9539" xr:uid="{E2D30B78-3C9B-4E1C-8846-9B5AA9FD5867}"/>
    <cellStyle name="Millares 6 2 3 2 2 2 3" xfId="7041" xr:uid="{E5CBCADF-8492-4ECB-84DE-CE2A76837354}"/>
    <cellStyle name="Millares 6 2 3 2 2 3" xfId="3294" xr:uid="{8B8E12CB-6831-4F2E-B6E3-143BB53E4497}"/>
    <cellStyle name="Millares 6 2 3 2 2 3 2" xfId="8290" xr:uid="{19785AB7-CA30-45E9-B488-19F074373C68}"/>
    <cellStyle name="Millares 6 2 3 2 2 4" xfId="5792" xr:uid="{539E5973-7B1F-47E4-8FFD-7D7AC167E60E}"/>
    <cellStyle name="Millares 6 2 3 2 3" xfId="1107" xr:uid="{352EB27F-9B22-45AA-AEC5-6B4B5D4DB092}"/>
    <cellStyle name="Millares 6 2 3 2 3 2" xfId="2357" xr:uid="{AD47CE2B-4BDD-42FB-B97A-F0B06E76DA43}"/>
    <cellStyle name="Millares 6 2 3 2 3 2 2" xfId="4855" xr:uid="{BD698859-D34C-4543-84B0-582031594E68}"/>
    <cellStyle name="Millares 6 2 3 2 3 2 2 2" xfId="9851" xr:uid="{4B89F3C7-2829-4A80-A2EA-7389171D9C5E}"/>
    <cellStyle name="Millares 6 2 3 2 3 2 3" xfId="7353" xr:uid="{CADCB0F5-B682-41D7-8095-7A0064BDD564}"/>
    <cellStyle name="Millares 6 2 3 2 3 3" xfId="3606" xr:uid="{1B573528-62DA-4F8C-8E86-7D0EC900FA55}"/>
    <cellStyle name="Millares 6 2 3 2 3 3 2" xfId="8602" xr:uid="{1149E8F6-946E-42D5-BD43-69A1581F8A63}"/>
    <cellStyle name="Millares 6 2 3 2 3 4" xfId="6104" xr:uid="{8B8BAA6F-8849-4C83-813C-BC9570A49C25}"/>
    <cellStyle name="Millares 6 2 3 2 4" xfId="1474" xr:uid="{B1F01ADE-6348-445F-81D7-78D39FB4F76F}"/>
    <cellStyle name="Millares 6 2 3 2 4 2" xfId="2724" xr:uid="{89EB512D-F4D6-46FD-B95A-E79318399177}"/>
    <cellStyle name="Millares 6 2 3 2 4 2 2" xfId="5222" xr:uid="{BFF52016-53C3-42A1-B25D-563994435929}"/>
    <cellStyle name="Millares 6 2 3 2 4 2 2 2" xfId="10218" xr:uid="{B5EA7B3E-204C-4C65-B9F8-A13D1F3CAD1C}"/>
    <cellStyle name="Millares 6 2 3 2 4 2 3" xfId="7720" xr:uid="{863A148D-8E83-4B80-A07C-7275D1349515}"/>
    <cellStyle name="Millares 6 2 3 2 4 3" xfId="3973" xr:uid="{E10C1101-6823-417C-818B-472D4A634DF2}"/>
    <cellStyle name="Millares 6 2 3 2 4 3 2" xfId="8969" xr:uid="{AF76D661-D663-46EC-A55A-002998A5E890}"/>
    <cellStyle name="Millares 6 2 3 2 4 4" xfId="6471" xr:uid="{70A660EB-242A-4E80-84FA-BB2AE24FC16B}"/>
    <cellStyle name="Millares 6 2 3 2 5" xfId="1805" xr:uid="{228362BA-B827-4BDC-B402-1E6EC96389E5}"/>
    <cellStyle name="Millares 6 2 3 2 5 2" xfId="4303" xr:uid="{8EC79B1D-77EE-49FA-B343-D59CD5D4E6A2}"/>
    <cellStyle name="Millares 6 2 3 2 5 2 2" xfId="9299" xr:uid="{E61EDA3E-0A5E-4BB6-AC2E-F77EAC8B9877}"/>
    <cellStyle name="Millares 6 2 3 2 5 3" xfId="6801" xr:uid="{69ED6DA2-C2E0-4FA7-90E6-0B6F9D4274F1}"/>
    <cellStyle name="Millares 6 2 3 2 6" xfId="3054" xr:uid="{B501A14A-91C3-41A9-B5EF-1FB61FEE5677}"/>
    <cellStyle name="Millares 6 2 3 2 6 2" xfId="8050" xr:uid="{554E7274-0D24-48AF-9CFD-133AEC2C3A8C}"/>
    <cellStyle name="Millares 6 2 3 2 7" xfId="5552" xr:uid="{4F78A2EE-44FE-4459-92BF-1B089C83DEF6}"/>
    <cellStyle name="Millares 6 2 3 2 8" xfId="554" xr:uid="{17393666-4B6D-4E61-A2C5-B644AFE2FD76}"/>
    <cellStyle name="Millares 6 2 3 3" xfId="793" xr:uid="{C987A0F6-166E-4239-B320-837D48DBB818}"/>
    <cellStyle name="Millares 6 2 3 3 2" xfId="2044" xr:uid="{2EB5AEF8-FC7E-48E5-8143-BA9C455C0214}"/>
    <cellStyle name="Millares 6 2 3 3 2 2" xfId="4542" xr:uid="{C02AC037-F5B2-4A61-83A3-3068CD3CC614}"/>
    <cellStyle name="Millares 6 2 3 3 2 2 2" xfId="9538" xr:uid="{11E4BC22-5313-4629-9B36-2C04D1F3E567}"/>
    <cellStyle name="Millares 6 2 3 3 2 3" xfId="7040" xr:uid="{A045AAE7-70F6-428C-8BD2-81C5723C2E92}"/>
    <cellStyle name="Millares 6 2 3 3 3" xfId="3293" xr:uid="{92490B7A-D5E0-4A6D-B9EE-3B06BF1B8C2E}"/>
    <cellStyle name="Millares 6 2 3 3 3 2" xfId="8289" xr:uid="{37A0C16E-42EC-4000-A8C3-BE5AE1E634A1}"/>
    <cellStyle name="Millares 6 2 3 3 4" xfId="5791" xr:uid="{D43BC6F7-3FB8-495F-A825-CBB1A7F161B2}"/>
    <cellStyle name="Millares 6 2 3 4" xfId="1106" xr:uid="{16910F6E-4082-4A6A-A916-39242A058EA6}"/>
    <cellStyle name="Millares 6 2 3 4 2" xfId="2356" xr:uid="{DEC79A48-43EB-4EBF-A0E5-BAB10210FFF3}"/>
    <cellStyle name="Millares 6 2 3 4 2 2" xfId="4854" xr:uid="{D743F2ED-CBCD-4C52-A399-EB0BFFE6216B}"/>
    <cellStyle name="Millares 6 2 3 4 2 2 2" xfId="9850" xr:uid="{8BDFD73E-FB47-4E84-ACE7-72B3015CB16E}"/>
    <cellStyle name="Millares 6 2 3 4 2 3" xfId="7352" xr:uid="{F3375701-66B3-451F-9941-FA910DADDD38}"/>
    <cellStyle name="Millares 6 2 3 4 3" xfId="3605" xr:uid="{0AC754FD-57E0-439B-91C0-6113E0107759}"/>
    <cellStyle name="Millares 6 2 3 4 3 2" xfId="8601" xr:uid="{B1973125-0E6E-4330-8866-7A288A2E4D65}"/>
    <cellStyle name="Millares 6 2 3 4 4" xfId="6103" xr:uid="{D1577ED5-E26F-4D28-8C76-4B29668F7514}"/>
    <cellStyle name="Millares 6 2 3 5" xfId="1382" xr:uid="{E067B660-9CB5-4C2E-BCDA-B6D66253A07C}"/>
    <cellStyle name="Millares 6 2 3 5 2" xfId="2632" xr:uid="{7D33AA50-6E67-4554-8A0F-AE1C1C60083B}"/>
    <cellStyle name="Millares 6 2 3 5 2 2" xfId="5130" xr:uid="{6A42732C-9ACD-4AAD-B884-54E8DD11B7F6}"/>
    <cellStyle name="Millares 6 2 3 5 2 2 2" xfId="10126" xr:uid="{7F2C551A-30F4-449C-8042-4857BC98208E}"/>
    <cellStyle name="Millares 6 2 3 5 2 3" xfId="7628" xr:uid="{F120FA29-1128-47E9-998D-2A177FE8C800}"/>
    <cellStyle name="Millares 6 2 3 5 3" xfId="3881" xr:uid="{92844E03-6280-4958-AC3E-7AE844361714}"/>
    <cellStyle name="Millares 6 2 3 5 3 2" xfId="8877" xr:uid="{3514723E-4FB3-4B50-823D-E1902C926896}"/>
    <cellStyle name="Millares 6 2 3 5 4" xfId="6379" xr:uid="{124C07A6-39D7-4F59-B3E1-7C292E8E0CBC}"/>
    <cellStyle name="Millares 6 2 3 6" xfId="1713" xr:uid="{31D4A704-B8AE-42C6-8D2E-3753F27C4764}"/>
    <cellStyle name="Millares 6 2 3 6 2" xfId="4211" xr:uid="{8A84A5CF-FBA3-4B29-9797-78D9D5CE5F3F}"/>
    <cellStyle name="Millares 6 2 3 6 2 2" xfId="9207" xr:uid="{C346D790-4A9B-4CA1-8385-35369B58CFFC}"/>
    <cellStyle name="Millares 6 2 3 6 3" xfId="6709" xr:uid="{EF793ACB-BC8E-4656-ABDC-88A6E1EF5086}"/>
    <cellStyle name="Millares 6 2 3 7" xfId="2962" xr:uid="{E369D118-AA0F-4AFC-A5BA-5B9636C3DAFD}"/>
    <cellStyle name="Millares 6 2 3 7 2" xfId="7958" xr:uid="{B6FDFAD4-23AA-4F2F-9E8E-2209E9DE7429}"/>
    <cellStyle name="Millares 6 2 3 8" xfId="5460" xr:uid="{FA22D535-84CB-4D59-B856-F5D2D126184A}"/>
    <cellStyle name="Millares 6 2 3 9" xfId="462" xr:uid="{3B10E945-5678-4C57-BCF1-3EC90DF16C11}"/>
    <cellStyle name="Millares 6 2 4" xfId="174" xr:uid="{7E34918B-2A4D-438F-AD17-AEB261B0861D}"/>
    <cellStyle name="Millares 6 2 4 2" xfId="795" xr:uid="{BDDA8A96-0ADC-43B0-9CBD-AC055C108571}"/>
    <cellStyle name="Millares 6 2 4 2 2" xfId="2046" xr:uid="{68A0E6F9-1DB9-44DC-88B1-DD1F449A06E6}"/>
    <cellStyle name="Millares 6 2 4 2 2 2" xfId="4544" xr:uid="{05F8968E-FC8D-4245-9C01-26E92864415C}"/>
    <cellStyle name="Millares 6 2 4 2 2 2 2" xfId="9540" xr:uid="{B62F4BC5-5612-4718-941D-72EDF6125189}"/>
    <cellStyle name="Millares 6 2 4 2 2 3" xfId="7042" xr:uid="{65CB3255-E056-4284-B1DD-ECF58FA33F65}"/>
    <cellStyle name="Millares 6 2 4 2 3" xfId="3295" xr:uid="{775B4DBE-CA67-4DC3-ABEF-44258D977EAD}"/>
    <cellStyle name="Millares 6 2 4 2 3 2" xfId="8291" xr:uid="{74F27883-FC80-41DE-8D5D-5580BC641EBC}"/>
    <cellStyle name="Millares 6 2 4 2 4" xfId="5793" xr:uid="{57A284BB-BCCE-4B2B-9783-36C926DBD660}"/>
    <cellStyle name="Millares 6 2 4 3" xfId="1108" xr:uid="{19B6F70C-58A2-4959-8A13-3E7482F8BF15}"/>
    <cellStyle name="Millares 6 2 4 3 2" xfId="2358" xr:uid="{E3B9F56E-B3BF-4674-8D04-5A587AA1D708}"/>
    <cellStyle name="Millares 6 2 4 3 2 2" xfId="4856" xr:uid="{2B1EA259-9149-4717-8FE9-AEAC9B6FD7FD}"/>
    <cellStyle name="Millares 6 2 4 3 2 2 2" xfId="9852" xr:uid="{4AAA30C9-2743-43EA-ACB0-43E431039223}"/>
    <cellStyle name="Millares 6 2 4 3 2 3" xfId="7354" xr:uid="{32CEC446-3599-44EB-B097-C26A7296299A}"/>
    <cellStyle name="Millares 6 2 4 3 3" xfId="3607" xr:uid="{EE561DC3-97E9-46BA-B8E8-7A661A7176F0}"/>
    <cellStyle name="Millares 6 2 4 3 3 2" xfId="8603" xr:uid="{40483422-2F77-4A1F-8F37-4F4098C2A8E7}"/>
    <cellStyle name="Millares 6 2 4 3 4" xfId="6105" xr:uid="{DD6524B9-A2DC-4C7F-AA1D-62327C6A2E0B}"/>
    <cellStyle name="Millares 6 2 4 4" xfId="1472" xr:uid="{87D6F033-2468-4887-B840-2D8A20C5DF35}"/>
    <cellStyle name="Millares 6 2 4 4 2" xfId="2722" xr:uid="{9D760EBA-DDC8-43E2-9C75-9003CD9E0399}"/>
    <cellStyle name="Millares 6 2 4 4 2 2" xfId="5220" xr:uid="{B482D0A4-0953-46C0-A7CE-4ED525AE3B9B}"/>
    <cellStyle name="Millares 6 2 4 4 2 2 2" xfId="10216" xr:uid="{A0F9233C-5BA3-4CAE-A4C0-23B55E704534}"/>
    <cellStyle name="Millares 6 2 4 4 2 3" xfId="7718" xr:uid="{2F37F31E-2F8E-4309-8D1C-B30B7FA99966}"/>
    <cellStyle name="Millares 6 2 4 4 3" xfId="3971" xr:uid="{1F69509B-C9CD-4EA6-82FC-37FFBD6010C2}"/>
    <cellStyle name="Millares 6 2 4 4 3 2" xfId="8967" xr:uid="{24917D7C-53FE-4C91-ABB1-B18B96D8134F}"/>
    <cellStyle name="Millares 6 2 4 4 4" xfId="6469" xr:uid="{D18C408E-57BB-455F-9011-D2576B643E9E}"/>
    <cellStyle name="Millares 6 2 4 5" xfId="1803" xr:uid="{6A3C8E72-EC19-4BFA-B17F-20EF9A6D3F46}"/>
    <cellStyle name="Millares 6 2 4 5 2" xfId="4301" xr:uid="{8A4CADF7-9F09-4460-A459-158B3664BBD5}"/>
    <cellStyle name="Millares 6 2 4 5 2 2" xfId="9297" xr:uid="{D04E55E5-F404-4FC6-BB7C-F23E7444E8A5}"/>
    <cellStyle name="Millares 6 2 4 5 3" xfId="6799" xr:uid="{04E05699-78AC-4EAC-B4CB-90A863939B1D}"/>
    <cellStyle name="Millares 6 2 4 6" xfId="3052" xr:uid="{09A0E174-1F31-4967-BF14-07E6ACA0A91D}"/>
    <cellStyle name="Millares 6 2 4 6 2" xfId="8048" xr:uid="{2774E337-74D8-46F5-A611-8F117BA2B23A}"/>
    <cellStyle name="Millares 6 2 4 7" xfId="5550" xr:uid="{7F125510-0930-43FD-8C06-281025F9B02F}"/>
    <cellStyle name="Millares 6 2 4 8" xfId="552" xr:uid="{9B418BC6-6975-410F-83C0-248C027A22A6}"/>
    <cellStyle name="Millares 6 2 5" xfId="715" xr:uid="{75E1AC7B-9C69-45BB-ACB6-D8D8D39EA12A}"/>
    <cellStyle name="Millares 6 2 5 2" xfId="1966" xr:uid="{B9131402-8893-4783-9018-7CCBDE696137}"/>
    <cellStyle name="Millares 6 2 5 2 2" xfId="4464" xr:uid="{D4FA94A1-996C-4452-BD7D-A852655F21AA}"/>
    <cellStyle name="Millares 6 2 5 2 2 2" xfId="9460" xr:uid="{720CE456-8353-4F19-87BA-2ABB30AF1E2B}"/>
    <cellStyle name="Millares 6 2 5 2 3" xfId="6962" xr:uid="{C2924CD6-197F-42A4-BB19-A82885BE12B1}"/>
    <cellStyle name="Millares 6 2 5 3" xfId="3215" xr:uid="{AF84D5D9-E0C2-4F17-987F-D86F4E858EE3}"/>
    <cellStyle name="Millares 6 2 5 3 2" xfId="8211" xr:uid="{CECEA374-9201-477A-A9C5-D750C65598D1}"/>
    <cellStyle name="Millares 6 2 5 4" xfId="5713" xr:uid="{DA95BDD9-3AE4-4D3F-B4A2-CDD537AA1567}"/>
    <cellStyle name="Millares 6 2 6" xfId="1028" xr:uid="{C95FF7C8-AF8C-4A47-B4BB-E7B275D77031}"/>
    <cellStyle name="Millares 6 2 6 2" xfId="2278" xr:uid="{48151BFD-51E1-4893-A235-5A9DFFCB75C3}"/>
    <cellStyle name="Millares 6 2 6 2 2" xfId="4776" xr:uid="{15FE5448-BBFC-481E-B713-AA11E5C44BCE}"/>
    <cellStyle name="Millares 6 2 6 2 2 2" xfId="9772" xr:uid="{B489C57A-892B-4B1D-90CC-903AB9E5A308}"/>
    <cellStyle name="Millares 6 2 6 2 3" xfId="7274" xr:uid="{76EA0233-C64A-437C-AB87-0005916BB43A}"/>
    <cellStyle name="Millares 6 2 6 3" xfId="3527" xr:uid="{4B87207F-62B1-4BA3-AD15-1B387786E91C}"/>
    <cellStyle name="Millares 6 2 6 3 2" xfId="8523" xr:uid="{6BDA36DC-CCFD-466D-8869-3E288A9B541C}"/>
    <cellStyle name="Millares 6 2 6 4" xfId="6025" xr:uid="{E6565FA5-D2E9-48A8-9C2E-F5A4F80EDEE0}"/>
    <cellStyle name="Millares 6 2 7" xfId="1350" xr:uid="{C501C2FB-2500-4FDB-BC07-D9A4E3B47F27}"/>
    <cellStyle name="Millares 6 2 7 2" xfId="2600" xr:uid="{FE9D9513-71BA-4048-8F21-DDB922D5D40C}"/>
    <cellStyle name="Millares 6 2 7 2 2" xfId="5098" xr:uid="{1254355A-944C-4748-9A5F-6E4FCD262783}"/>
    <cellStyle name="Millares 6 2 7 2 2 2" xfId="10094" xr:uid="{6CE02E83-B3B9-4826-A558-2DC1A7E1914F}"/>
    <cellStyle name="Millares 6 2 7 2 3" xfId="7596" xr:uid="{85D75A95-0A23-4801-96D5-299818206D68}"/>
    <cellStyle name="Millares 6 2 7 3" xfId="3849" xr:uid="{C47A5871-A299-4484-B7C2-096B66561C4B}"/>
    <cellStyle name="Millares 6 2 7 3 2" xfId="8845" xr:uid="{EC87D9F1-D3C5-4769-AC89-2254AF9F9BD9}"/>
    <cellStyle name="Millares 6 2 7 4" xfId="6347" xr:uid="{17D9A401-7EF6-4D18-B597-67CD31B289A9}"/>
    <cellStyle name="Millares 6 2 8" xfId="1681" xr:uid="{4774A000-24C8-4EE7-9FAF-61302331A6CC}"/>
    <cellStyle name="Millares 6 2 8 2" xfId="4179" xr:uid="{DB368674-52C6-425D-9892-5B70F411E38F}"/>
    <cellStyle name="Millares 6 2 8 2 2" xfId="9175" xr:uid="{4C732225-C225-4994-A4A2-66B9CD3B36C7}"/>
    <cellStyle name="Millares 6 2 8 3" xfId="6677" xr:uid="{F816462B-6FA3-461B-AB94-00DA681920D5}"/>
    <cellStyle name="Millares 6 2 9" xfId="2930" xr:uid="{C58C5D84-E695-4A92-AF61-29169B049725}"/>
    <cellStyle name="Millares 6 2 9 2" xfId="7926" xr:uid="{42B07808-85BD-431C-A9FD-D803E33A5C2A}"/>
    <cellStyle name="Millares 6 3" xfId="85" xr:uid="{86F696FB-F810-4C8E-B39F-D6654ACACD51}"/>
    <cellStyle name="Millares 6 3 2" xfId="175" xr:uid="{1DEC11E1-8614-427B-BA7D-72B9CA085A52}"/>
    <cellStyle name="Millares 6 3 2 2" xfId="796" xr:uid="{BC15A3E2-7474-49A8-AB76-6031F6E7604B}"/>
    <cellStyle name="Millares 6 3 2 2 2" xfId="2047" xr:uid="{8A79D34D-8066-4D4F-AEE0-CE0E1AB56C02}"/>
    <cellStyle name="Millares 6 3 2 2 2 2" xfId="4545" xr:uid="{81B3903A-D029-47D9-9C07-D70B0A671E70}"/>
    <cellStyle name="Millares 6 3 2 2 2 2 2" xfId="9541" xr:uid="{F6000CB7-0F05-4C36-8FC9-EC39005F1249}"/>
    <cellStyle name="Millares 6 3 2 2 2 3" xfId="7043" xr:uid="{51A280B8-F1CD-4ADD-8F90-C49164FD0998}"/>
    <cellStyle name="Millares 6 3 2 2 3" xfId="3296" xr:uid="{8699A4A8-6AF3-46BE-98FB-C58F0713D728}"/>
    <cellStyle name="Millares 6 3 2 2 3 2" xfId="8292" xr:uid="{3E0B069A-B6CE-4C6D-B3B5-B7680E9DE2F1}"/>
    <cellStyle name="Millares 6 3 2 2 4" xfId="5794" xr:uid="{1EA7609A-E72D-45A1-8F72-3572FEE49B7A}"/>
    <cellStyle name="Millares 6 3 2 3" xfId="1109" xr:uid="{087D90C9-BA46-4865-AA42-648A1588FF23}"/>
    <cellStyle name="Millares 6 3 2 3 2" xfId="2359" xr:uid="{7299F404-6CF7-47AE-ACCB-FFBDC4423B0D}"/>
    <cellStyle name="Millares 6 3 2 3 2 2" xfId="4857" xr:uid="{9B13358F-3A85-46E9-B03B-413FBFE426A7}"/>
    <cellStyle name="Millares 6 3 2 3 2 2 2" xfId="9853" xr:uid="{92E08980-18A1-44ED-A00A-9927E90E6EF7}"/>
    <cellStyle name="Millares 6 3 2 3 2 3" xfId="7355" xr:uid="{846449D7-F644-4206-BDC9-C68B8A4832DF}"/>
    <cellStyle name="Millares 6 3 2 3 3" xfId="3608" xr:uid="{6BC3F332-FF7D-44FC-97D6-E34370CE4F9A}"/>
    <cellStyle name="Millares 6 3 2 3 3 2" xfId="8604" xr:uid="{ED9C5B4C-61A1-4A87-A55E-651EE8091003}"/>
    <cellStyle name="Millares 6 3 2 3 4" xfId="6106" xr:uid="{4F6E46D8-04A9-4357-814E-363D5C501F09}"/>
    <cellStyle name="Millares 6 3 2 4" xfId="1475" xr:uid="{BFAB97BA-E933-4DF1-9F0F-B174961A49B7}"/>
    <cellStyle name="Millares 6 3 2 4 2" xfId="2725" xr:uid="{300C5B81-C765-44A1-8FD2-DA0200FEF7E2}"/>
    <cellStyle name="Millares 6 3 2 4 2 2" xfId="5223" xr:uid="{07264D6A-4F29-4959-ACF5-F29C4A69BB51}"/>
    <cellStyle name="Millares 6 3 2 4 2 2 2" xfId="10219" xr:uid="{B5F98334-12E4-402D-B217-8692CDB08DCC}"/>
    <cellStyle name="Millares 6 3 2 4 2 3" xfId="7721" xr:uid="{C3463569-A55A-4F41-A55D-EC4714E2D125}"/>
    <cellStyle name="Millares 6 3 2 4 3" xfId="3974" xr:uid="{BD0CD7E5-B1B9-46FE-BCCD-74863B3E7F40}"/>
    <cellStyle name="Millares 6 3 2 4 3 2" xfId="8970" xr:uid="{42D4B7CD-CC85-46E8-B581-F375C099810C}"/>
    <cellStyle name="Millares 6 3 2 4 4" xfId="6472" xr:uid="{CE50725D-B3D5-4DA9-9A0B-58766F6DDEE1}"/>
    <cellStyle name="Millares 6 3 2 5" xfId="1806" xr:uid="{B0362EA1-BAC0-47D9-A98F-F677C60765AD}"/>
    <cellStyle name="Millares 6 3 2 5 2" xfId="4304" xr:uid="{4D36AC12-2642-4180-A3DC-B262D2943A17}"/>
    <cellStyle name="Millares 6 3 2 5 2 2" xfId="9300" xr:uid="{69706B81-FB05-4EFD-B577-FDAE471165D6}"/>
    <cellStyle name="Millares 6 3 2 5 3" xfId="6802" xr:uid="{129D99F3-2A56-42DC-A930-364C3797B356}"/>
    <cellStyle name="Millares 6 3 2 6" xfId="3055" xr:uid="{4EEAE137-CB67-4794-B0BF-F0FBD115BB6B}"/>
    <cellStyle name="Millares 6 3 2 6 2" xfId="8051" xr:uid="{5F2BFD74-56FC-4FC0-A156-90EDA9C6D70E}"/>
    <cellStyle name="Millares 6 3 2 7" xfId="5553" xr:uid="{72A3A5DE-DD74-4A31-B57E-5D4C9E484860}"/>
    <cellStyle name="Millares 6 3 2 8" xfId="555" xr:uid="{677AC6BD-1E0F-4B15-8BF9-E0978E8DA3DE}"/>
    <cellStyle name="Millares 6 3 3" xfId="739" xr:uid="{98C58350-ECA9-4852-9732-9AD00DD350F6}"/>
    <cellStyle name="Millares 6 3 3 2" xfId="1990" xr:uid="{A4E3BC28-5208-4F75-9E3E-55879D922964}"/>
    <cellStyle name="Millares 6 3 3 2 2" xfId="4488" xr:uid="{E96794FA-C187-49E4-8820-7CEBE3F6CE13}"/>
    <cellStyle name="Millares 6 3 3 2 2 2" xfId="9484" xr:uid="{99448C3F-8E19-4CAA-BAB3-7C6813982398}"/>
    <cellStyle name="Millares 6 3 3 2 3" xfId="6986" xr:uid="{72E28D46-64D0-4E67-8CBF-5E4DED1F2E88}"/>
    <cellStyle name="Millares 6 3 3 3" xfId="3239" xr:uid="{532935D3-81C2-4F1D-9E63-77203880A21A}"/>
    <cellStyle name="Millares 6 3 3 3 2" xfId="8235" xr:uid="{AA6587EE-9424-47B4-84AF-D1940993C16F}"/>
    <cellStyle name="Millares 6 3 3 4" xfId="5737" xr:uid="{3BFAD7F3-41F0-476C-A868-4D68229DF244}"/>
    <cellStyle name="Millares 6 3 4" xfId="1052" xr:uid="{4FD604F2-7F6C-4D28-ACAF-38209BB10F89}"/>
    <cellStyle name="Millares 6 3 4 2" xfId="2302" xr:uid="{D94803D0-DEAE-4BE4-A161-E84A63FC1BE5}"/>
    <cellStyle name="Millares 6 3 4 2 2" xfId="4800" xr:uid="{B451B494-60D0-4C8A-899C-676EEED3403A}"/>
    <cellStyle name="Millares 6 3 4 2 2 2" xfId="9796" xr:uid="{4C828EFE-5FCE-480C-8520-2B481A7AE036}"/>
    <cellStyle name="Millares 6 3 4 2 3" xfId="7298" xr:uid="{108C85AA-4A68-4DD9-81AC-92AB2FC97EA4}"/>
    <cellStyle name="Millares 6 3 4 3" xfId="3551" xr:uid="{CE2B973C-8266-43A6-B5B7-AA46A1F4B6B4}"/>
    <cellStyle name="Millares 6 3 4 3 2" xfId="8547" xr:uid="{5A36616A-0C6E-4908-9781-6BBFFA243B4A}"/>
    <cellStyle name="Millares 6 3 4 4" xfId="6049" xr:uid="{7710D27A-EB55-439A-9ECE-1B848E57BB80}"/>
    <cellStyle name="Millares 6 3 5" xfId="1383" xr:uid="{9C93B413-FDF0-4B25-A738-27C679F01665}"/>
    <cellStyle name="Millares 6 3 5 2" xfId="2633" xr:uid="{0BC6FEC1-BBDF-44AA-B9B3-4F006820DEB6}"/>
    <cellStyle name="Millares 6 3 5 2 2" xfId="5131" xr:uid="{C1BEE2FD-1F60-410D-AF90-F7C9D4AD7643}"/>
    <cellStyle name="Millares 6 3 5 2 2 2" xfId="10127" xr:uid="{8644D91F-0D25-4DC3-9D67-DDE47FB170A6}"/>
    <cellStyle name="Millares 6 3 5 2 3" xfId="7629" xr:uid="{50D7AEAF-3626-48B7-A547-7763A176550E}"/>
    <cellStyle name="Millares 6 3 5 3" xfId="3882" xr:uid="{FB56F4CF-4582-4DCA-BAAD-191C09736C0C}"/>
    <cellStyle name="Millares 6 3 5 3 2" xfId="8878" xr:uid="{5594DE2E-D8CE-4891-9B10-1DDDA54B7834}"/>
    <cellStyle name="Millares 6 3 5 4" xfId="6380" xr:uid="{0A8CE432-87E7-4F21-84B1-0EC31520ECC3}"/>
    <cellStyle name="Millares 6 3 6" xfId="1714" xr:uid="{8D69492F-9361-4DFF-9B8F-8DA9AB83C3BA}"/>
    <cellStyle name="Millares 6 3 6 2" xfId="4212" xr:uid="{8A71431A-23B3-4881-BB2D-0EBA28DB6A03}"/>
    <cellStyle name="Millares 6 3 6 2 2" xfId="9208" xr:uid="{89E81BC2-53FB-405D-B359-32C27B5F7488}"/>
    <cellStyle name="Millares 6 3 6 3" xfId="6710" xr:uid="{403C8BB1-5145-4508-AF95-704AF9924FF9}"/>
    <cellStyle name="Millares 6 3 7" xfId="2963" xr:uid="{57F86E40-EF26-4EEC-BA1B-DE4CFDFACC66}"/>
    <cellStyle name="Millares 6 3 7 2" xfId="7959" xr:uid="{06901F7E-7A92-4B84-9D25-AD053F03D52A}"/>
    <cellStyle name="Millares 6 3 8" xfId="5461" xr:uid="{5F0651E9-A28B-4333-8C2F-810AF53958B3}"/>
    <cellStyle name="Millares 6 3 9" xfId="463" xr:uid="{B32D73C2-E4B5-49B2-8C35-BCF772B84D87}"/>
    <cellStyle name="Millares 6 4" xfId="176" xr:uid="{4871818C-2C89-4C92-91E7-EF4877609FB3}"/>
    <cellStyle name="Millares 6 4 2" xfId="177" xr:uid="{571C6580-6338-40D7-AEB3-490FF05A37C9}"/>
    <cellStyle name="Millares 6 4 2 2" xfId="798" xr:uid="{FA6CC8FB-4AD5-496B-AE19-9264AE8C696E}"/>
    <cellStyle name="Millares 6 4 2 2 2" xfId="2049" xr:uid="{D5CFF54E-7DC2-4EBD-8DD0-64B907973750}"/>
    <cellStyle name="Millares 6 4 2 2 2 2" xfId="4547" xr:uid="{4D6B7A12-E782-4A14-8756-AD262205624F}"/>
    <cellStyle name="Millares 6 4 2 2 2 2 2" xfId="9543" xr:uid="{B53715AA-D2A6-4DE0-9BA2-1A8FD7C8BB02}"/>
    <cellStyle name="Millares 6 4 2 2 2 3" xfId="7045" xr:uid="{4EDAC863-CFEA-47A3-8891-F014B8E525D8}"/>
    <cellStyle name="Millares 6 4 2 2 3" xfId="3298" xr:uid="{E0F756DE-DD5B-400C-8100-099929869613}"/>
    <cellStyle name="Millares 6 4 2 2 3 2" xfId="8294" xr:uid="{28C8BD50-62F6-4A12-8012-EFF912DBA8E6}"/>
    <cellStyle name="Millares 6 4 2 2 4" xfId="5796" xr:uid="{D210B88A-C89C-4784-8743-1B0E1294AF0F}"/>
    <cellStyle name="Millares 6 4 2 3" xfId="1111" xr:uid="{EDF71BA6-94BA-4DE8-A040-D4B0E6973642}"/>
    <cellStyle name="Millares 6 4 2 3 2" xfId="2361" xr:uid="{936948B9-C1BB-4A02-A7FE-4C2A3C86EAA2}"/>
    <cellStyle name="Millares 6 4 2 3 2 2" xfId="4859" xr:uid="{E90FA96F-3164-4C9D-B645-9AB7F20AA67E}"/>
    <cellStyle name="Millares 6 4 2 3 2 2 2" xfId="9855" xr:uid="{FF4D316C-D97A-4FFA-B7B1-58F7532D57E3}"/>
    <cellStyle name="Millares 6 4 2 3 2 3" xfId="7357" xr:uid="{8F39B64C-5838-43B2-9796-2B3847986DCF}"/>
    <cellStyle name="Millares 6 4 2 3 3" xfId="3610" xr:uid="{377477EC-74E2-4A2A-8938-82DB3A8A7B6D}"/>
    <cellStyle name="Millares 6 4 2 3 3 2" xfId="8606" xr:uid="{7D305900-ADB9-44B6-B2DB-A297D402744E}"/>
    <cellStyle name="Millares 6 4 2 3 4" xfId="6108" xr:uid="{A2D21F6B-82FF-4C19-817F-5BD11DB21011}"/>
    <cellStyle name="Millares 6 4 2 4" xfId="1476" xr:uid="{AB8E06C0-76AE-4CA7-83F1-3D854FF27926}"/>
    <cellStyle name="Millares 6 4 2 4 2" xfId="2726" xr:uid="{32B568B7-E63B-4884-9D04-D1AC126968E2}"/>
    <cellStyle name="Millares 6 4 2 4 2 2" xfId="5224" xr:uid="{9F9F7B91-2B00-4ACC-9861-2E08E6188DBC}"/>
    <cellStyle name="Millares 6 4 2 4 2 2 2" xfId="10220" xr:uid="{45ECAAD0-1A1A-4585-A742-9FB9C6184B71}"/>
    <cellStyle name="Millares 6 4 2 4 2 3" xfId="7722" xr:uid="{70FB368D-922B-4CE1-8044-05147B8E617D}"/>
    <cellStyle name="Millares 6 4 2 4 3" xfId="3975" xr:uid="{734EB28F-C98C-4A84-9696-32023BDEE9E6}"/>
    <cellStyle name="Millares 6 4 2 4 3 2" xfId="8971" xr:uid="{087E0963-C4E4-4CE8-A945-C121463EB8D9}"/>
    <cellStyle name="Millares 6 4 2 4 4" xfId="6473" xr:uid="{766CE465-E72B-4F7D-A3F8-A2468551711F}"/>
    <cellStyle name="Millares 6 4 2 5" xfId="1807" xr:uid="{37C68AC5-881C-4366-A0A4-B9A2E5041418}"/>
    <cellStyle name="Millares 6 4 2 5 2" xfId="4305" xr:uid="{4B1E6B42-A1DB-44E5-A45E-055CD0A02383}"/>
    <cellStyle name="Millares 6 4 2 5 2 2" xfId="9301" xr:uid="{6B9B8F4F-8F0C-4FE3-9E39-0A0EAB223B1A}"/>
    <cellStyle name="Millares 6 4 2 5 3" xfId="6803" xr:uid="{98DEB9BC-038A-4319-AED0-6DECE743D6AB}"/>
    <cellStyle name="Millares 6 4 2 6" xfId="3056" xr:uid="{0905CF8A-D04D-46BE-B0FE-66CCC0B94E21}"/>
    <cellStyle name="Millares 6 4 2 6 2" xfId="8052" xr:uid="{37D668C1-5F9D-41BD-A054-2A96A8585AF7}"/>
    <cellStyle name="Millares 6 4 2 7" xfId="5554" xr:uid="{423991F9-9CE0-44C2-8956-540D43A5B645}"/>
    <cellStyle name="Millares 6 4 2 8" xfId="556" xr:uid="{EA646059-66BF-489C-97E4-8CA5E3D9E75C}"/>
    <cellStyle name="Millares 6 4 3" xfId="797" xr:uid="{440D30A5-3F25-4B42-BA35-F6DDC7047676}"/>
    <cellStyle name="Millares 6 4 3 2" xfId="2048" xr:uid="{BF6B2C24-A1E0-489E-8590-2512AC9E3A57}"/>
    <cellStyle name="Millares 6 4 3 2 2" xfId="4546" xr:uid="{894A3B30-F176-4A70-B069-38DA45BE460F}"/>
    <cellStyle name="Millares 6 4 3 2 2 2" xfId="9542" xr:uid="{13CABF48-B2B3-45DF-A828-FA2B6AA5706E}"/>
    <cellStyle name="Millares 6 4 3 2 3" xfId="7044" xr:uid="{964687AF-8C51-438E-82EF-74C11CC57A94}"/>
    <cellStyle name="Millares 6 4 3 3" xfId="3297" xr:uid="{9687FF81-941E-4323-9E51-C143B8212570}"/>
    <cellStyle name="Millares 6 4 3 3 2" xfId="8293" xr:uid="{8B0255D7-2DE0-4F44-97B9-68FBBDBFB947}"/>
    <cellStyle name="Millares 6 4 3 4" xfId="5795" xr:uid="{A6A1AA69-450D-4E8C-A4AE-6042C66C9CD2}"/>
    <cellStyle name="Millares 6 4 4" xfId="1110" xr:uid="{515122F3-893F-42F1-B0B7-B178706FB170}"/>
    <cellStyle name="Millares 6 4 4 2" xfId="2360" xr:uid="{F59869A0-AC15-4682-A8B9-60AB18DAB66A}"/>
    <cellStyle name="Millares 6 4 4 2 2" xfId="4858" xr:uid="{E59D7236-F0FD-422D-9B3F-93487ECF394E}"/>
    <cellStyle name="Millares 6 4 4 2 2 2" xfId="9854" xr:uid="{1DBEEE0F-440A-427D-9FF8-20BC8118ECEA}"/>
    <cellStyle name="Millares 6 4 4 2 3" xfId="7356" xr:uid="{5F1D1FDC-0D5A-44DB-8C4A-0DD77E065EB1}"/>
    <cellStyle name="Millares 6 4 4 3" xfId="3609" xr:uid="{61F8B2D3-A302-45AF-B626-F75FC4C7B680}"/>
    <cellStyle name="Millares 6 4 4 3 2" xfId="8605" xr:uid="{FA63AED2-F663-417A-B3F7-75CB7248CE0C}"/>
    <cellStyle name="Millares 6 4 4 4" xfId="6107" xr:uid="{A9A87588-5F55-474C-91E9-EACE90AA6ED8}"/>
    <cellStyle name="Millares 6 4 5" xfId="1381" xr:uid="{0AE60FC3-0BBB-4BD8-ABEB-10DAD92CDBAB}"/>
    <cellStyle name="Millares 6 4 5 2" xfId="2631" xr:uid="{5D9D78F0-9096-4B5E-B214-A651D4EEDD72}"/>
    <cellStyle name="Millares 6 4 5 2 2" xfId="5129" xr:uid="{E66BCD39-18DF-4415-8158-1728CE3CCAF5}"/>
    <cellStyle name="Millares 6 4 5 2 2 2" xfId="10125" xr:uid="{DD11D735-758D-4FEB-81A6-9A7F665B6410}"/>
    <cellStyle name="Millares 6 4 5 2 3" xfId="7627" xr:uid="{DAE6BC40-9119-47EB-8537-97B841C143CD}"/>
    <cellStyle name="Millares 6 4 5 3" xfId="3880" xr:uid="{726A9DF2-B2CD-4461-87CC-E834EE26EBB4}"/>
    <cellStyle name="Millares 6 4 5 3 2" xfId="8876" xr:uid="{4F59C28A-4CF2-4EE5-8E19-A294D542B2FE}"/>
    <cellStyle name="Millares 6 4 5 4" xfId="6378" xr:uid="{EA763E0B-48AD-4DD1-90C1-EB6E479768DB}"/>
    <cellStyle name="Millares 6 4 6" xfId="1712" xr:uid="{8C819188-443F-4B68-AB4B-9B1B74037095}"/>
    <cellStyle name="Millares 6 4 6 2" xfId="4210" xr:uid="{2F4AB2A0-3735-4788-AAAA-3119783983AF}"/>
    <cellStyle name="Millares 6 4 6 2 2" xfId="9206" xr:uid="{99CC54D3-7C21-4AE4-80B6-94D7A88C73F1}"/>
    <cellStyle name="Millares 6 4 6 3" xfId="6708" xr:uid="{7B3D64A6-625D-47AD-93BD-E8F739A37509}"/>
    <cellStyle name="Millares 6 4 7" xfId="2961" xr:uid="{E3A01578-81D6-4ADC-908A-B385DAEF2443}"/>
    <cellStyle name="Millares 6 4 7 2" xfId="7957" xr:uid="{694C09B4-5DB7-4BB3-AEA4-B46CAE26D875}"/>
    <cellStyle name="Millares 6 4 8" xfId="5459" xr:uid="{83898F0D-3517-4247-AFFE-373DC301E361}"/>
    <cellStyle name="Millares 6 4 9" xfId="461" xr:uid="{86D7C424-8E47-4081-A5A6-4F1DEC09B64F}"/>
    <cellStyle name="Millares 6 5" xfId="178" xr:uid="{04CFBDE0-BE1D-4452-81BC-01F58E517A00}"/>
    <cellStyle name="Millares 6 5 2" xfId="799" xr:uid="{B50E6D25-6764-451E-AF84-1B2797E398AB}"/>
    <cellStyle name="Millares 6 5 2 2" xfId="2050" xr:uid="{22122828-2EBB-498F-BE5D-FC1505483ECC}"/>
    <cellStyle name="Millares 6 5 2 2 2" xfId="4548" xr:uid="{8C36891F-4672-4151-BC7F-13B4805DC415}"/>
    <cellStyle name="Millares 6 5 2 2 2 2" xfId="9544" xr:uid="{78AEBDE3-E600-4BBE-A5D4-23D3804C0127}"/>
    <cellStyle name="Millares 6 5 2 2 3" xfId="7046" xr:uid="{DEFCCBC6-CD54-46F7-BFC3-4220362E1957}"/>
    <cellStyle name="Millares 6 5 2 3" xfId="3299" xr:uid="{47713DD0-D0D1-4B8C-9ACB-148118869494}"/>
    <cellStyle name="Millares 6 5 2 3 2" xfId="8295" xr:uid="{4767D20F-4424-4BCD-92DA-34986680E92E}"/>
    <cellStyle name="Millares 6 5 2 4" xfId="5797" xr:uid="{6E36294C-6D8F-44D7-821E-0B70C491039F}"/>
    <cellStyle name="Millares 6 5 3" xfId="1112" xr:uid="{7E5A39AE-9D19-431D-BE2F-D596CC02A8E1}"/>
    <cellStyle name="Millares 6 5 3 2" xfId="2362" xr:uid="{EDF9D364-E4B6-4EDE-899B-5CB26A6B6D34}"/>
    <cellStyle name="Millares 6 5 3 2 2" xfId="4860" xr:uid="{454CEA8E-2E08-4789-BBA6-A4FD9A550412}"/>
    <cellStyle name="Millares 6 5 3 2 2 2" xfId="9856" xr:uid="{C04FDA95-F2FE-46AF-A72A-90ADFF2B321A}"/>
    <cellStyle name="Millares 6 5 3 2 3" xfId="7358" xr:uid="{A7EF08B1-B49A-49E6-85A7-F7E0C50CEDE1}"/>
    <cellStyle name="Millares 6 5 3 3" xfId="3611" xr:uid="{8845FCA5-96E2-4F55-876D-947ECEF10767}"/>
    <cellStyle name="Millares 6 5 3 3 2" xfId="8607" xr:uid="{C6EF3CF6-A15D-42A4-B333-B6C31A01BA80}"/>
    <cellStyle name="Millares 6 5 3 4" xfId="6109" xr:uid="{839D6DD7-079C-4BA4-BFD6-A6763EFA360C}"/>
    <cellStyle name="Millares 6 5 4" xfId="1471" xr:uid="{EC57B7EB-1EED-44CD-8DEE-84BDDD62527A}"/>
    <cellStyle name="Millares 6 5 4 2" xfId="2721" xr:uid="{5FCD280E-C5DA-47DB-BD93-B7124816FA63}"/>
    <cellStyle name="Millares 6 5 4 2 2" xfId="5219" xr:uid="{889F53E0-DF03-4B09-8A51-713D14D414DC}"/>
    <cellStyle name="Millares 6 5 4 2 2 2" xfId="10215" xr:uid="{D9848465-283A-4F1E-BCE3-3A19255AA8C6}"/>
    <cellStyle name="Millares 6 5 4 2 3" xfId="7717" xr:uid="{5D075A60-C14C-46F0-A6BB-75FC82B242AB}"/>
    <cellStyle name="Millares 6 5 4 3" xfId="3970" xr:uid="{6244FE10-4DB0-458C-81D6-1FE05DDCFC9D}"/>
    <cellStyle name="Millares 6 5 4 3 2" xfId="8966" xr:uid="{F904601C-6D4E-4F5C-8F9C-E51FFB05D788}"/>
    <cellStyle name="Millares 6 5 4 4" xfId="6468" xr:uid="{C3A56DA6-1464-4AE4-8829-CE3FFD6F90BE}"/>
    <cellStyle name="Millares 6 5 5" xfId="1802" xr:uid="{176F5C61-85D9-480D-99A4-3EB2A25C9A5F}"/>
    <cellStyle name="Millares 6 5 5 2" xfId="4300" xr:uid="{3D1E5EEF-6333-43C2-BE70-396136664CBD}"/>
    <cellStyle name="Millares 6 5 5 2 2" xfId="9296" xr:uid="{C998E835-18C9-4C5D-A199-8AFBC2CB6C0A}"/>
    <cellStyle name="Millares 6 5 5 3" xfId="6798" xr:uid="{9E8F774A-38DE-4F98-A65B-CC9DB159E90C}"/>
    <cellStyle name="Millares 6 5 6" xfId="3051" xr:uid="{899D16AF-B6AC-493E-98FD-DBCF1DC72001}"/>
    <cellStyle name="Millares 6 5 6 2" xfId="8047" xr:uid="{89F22F76-6699-463C-9A3E-EAF3BAD8562E}"/>
    <cellStyle name="Millares 6 5 7" xfId="5549" xr:uid="{6BAA549D-E6CF-4B65-A8A1-A93CA2D002F2}"/>
    <cellStyle name="Millares 6 5 8" xfId="551" xr:uid="{392941B1-0035-454B-8162-CE39CADBA5FA}"/>
    <cellStyle name="Millares 6 6" xfId="362" xr:uid="{77D27C4A-2610-4BA5-AB55-50EE5FEF5FEF}"/>
    <cellStyle name="Millares 6 6 2" xfId="1283" xr:uid="{DFEEA115-74FC-48F7-80D3-2D4558D33DD2}"/>
    <cellStyle name="Millares 6 6 2 2" xfId="2533" xr:uid="{3A1E2989-DD8F-4E0B-91D3-0B602670539A}"/>
    <cellStyle name="Millares 6 6 2 2 2" xfId="5031" xr:uid="{DE2C8CCE-6242-484F-8EC1-2B042AC968DD}"/>
    <cellStyle name="Millares 6 6 2 2 2 2" xfId="10027" xr:uid="{C158F2B2-BBDC-4146-A778-7E03CA13C9D8}"/>
    <cellStyle name="Millares 6 6 2 2 3" xfId="7529" xr:uid="{2AFA50FF-6E99-4639-873F-87315B17D3D4}"/>
    <cellStyle name="Millares 6 6 2 3" xfId="3782" xr:uid="{2D61C1AC-F27E-473A-8043-A569C6FD7916}"/>
    <cellStyle name="Millares 6 6 2 3 2" xfId="8778" xr:uid="{FEB8C315-380C-4468-8F45-871BDC212ED0}"/>
    <cellStyle name="Millares 6 6 2 4" xfId="6280" xr:uid="{4CBD8504-EC80-4BA0-9F26-70D733D03BA6}"/>
    <cellStyle name="Millares 6 6 3" xfId="2221" xr:uid="{8F76E024-6CA2-47B8-9FE8-C7673F76B724}"/>
    <cellStyle name="Millares 6 6 3 2" xfId="4719" xr:uid="{62EEA681-D4A3-4CF9-B31C-899619958622}"/>
    <cellStyle name="Millares 6 6 3 2 2" xfId="9715" xr:uid="{EABB6DAB-9C08-4E91-851A-3A4570FF2BCA}"/>
    <cellStyle name="Millares 6 6 3 3" xfId="7217" xr:uid="{5DBCFDED-2AEA-485A-8D0E-37E95C808707}"/>
    <cellStyle name="Millares 6 6 4" xfId="3470" xr:uid="{E7778A60-F2C9-4C04-A839-41BA1767DF83}"/>
    <cellStyle name="Millares 6 6 4 2" xfId="8466" xr:uid="{D2B52FF5-D933-4155-815E-12F32444DC0D}"/>
    <cellStyle name="Millares 6 6 5" xfId="5968" xr:uid="{8BC48868-4D07-4556-95C0-821359215E4F}"/>
    <cellStyle name="Millares 6 6 6" xfId="971" xr:uid="{28EE003B-6C46-45EB-84F9-B5BE265AD55B}"/>
    <cellStyle name="Millares 6 7" xfId="690" xr:uid="{FDC3BBA1-5E07-4987-8AF1-D6A4BDE33B57}"/>
    <cellStyle name="Millares 6 7 2" xfId="1941" xr:uid="{D3506410-83E6-4DDA-99E9-94E04BEB3924}"/>
    <cellStyle name="Millares 6 7 2 2" xfId="4439" xr:uid="{36E805CF-A86B-4F7A-90B4-87702E11C383}"/>
    <cellStyle name="Millares 6 7 2 2 2" xfId="9435" xr:uid="{A29835ED-4BA5-46C4-9B02-0DD17FEED45A}"/>
    <cellStyle name="Millares 6 7 2 3" xfId="6937" xr:uid="{23A964F9-0FC7-407F-B8CF-CA1E84D57CA8}"/>
    <cellStyle name="Millares 6 7 3" xfId="3190" xr:uid="{491E1F96-EE5C-41B0-9E64-0D13CBAED55E}"/>
    <cellStyle name="Millares 6 7 3 2" xfId="8186" xr:uid="{BC6D9CC9-B09A-4E38-B159-48C535206403}"/>
    <cellStyle name="Millares 6 7 4" xfId="5688" xr:uid="{C7FDA1FB-BA75-4A9E-A804-B0B8FAA80894}"/>
    <cellStyle name="Millares 6 8" xfId="1003" xr:uid="{CF7D3B92-8401-4EB5-8833-4F0253B2F6EA}"/>
    <cellStyle name="Millares 6 8 2" xfId="2253" xr:uid="{9A0AEF43-C61B-41A5-BD63-E99AF03EF774}"/>
    <cellStyle name="Millares 6 8 2 2" xfId="4751" xr:uid="{0EAD8E0D-0FC6-4272-ABBC-2AF0969381A8}"/>
    <cellStyle name="Millares 6 8 2 2 2" xfId="9747" xr:uid="{CE6DA4EB-C11B-46AC-ACB2-14BED40DB331}"/>
    <cellStyle name="Millares 6 8 2 3" xfId="7249" xr:uid="{7EF12B3F-ECD9-4356-B6FB-1C41CF05CF1D}"/>
    <cellStyle name="Millares 6 8 3" xfId="3502" xr:uid="{4F7E2080-AA78-4B0B-BD53-619F2AF39AFE}"/>
    <cellStyle name="Millares 6 8 3 2" xfId="8498" xr:uid="{5C7A027D-6AE5-4422-8C56-A4EC1BEF7772}"/>
    <cellStyle name="Millares 6 8 4" xfId="6000" xr:uid="{D5E9EF3E-B501-46A1-93B0-D462CE71671B}"/>
    <cellStyle name="Millares 6 9" xfId="1322" xr:uid="{CCB64F48-7BE9-42AC-8C72-587C024C63F1}"/>
    <cellStyle name="Millares 6 9 2" xfId="2572" xr:uid="{DEF4CEF9-FCBD-488B-A26D-51041FCF054D}"/>
    <cellStyle name="Millares 6 9 2 2" xfId="5070" xr:uid="{D49A1F79-4E0B-42FC-B3E8-6FE481936362}"/>
    <cellStyle name="Millares 6 9 2 2 2" xfId="10066" xr:uid="{C5AEFBA8-379E-41E2-8D38-349E97B9618C}"/>
    <cellStyle name="Millares 6 9 2 3" xfId="7568" xr:uid="{3F2AC07B-9727-4CF6-A3F5-54CED8456EF6}"/>
    <cellStyle name="Millares 6 9 3" xfId="3821" xr:uid="{07C8D13A-07E8-4A6B-9496-6AFD684E10AE}"/>
    <cellStyle name="Millares 6 9 3 2" xfId="8817" xr:uid="{8E254BA2-3B08-4B15-B812-6D9266F27823}"/>
    <cellStyle name="Millares 6 9 4" xfId="6319" xr:uid="{87902BEE-C161-42A2-BBF2-CC0C82BC990A}"/>
    <cellStyle name="Millares 7" xfId="34" xr:uid="{586FD068-054F-43EF-8A00-E92F93377015}"/>
    <cellStyle name="Millares 7 10" xfId="1655" xr:uid="{BDAC1C13-EBB8-4D39-B515-87DA90BC4DC5}"/>
    <cellStyle name="Millares 7 10 2" xfId="4153" xr:uid="{D9076088-7E91-4125-A291-E6306B32119F}"/>
    <cellStyle name="Millares 7 10 2 2" xfId="9149" xr:uid="{DA2AE22C-8D50-4FBE-A6D5-D3B7EE20DAD1}"/>
    <cellStyle name="Millares 7 10 3" xfId="6651" xr:uid="{099C82BF-AC04-4AAC-AD88-5E59BF07A745}"/>
    <cellStyle name="Millares 7 11" xfId="2904" xr:uid="{45F7CE80-4BDA-4BA8-A909-28E7943568E3}"/>
    <cellStyle name="Millares 7 11 2" xfId="7900" xr:uid="{83A43136-90BB-4B45-A4C2-43A7F09AB9CB}"/>
    <cellStyle name="Millares 7 12" xfId="5402" xr:uid="{D79E5620-7DD6-431E-A92E-83DBFDB3E71F}"/>
    <cellStyle name="Millares 7 13" xfId="404" xr:uid="{ED02CEAA-127C-4EFC-95EE-4CB54B592A0E}"/>
    <cellStyle name="Millares 7 2" xfId="62" xr:uid="{FDDD0AD6-E555-46F4-9727-3C6E2A78CC80}"/>
    <cellStyle name="Millares 7 2 2" xfId="179" xr:uid="{4A07B262-480B-4C40-8D0F-65CD9FE1ECE4}"/>
    <cellStyle name="Millares 7 2 2 2" xfId="800" xr:uid="{129B5D91-CE06-40A4-A3A0-AB89C8A5712C}"/>
    <cellStyle name="Millares 7 2 2 2 2" xfId="2051" xr:uid="{324DC7AC-A55A-4D3D-AF80-E28B72038D65}"/>
    <cellStyle name="Millares 7 2 2 2 2 2" xfId="4549" xr:uid="{81005324-70AA-42A0-BB37-DE71707D3353}"/>
    <cellStyle name="Millares 7 2 2 2 2 2 2" xfId="9545" xr:uid="{D95BE907-D72C-42DA-8DB9-25AA5D3AAFE3}"/>
    <cellStyle name="Millares 7 2 2 2 2 3" xfId="7047" xr:uid="{36C1E77F-A561-44CD-8C7E-D05BB51FB8CF}"/>
    <cellStyle name="Millares 7 2 2 2 3" xfId="3300" xr:uid="{65C81090-75D6-4C82-8EBA-AC7E8A871C75}"/>
    <cellStyle name="Millares 7 2 2 2 3 2" xfId="8296" xr:uid="{358C5444-655D-47B4-9362-E2C90B15343A}"/>
    <cellStyle name="Millares 7 2 2 2 4" xfId="5798" xr:uid="{81554994-CC75-4FB6-8886-0F65E48F53D2}"/>
    <cellStyle name="Millares 7 2 2 3" xfId="1113" xr:uid="{077C6B82-8759-4A5B-A260-1F4DF226B3C5}"/>
    <cellStyle name="Millares 7 2 2 3 2" xfId="2363" xr:uid="{DAA6F096-3122-44AB-8583-0726622007E3}"/>
    <cellStyle name="Millares 7 2 2 3 2 2" xfId="4861" xr:uid="{CE2DF6ED-1628-46B9-BB22-15D25DB74D95}"/>
    <cellStyle name="Millares 7 2 2 3 2 2 2" xfId="9857" xr:uid="{0577B2AD-6FAC-4F5B-8B40-19DAEB941DA9}"/>
    <cellStyle name="Millares 7 2 2 3 2 3" xfId="7359" xr:uid="{102A348A-29B6-4791-9137-F08678413495}"/>
    <cellStyle name="Millares 7 2 2 3 3" xfId="3612" xr:uid="{1AEA0FFC-1C23-46C4-AA08-9B71D8BFA24B}"/>
    <cellStyle name="Millares 7 2 2 3 3 2" xfId="8608" xr:uid="{F2195CC2-8561-4EC4-8A54-A8DF2A70786E}"/>
    <cellStyle name="Millares 7 2 2 3 4" xfId="6110" xr:uid="{18E996AE-770F-43B8-BBC6-7DF986B79C72}"/>
    <cellStyle name="Millares 7 2 2 4" xfId="1478" xr:uid="{4611BD28-CFB3-49FF-810C-7685DD064948}"/>
    <cellStyle name="Millares 7 2 2 4 2" xfId="2728" xr:uid="{2F44AA30-D72B-49AC-8AB6-169C981A5CE6}"/>
    <cellStyle name="Millares 7 2 2 4 2 2" xfId="5226" xr:uid="{ECEF7C1E-7D01-4F0C-B2DB-F105527075FE}"/>
    <cellStyle name="Millares 7 2 2 4 2 2 2" xfId="10222" xr:uid="{1852BE61-7940-4AB3-9FE1-1AB145056D11}"/>
    <cellStyle name="Millares 7 2 2 4 2 3" xfId="7724" xr:uid="{6C06FE2C-75F6-4880-B3CB-6DD48C493AA1}"/>
    <cellStyle name="Millares 7 2 2 4 3" xfId="3977" xr:uid="{96E5D8B2-3232-407B-B17D-BE53AF303AF7}"/>
    <cellStyle name="Millares 7 2 2 4 3 2" xfId="8973" xr:uid="{02EE1D52-2126-441C-8703-B6958F0F8781}"/>
    <cellStyle name="Millares 7 2 2 4 4" xfId="6475" xr:uid="{83656B7B-062E-4BA7-8BBA-6494E6099608}"/>
    <cellStyle name="Millares 7 2 2 5" xfId="1809" xr:uid="{B20A6D76-57F3-4A91-8FC8-B314926D56BC}"/>
    <cellStyle name="Millares 7 2 2 5 2" xfId="4307" xr:uid="{630F5D4D-9F61-4C15-BFEA-37747B7525E9}"/>
    <cellStyle name="Millares 7 2 2 5 2 2" xfId="9303" xr:uid="{0BCE44BB-6F48-44BC-96CF-DD9FCE614FF5}"/>
    <cellStyle name="Millares 7 2 2 5 3" xfId="6805" xr:uid="{5639D841-E85E-4CEA-9D97-425E0055998D}"/>
    <cellStyle name="Millares 7 2 2 6" xfId="3058" xr:uid="{C290D58A-C0F0-484B-B77C-CB8E6C310617}"/>
    <cellStyle name="Millares 7 2 2 6 2" xfId="8054" xr:uid="{8A3FE6F9-1225-451D-BE2A-C166EA5E66EB}"/>
    <cellStyle name="Millares 7 2 2 7" xfId="5556" xr:uid="{5F49C89F-32AE-4DD4-8E93-EBD7EDA609ED}"/>
    <cellStyle name="Millares 7 2 2 8" xfId="558" xr:uid="{91241C09-23B6-4A3C-810A-15F2ED262D2B}"/>
    <cellStyle name="Millares 7 2 3" xfId="716" xr:uid="{2B003CF0-9183-42E0-8B53-B68AB1C49176}"/>
    <cellStyle name="Millares 7 2 3 2" xfId="1967" xr:uid="{FE5BDC38-C9A1-48EF-B3EB-3A0F5CC7FEE1}"/>
    <cellStyle name="Millares 7 2 3 2 2" xfId="4465" xr:uid="{25FA069F-AB4E-4413-83B6-985FADF0490C}"/>
    <cellStyle name="Millares 7 2 3 2 2 2" xfId="9461" xr:uid="{3FAFD7E3-2CCE-4B36-86DE-CD5CFC51A875}"/>
    <cellStyle name="Millares 7 2 3 2 3" xfId="6963" xr:uid="{D4E56ABF-C123-4082-B1C0-329FC0384454}"/>
    <cellStyle name="Millares 7 2 3 3" xfId="3216" xr:uid="{1305D7B0-19AA-4AA5-924F-C406E3715126}"/>
    <cellStyle name="Millares 7 2 3 3 2" xfId="8212" xr:uid="{7EC1279D-D26C-40A8-8DCC-1D234B7412C4}"/>
    <cellStyle name="Millares 7 2 3 4" xfId="5714" xr:uid="{9BBDB1FB-3BE6-4DE7-9E78-81983B657D0E}"/>
    <cellStyle name="Millares 7 2 4" xfId="1029" xr:uid="{6CAE2FA5-AAF8-4524-8B9A-F73F299FC64D}"/>
    <cellStyle name="Millares 7 2 4 2" xfId="2279" xr:uid="{D0528972-C1AB-4382-9AF8-D4AB543AB48A}"/>
    <cellStyle name="Millares 7 2 4 2 2" xfId="4777" xr:uid="{18634A59-FFA8-4CAC-BB80-648F8E29C30E}"/>
    <cellStyle name="Millares 7 2 4 2 2 2" xfId="9773" xr:uid="{C48D27A3-9A9B-424F-9DC2-D95EDC568C20}"/>
    <cellStyle name="Millares 7 2 4 2 3" xfId="7275" xr:uid="{56D03A59-C00C-4561-90C5-6799CD0414AB}"/>
    <cellStyle name="Millares 7 2 4 3" xfId="3528" xr:uid="{3E0097AA-63FD-4D69-8CBF-D878F93FBB55}"/>
    <cellStyle name="Millares 7 2 4 3 2" xfId="8524" xr:uid="{74FF8E1C-2224-4F60-8E62-470604CCAE44}"/>
    <cellStyle name="Millares 7 2 4 4" xfId="6026" xr:uid="{750DE013-E66C-4644-A50F-22E3DF4E41C2}"/>
    <cellStyle name="Millares 7 2 5" xfId="1385" xr:uid="{4A08F09A-5750-4633-8221-D4F8745A535F}"/>
    <cellStyle name="Millares 7 2 5 2" xfId="2635" xr:uid="{6DD9B2AE-86CD-4452-B871-10592D53BFF5}"/>
    <cellStyle name="Millares 7 2 5 2 2" xfId="5133" xr:uid="{70F82FEE-B19B-4202-9E17-E442DF21D44D}"/>
    <cellStyle name="Millares 7 2 5 2 2 2" xfId="10129" xr:uid="{F5DA0025-B111-499F-9250-838A6531063C}"/>
    <cellStyle name="Millares 7 2 5 2 3" xfId="7631" xr:uid="{2BAE076F-8CF3-4365-9ABF-499E849D52DF}"/>
    <cellStyle name="Millares 7 2 5 3" xfId="3884" xr:uid="{DCD02A90-85CE-42A5-8A06-6D9F06D8D6CB}"/>
    <cellStyle name="Millares 7 2 5 3 2" xfId="8880" xr:uid="{7916F1EB-7312-4C35-9F88-AA967A6CD3CD}"/>
    <cellStyle name="Millares 7 2 5 4" xfId="6382" xr:uid="{985C98DF-2D7A-4128-8ECB-444B5BF6C2FD}"/>
    <cellStyle name="Millares 7 2 6" xfId="1716" xr:uid="{5A0881DD-A8E8-49A7-9147-0C3016B90CE0}"/>
    <cellStyle name="Millares 7 2 6 2" xfId="4214" xr:uid="{8EEFAB81-D0DB-487E-BED1-DEB6C9FE2E58}"/>
    <cellStyle name="Millares 7 2 6 2 2" xfId="9210" xr:uid="{AA274E5B-B2D8-4525-81F3-5E90E457FF92}"/>
    <cellStyle name="Millares 7 2 6 3" xfId="6712" xr:uid="{EBFF8889-1E98-481A-84C5-61CC41EE7811}"/>
    <cellStyle name="Millares 7 2 7" xfId="2965" xr:uid="{2B5E3B20-7D88-4B75-8176-4EAA728FD52A}"/>
    <cellStyle name="Millares 7 2 7 2" xfId="7961" xr:uid="{BCB227CE-38F9-4962-B6A7-0F6B6204F7EE}"/>
    <cellStyle name="Millares 7 2 8" xfId="5463" xr:uid="{0A61DF43-B064-4792-ACD8-12799168583B}"/>
    <cellStyle name="Millares 7 2 9" xfId="465" xr:uid="{6B8A2297-3FE8-49A9-83B0-2C0AF0A14641}"/>
    <cellStyle name="Millares 7 3" xfId="86" xr:uid="{DA3991CF-1DF1-4429-A3E7-4AE4A7099ABF}"/>
    <cellStyle name="Millares 7 3 2" xfId="180" xr:uid="{99B95000-4DC1-4F66-ADD0-BF2C6A14C4C3}"/>
    <cellStyle name="Millares 7 3 2 2" xfId="801" xr:uid="{E41BAFDF-8DA7-4229-9CCD-D1B9F76D3E49}"/>
    <cellStyle name="Millares 7 3 2 2 2" xfId="2052" xr:uid="{E3CE332E-4B67-4A8D-8C65-6B8B0F30347C}"/>
    <cellStyle name="Millares 7 3 2 2 2 2" xfId="4550" xr:uid="{3F225DF8-204A-4EFC-9159-C081DB1F3AAC}"/>
    <cellStyle name="Millares 7 3 2 2 2 2 2" xfId="9546" xr:uid="{B3145A49-E35C-4484-B761-B198BAAB374A}"/>
    <cellStyle name="Millares 7 3 2 2 2 3" xfId="7048" xr:uid="{D690F3A9-C9E1-48B9-93D0-6AB381356F93}"/>
    <cellStyle name="Millares 7 3 2 2 3" xfId="3301" xr:uid="{7C3ACF98-0257-458E-BF9F-DD50744763D2}"/>
    <cellStyle name="Millares 7 3 2 2 3 2" xfId="8297" xr:uid="{CF1E6F95-3059-454A-A0FD-538B1A1ABCE1}"/>
    <cellStyle name="Millares 7 3 2 2 4" xfId="5799" xr:uid="{4AD7FB21-C2C0-47CE-A186-17D767A60C95}"/>
    <cellStyle name="Millares 7 3 2 3" xfId="1114" xr:uid="{30F192AB-21EE-4379-A586-5D3C4700D6CF}"/>
    <cellStyle name="Millares 7 3 2 3 2" xfId="2364" xr:uid="{D9DAA645-CB3E-411A-85B7-EB785529B581}"/>
    <cellStyle name="Millares 7 3 2 3 2 2" xfId="4862" xr:uid="{CEBC7B7C-BAC0-4F39-9AE9-8FE61E0F58D6}"/>
    <cellStyle name="Millares 7 3 2 3 2 2 2" xfId="9858" xr:uid="{5D996D40-563A-40CC-A458-E83A3E41ED79}"/>
    <cellStyle name="Millares 7 3 2 3 2 3" xfId="7360" xr:uid="{07AD2D7B-A88C-4756-B322-ED5D8E933867}"/>
    <cellStyle name="Millares 7 3 2 3 3" xfId="3613" xr:uid="{48DB2237-6999-4D8F-AAD3-5EDA84FF4C1B}"/>
    <cellStyle name="Millares 7 3 2 3 3 2" xfId="8609" xr:uid="{0E7BC60A-EF38-490F-96AB-2B48280D4702}"/>
    <cellStyle name="Millares 7 3 2 3 4" xfId="6111" xr:uid="{FC63BBF4-B65F-447B-B5E9-AB11F37E0A4F}"/>
    <cellStyle name="Millares 7 3 2 4" xfId="1479" xr:uid="{E7C42FF8-3B95-44A0-8A53-CE469F150308}"/>
    <cellStyle name="Millares 7 3 2 4 2" xfId="2729" xr:uid="{843AFF9D-F662-4413-ABA5-051D5CE23A31}"/>
    <cellStyle name="Millares 7 3 2 4 2 2" xfId="5227" xr:uid="{22D62FD6-A000-4175-B7DE-86845BBD31A4}"/>
    <cellStyle name="Millares 7 3 2 4 2 2 2" xfId="10223" xr:uid="{6DE6F1D2-556D-4155-BB42-FCBC4BF8A2F1}"/>
    <cellStyle name="Millares 7 3 2 4 2 3" xfId="7725" xr:uid="{EFD4562E-DF79-46F0-9EA0-8D00E74A553A}"/>
    <cellStyle name="Millares 7 3 2 4 3" xfId="3978" xr:uid="{E71A1DD7-B0EE-448E-9151-6E65B6CF423A}"/>
    <cellStyle name="Millares 7 3 2 4 3 2" xfId="8974" xr:uid="{79C23D98-D2EF-44A6-A22E-D1FFE93A5153}"/>
    <cellStyle name="Millares 7 3 2 4 4" xfId="6476" xr:uid="{CD9B83D6-1F01-4467-9DEC-772FA3CC9096}"/>
    <cellStyle name="Millares 7 3 2 5" xfId="1810" xr:uid="{65194086-2CA4-4502-85EA-7D23D3021011}"/>
    <cellStyle name="Millares 7 3 2 5 2" xfId="4308" xr:uid="{52F431EB-3B72-4C15-A541-35F5834AA036}"/>
    <cellStyle name="Millares 7 3 2 5 2 2" xfId="9304" xr:uid="{DFA698FF-1F38-4E7F-B0BB-FEBE87559CA6}"/>
    <cellStyle name="Millares 7 3 2 5 3" xfId="6806" xr:uid="{E07E6306-9352-4CD3-8D07-F7B7C8AD46B0}"/>
    <cellStyle name="Millares 7 3 2 6" xfId="3059" xr:uid="{44DF9B54-6850-41DE-B95C-1B588645C23E}"/>
    <cellStyle name="Millares 7 3 2 6 2" xfId="8055" xr:uid="{BA163E66-C1E0-4579-BB57-1A1EB745E55D}"/>
    <cellStyle name="Millares 7 3 2 7" xfId="5557" xr:uid="{3272CD19-8350-46FD-859C-67038134AA9E}"/>
    <cellStyle name="Millares 7 3 2 8" xfId="559" xr:uid="{0B0DA733-2656-4FC3-A725-6D3B4A880C42}"/>
    <cellStyle name="Millares 7 3 3" xfId="740" xr:uid="{83CA4676-B7C0-41B8-8025-12163020B6E9}"/>
    <cellStyle name="Millares 7 3 3 2" xfId="1991" xr:uid="{AD07D629-F065-44C7-8B8F-C4BA75991C7C}"/>
    <cellStyle name="Millares 7 3 3 2 2" xfId="4489" xr:uid="{C41212A7-897A-4E95-AF22-EF042CA2631B}"/>
    <cellStyle name="Millares 7 3 3 2 2 2" xfId="9485" xr:uid="{12527809-BAF5-4A96-8A9D-DE946FE58EFB}"/>
    <cellStyle name="Millares 7 3 3 2 3" xfId="6987" xr:uid="{74077A84-9DD3-42B4-B489-4A3844318675}"/>
    <cellStyle name="Millares 7 3 3 3" xfId="3240" xr:uid="{DA54506F-379A-4EA3-8BDF-3AAAA0A07E68}"/>
    <cellStyle name="Millares 7 3 3 3 2" xfId="8236" xr:uid="{8CDB1F01-F1A5-4952-9435-AB5A5CBA1A69}"/>
    <cellStyle name="Millares 7 3 3 4" xfId="5738" xr:uid="{D86659E4-57EF-45E6-A515-1381C03C7D8B}"/>
    <cellStyle name="Millares 7 3 4" xfId="1053" xr:uid="{9EDD57E7-BCE7-4C6B-8A6A-8A83EC7E65C0}"/>
    <cellStyle name="Millares 7 3 4 2" xfId="2303" xr:uid="{83921322-231B-4106-A1D3-1B696209BF8C}"/>
    <cellStyle name="Millares 7 3 4 2 2" xfId="4801" xr:uid="{3ADDF607-F5EA-4459-8530-92D8C52176D6}"/>
    <cellStyle name="Millares 7 3 4 2 2 2" xfId="9797" xr:uid="{1880742E-69CC-4C9B-932F-41EADEF1499C}"/>
    <cellStyle name="Millares 7 3 4 2 3" xfId="7299" xr:uid="{D0AA7861-045F-4DCE-B9C4-2F3FFCA67E10}"/>
    <cellStyle name="Millares 7 3 4 3" xfId="3552" xr:uid="{10FB37C0-BD8A-4612-A70E-D881FFBC5254}"/>
    <cellStyle name="Millares 7 3 4 3 2" xfId="8548" xr:uid="{886C3B92-63A5-42E1-B4A7-50EBAA80C0D2}"/>
    <cellStyle name="Millares 7 3 4 4" xfId="6050" xr:uid="{CF74E2FF-333F-489E-B24E-8BCFD8C14842}"/>
    <cellStyle name="Millares 7 3 5" xfId="1386" xr:uid="{A5F2B2D4-9FE0-49E2-9380-95D3077C104E}"/>
    <cellStyle name="Millares 7 3 5 2" xfId="2636" xr:uid="{D945E443-605B-4ABC-9621-F406BE340B44}"/>
    <cellStyle name="Millares 7 3 5 2 2" xfId="5134" xr:uid="{FB23A2B8-0B80-4CEF-9E8A-96E93DF6186D}"/>
    <cellStyle name="Millares 7 3 5 2 2 2" xfId="10130" xr:uid="{59EE1CF9-CDC3-4F1D-AE56-3FA06C04B34A}"/>
    <cellStyle name="Millares 7 3 5 2 3" xfId="7632" xr:uid="{7615FB73-5DBA-4152-95A5-51A3FCED23C9}"/>
    <cellStyle name="Millares 7 3 5 3" xfId="3885" xr:uid="{7280143D-FAA0-4E9A-B208-DABC08490389}"/>
    <cellStyle name="Millares 7 3 5 3 2" xfId="8881" xr:uid="{6B874CA7-01A0-437E-BF13-C347640A6DA3}"/>
    <cellStyle name="Millares 7 3 5 4" xfId="6383" xr:uid="{AEBFC9C7-E828-47DC-A34A-5EC17A1C8A19}"/>
    <cellStyle name="Millares 7 3 6" xfId="1717" xr:uid="{06D603F5-CC69-4015-9D76-CA2F1461BDF1}"/>
    <cellStyle name="Millares 7 3 6 2" xfId="4215" xr:uid="{A1BD7E01-112E-461A-8BB9-E3F6790218EA}"/>
    <cellStyle name="Millares 7 3 6 2 2" xfId="9211" xr:uid="{62D5FE9B-E30B-456F-A838-3DEE3DF5A37A}"/>
    <cellStyle name="Millares 7 3 6 3" xfId="6713" xr:uid="{D90C8E91-3E7C-4CA8-9D7D-3280FDD0B14C}"/>
    <cellStyle name="Millares 7 3 7" xfId="2966" xr:uid="{B5BA7A35-10D8-42C9-BA7B-D571EFAAB0C4}"/>
    <cellStyle name="Millares 7 3 7 2" xfId="7962" xr:uid="{CC9B60E1-E00A-4BB8-86C0-7D6D941F5D98}"/>
    <cellStyle name="Millares 7 3 8" xfId="5464" xr:uid="{088067D4-40B1-4819-A984-D27B004C30E9}"/>
    <cellStyle name="Millares 7 3 9" xfId="466" xr:uid="{E11BBCF5-9E75-40D2-A6E9-BC838AEEC68B}"/>
    <cellStyle name="Millares 7 4" xfId="181" xr:uid="{DFFF250E-A933-490E-8A5F-C104A47C976E}"/>
    <cellStyle name="Millares 7 4 2" xfId="182" xr:uid="{2D913F19-8430-465B-9EFD-82A949EC7E01}"/>
    <cellStyle name="Millares 7 4 2 2" xfId="803" xr:uid="{EB8E4D11-FEA3-47CD-90D0-43F1ACF9B0BC}"/>
    <cellStyle name="Millares 7 4 2 2 2" xfId="2054" xr:uid="{D9420D12-EBFC-4199-971C-3E49AA267C47}"/>
    <cellStyle name="Millares 7 4 2 2 2 2" xfId="4552" xr:uid="{6E96FBF9-F750-447A-860E-40C4A6779107}"/>
    <cellStyle name="Millares 7 4 2 2 2 2 2" xfId="9548" xr:uid="{261FEA02-8B88-476E-94BB-0F35C208024B}"/>
    <cellStyle name="Millares 7 4 2 2 2 3" xfId="7050" xr:uid="{E7C34F56-86B6-43F3-914C-40EE7227A330}"/>
    <cellStyle name="Millares 7 4 2 2 3" xfId="3303" xr:uid="{9A95016F-8A60-4E18-8959-4A08AE7EC3CC}"/>
    <cellStyle name="Millares 7 4 2 2 3 2" xfId="8299" xr:uid="{234558CF-D2EB-41BA-9E25-DB0A73EFD630}"/>
    <cellStyle name="Millares 7 4 2 2 4" xfId="5801" xr:uid="{3AE34E83-2351-4E0B-B76E-C090C9CB3DA0}"/>
    <cellStyle name="Millares 7 4 2 3" xfId="1116" xr:uid="{CE8C6AF2-35A6-417D-8959-50DF10DDC8DB}"/>
    <cellStyle name="Millares 7 4 2 3 2" xfId="2366" xr:uid="{47AF6C61-9FD4-4A3E-BA9D-3D533ABFCBC5}"/>
    <cellStyle name="Millares 7 4 2 3 2 2" xfId="4864" xr:uid="{F50982DB-E384-477B-B902-45A992B903AE}"/>
    <cellStyle name="Millares 7 4 2 3 2 2 2" xfId="9860" xr:uid="{92343EC1-C456-40A6-B0A0-996431ABF31E}"/>
    <cellStyle name="Millares 7 4 2 3 2 3" xfId="7362" xr:uid="{17A76D05-5D40-41CA-BC09-82DB82DFD14B}"/>
    <cellStyle name="Millares 7 4 2 3 3" xfId="3615" xr:uid="{726BFA1A-9DED-41F9-AD88-AB6CDDA04DCE}"/>
    <cellStyle name="Millares 7 4 2 3 3 2" xfId="8611" xr:uid="{BD8B853D-7AD3-4CFE-B75B-28D6FDBA9F72}"/>
    <cellStyle name="Millares 7 4 2 3 4" xfId="6113" xr:uid="{36EE520D-A035-47C7-B9E6-2CCD006EC2C8}"/>
    <cellStyle name="Millares 7 4 2 4" xfId="1480" xr:uid="{9CB270C4-76F8-4730-BBC7-C4B6E1B8670A}"/>
    <cellStyle name="Millares 7 4 2 4 2" xfId="2730" xr:uid="{9D046FA0-0756-4A4D-BDAD-AAD967EE5A8A}"/>
    <cellStyle name="Millares 7 4 2 4 2 2" xfId="5228" xr:uid="{6FAFBADA-5D79-4D62-B2B1-210929AD6D67}"/>
    <cellStyle name="Millares 7 4 2 4 2 2 2" xfId="10224" xr:uid="{A2D44BA1-FADB-4802-A511-A851E36E6F71}"/>
    <cellStyle name="Millares 7 4 2 4 2 3" xfId="7726" xr:uid="{54DF034A-AB90-4475-9FAC-3B816ED7DC75}"/>
    <cellStyle name="Millares 7 4 2 4 3" xfId="3979" xr:uid="{FA6A1E34-B2A7-4A35-9A61-E512C5264E89}"/>
    <cellStyle name="Millares 7 4 2 4 3 2" xfId="8975" xr:uid="{BE3E2F6F-4046-491C-9EC0-A7CD2A239C31}"/>
    <cellStyle name="Millares 7 4 2 4 4" xfId="6477" xr:uid="{11C6A6E8-305F-4580-BA2B-E1F52E363D86}"/>
    <cellStyle name="Millares 7 4 2 5" xfId="1811" xr:uid="{7C6CB8EF-A77F-420C-AD86-D20C50D8CF68}"/>
    <cellStyle name="Millares 7 4 2 5 2" xfId="4309" xr:uid="{4643E8AB-76EC-4721-B4E9-E7ACB654AB6C}"/>
    <cellStyle name="Millares 7 4 2 5 2 2" xfId="9305" xr:uid="{8D0870F3-F0EB-43C5-8F51-6C2182DBF9E5}"/>
    <cellStyle name="Millares 7 4 2 5 3" xfId="6807" xr:uid="{9AB5A4DE-1AAC-463A-8E1E-6EA9D6FCF738}"/>
    <cellStyle name="Millares 7 4 2 6" xfId="3060" xr:uid="{E49D7555-5BE2-4E78-B24D-581BD79C0C39}"/>
    <cellStyle name="Millares 7 4 2 6 2" xfId="8056" xr:uid="{2B5F61F6-D89A-4895-9639-C8943A41D7B6}"/>
    <cellStyle name="Millares 7 4 2 7" xfId="5558" xr:uid="{8FE21981-B2E4-4321-87DE-17193028FDE0}"/>
    <cellStyle name="Millares 7 4 2 8" xfId="560" xr:uid="{6F387B3C-8852-4FBF-877A-ECBCB9C54200}"/>
    <cellStyle name="Millares 7 4 3" xfId="802" xr:uid="{A2B9666B-3F3F-4096-9B99-0408CCB31DE3}"/>
    <cellStyle name="Millares 7 4 3 2" xfId="2053" xr:uid="{8FF4D8C8-0486-4C19-8C87-654A7769682E}"/>
    <cellStyle name="Millares 7 4 3 2 2" xfId="4551" xr:uid="{1373441A-F79B-4D03-B336-C334FB880E72}"/>
    <cellStyle name="Millares 7 4 3 2 2 2" xfId="9547" xr:uid="{6453D6EA-26B8-4E08-83E8-1D572CDD2AFC}"/>
    <cellStyle name="Millares 7 4 3 2 3" xfId="7049" xr:uid="{461DADA5-99EB-46C4-A4C0-7CEB787FB5A9}"/>
    <cellStyle name="Millares 7 4 3 3" xfId="3302" xr:uid="{B68131DB-A76B-4C03-A5A7-89AAF4B5F265}"/>
    <cellStyle name="Millares 7 4 3 3 2" xfId="8298" xr:uid="{BDDF9E27-5C32-4F15-95E8-0045EF2F4E4E}"/>
    <cellStyle name="Millares 7 4 3 4" xfId="5800" xr:uid="{8C6164F7-7E9D-4D7A-B516-2E10D9BC9108}"/>
    <cellStyle name="Millares 7 4 4" xfId="1115" xr:uid="{179A299F-F97C-4717-B5A4-7A1A30BF1172}"/>
    <cellStyle name="Millares 7 4 4 2" xfId="2365" xr:uid="{E24D3E2F-DD52-4996-AB16-E9432A05D757}"/>
    <cellStyle name="Millares 7 4 4 2 2" xfId="4863" xr:uid="{41357A2F-E05F-439F-AC8C-4DB0514E5599}"/>
    <cellStyle name="Millares 7 4 4 2 2 2" xfId="9859" xr:uid="{28D94A2A-CC77-4F22-B2BA-A6C4A1A4D2DA}"/>
    <cellStyle name="Millares 7 4 4 2 3" xfId="7361" xr:uid="{EBAA78A1-1083-4FA3-A728-C2C6079A51A8}"/>
    <cellStyle name="Millares 7 4 4 3" xfId="3614" xr:uid="{D8B1EE8B-D984-48DF-8985-25806B76EAA3}"/>
    <cellStyle name="Millares 7 4 4 3 2" xfId="8610" xr:uid="{F76F2012-B050-44D6-86BF-AC866D214354}"/>
    <cellStyle name="Millares 7 4 4 4" xfId="6112" xr:uid="{A5ED69F9-FE2B-422B-882E-897B7452019E}"/>
    <cellStyle name="Millares 7 4 5" xfId="1384" xr:uid="{916DCCA0-49D8-44E5-BDF1-C3939D05842C}"/>
    <cellStyle name="Millares 7 4 5 2" xfId="2634" xr:uid="{A8BB8E26-81F1-4725-A48B-C37C5139F4BA}"/>
    <cellStyle name="Millares 7 4 5 2 2" xfId="5132" xr:uid="{DC80C5E8-F86B-466D-9226-0B61DC43959E}"/>
    <cellStyle name="Millares 7 4 5 2 2 2" xfId="10128" xr:uid="{6B744900-8AB3-4B0B-AE30-A1EE4D7EF190}"/>
    <cellStyle name="Millares 7 4 5 2 3" xfId="7630" xr:uid="{174B2E02-D5B7-4379-9372-74E948E637D5}"/>
    <cellStyle name="Millares 7 4 5 3" xfId="3883" xr:uid="{38B5D793-76DD-440A-8020-456CCC262C68}"/>
    <cellStyle name="Millares 7 4 5 3 2" xfId="8879" xr:uid="{8701B539-92B0-4CFC-924C-4CDE85199C18}"/>
    <cellStyle name="Millares 7 4 5 4" xfId="6381" xr:uid="{AF79114B-6559-469E-A8CE-5E7958539986}"/>
    <cellStyle name="Millares 7 4 6" xfId="1715" xr:uid="{3E5C7AB3-D012-4E4F-850C-A073535D08E2}"/>
    <cellStyle name="Millares 7 4 6 2" xfId="4213" xr:uid="{4BB41D8A-96FE-4181-9626-8338E8823ECF}"/>
    <cellStyle name="Millares 7 4 6 2 2" xfId="9209" xr:uid="{75D397C8-6E9A-4D20-9EDC-3F25BB02B1C6}"/>
    <cellStyle name="Millares 7 4 6 3" xfId="6711" xr:uid="{D30B17F6-C184-4362-884A-69A0FB309581}"/>
    <cellStyle name="Millares 7 4 7" xfId="2964" xr:uid="{06DCF73B-76BD-448A-887A-550531A2087A}"/>
    <cellStyle name="Millares 7 4 7 2" xfId="7960" xr:uid="{9DDEE069-BDCC-430B-B0F8-D4B41CE8F172}"/>
    <cellStyle name="Millares 7 4 8" xfId="5462" xr:uid="{5CE8B0ED-12FE-47C6-BD17-522FCF533876}"/>
    <cellStyle name="Millares 7 4 9" xfId="464" xr:uid="{3456176B-291F-4D4C-ACB9-9B80BD2EA0E0}"/>
    <cellStyle name="Millares 7 5" xfId="183" xr:uid="{FD9BA82F-7C2B-45E2-99C0-2DC5B963B5F0}"/>
    <cellStyle name="Millares 7 5 2" xfId="804" xr:uid="{8804D156-D7E4-4488-ADCE-FBFADD459956}"/>
    <cellStyle name="Millares 7 5 2 2" xfId="2055" xr:uid="{FA620EB3-D124-4F09-85D7-4125BF7D9DCC}"/>
    <cellStyle name="Millares 7 5 2 2 2" xfId="4553" xr:uid="{DF5ED7D6-0E2C-4778-B8CF-A2F26889C825}"/>
    <cellStyle name="Millares 7 5 2 2 2 2" xfId="9549" xr:uid="{809CF7EB-3BAA-425D-8110-6AEABA11E3BC}"/>
    <cellStyle name="Millares 7 5 2 2 3" xfId="7051" xr:uid="{C259C38E-C401-425C-A430-84F1DF3181B7}"/>
    <cellStyle name="Millares 7 5 2 3" xfId="3304" xr:uid="{3DD9EF66-4077-4B22-AC03-8286CC55F9CB}"/>
    <cellStyle name="Millares 7 5 2 3 2" xfId="8300" xr:uid="{6CA43A98-480B-433F-9059-B9F9DF53BA72}"/>
    <cellStyle name="Millares 7 5 2 4" xfId="5802" xr:uid="{8D580114-689A-44BA-ADE3-B4B0520E5B48}"/>
    <cellStyle name="Millares 7 5 3" xfId="1117" xr:uid="{6A6E638B-A66B-4BF9-9019-4887B4F1EFD9}"/>
    <cellStyle name="Millares 7 5 3 2" xfId="2367" xr:uid="{78A422A5-CA9C-47D9-B63B-A1847F43F260}"/>
    <cellStyle name="Millares 7 5 3 2 2" xfId="4865" xr:uid="{ECAA3077-02B7-4013-A2D6-E714C4B03F3E}"/>
    <cellStyle name="Millares 7 5 3 2 2 2" xfId="9861" xr:uid="{D9E4633D-4560-47E1-A509-0CD6AE8BF958}"/>
    <cellStyle name="Millares 7 5 3 2 3" xfId="7363" xr:uid="{7D948E5F-FDFA-439E-8336-A71A996E3960}"/>
    <cellStyle name="Millares 7 5 3 3" xfId="3616" xr:uid="{0CCDBB3A-20E3-4C30-87EE-FDF32E7B3120}"/>
    <cellStyle name="Millares 7 5 3 3 2" xfId="8612" xr:uid="{66608F89-D5B9-4E53-A773-08F183736601}"/>
    <cellStyle name="Millares 7 5 3 4" xfId="6114" xr:uid="{4E3C09EE-871C-4018-B778-6F7A87D0323C}"/>
    <cellStyle name="Millares 7 5 4" xfId="1477" xr:uid="{AB590A29-B59E-4302-9864-C68509C6F8B8}"/>
    <cellStyle name="Millares 7 5 4 2" xfId="2727" xr:uid="{BE60A376-2DA8-4BA8-A214-A1320755C49D}"/>
    <cellStyle name="Millares 7 5 4 2 2" xfId="5225" xr:uid="{673EB02F-01D0-460F-ABB9-CC060332DE5D}"/>
    <cellStyle name="Millares 7 5 4 2 2 2" xfId="10221" xr:uid="{AC482ABA-2C63-479C-B953-780E12BF1735}"/>
    <cellStyle name="Millares 7 5 4 2 3" xfId="7723" xr:uid="{976B8A4A-B66E-4B19-9229-6F56A301588D}"/>
    <cellStyle name="Millares 7 5 4 3" xfId="3976" xr:uid="{9606C2BD-A462-4653-B4EE-22E436CBE053}"/>
    <cellStyle name="Millares 7 5 4 3 2" xfId="8972" xr:uid="{549071D5-13D9-4786-A0EB-A14CB5B62C71}"/>
    <cellStyle name="Millares 7 5 4 4" xfId="6474" xr:uid="{E6B0821A-04AE-4100-87A5-4B6D584B252C}"/>
    <cellStyle name="Millares 7 5 5" xfId="1808" xr:uid="{58A03A21-9A9D-4251-9634-ADFE395DF9ED}"/>
    <cellStyle name="Millares 7 5 5 2" xfId="4306" xr:uid="{555528B1-EB5A-4891-8A5E-0E764866C47F}"/>
    <cellStyle name="Millares 7 5 5 2 2" xfId="9302" xr:uid="{46B58220-4757-4F25-A1E0-CFF1812895B6}"/>
    <cellStyle name="Millares 7 5 5 3" xfId="6804" xr:uid="{95D43764-979D-4236-AA3A-B28488D4D28A}"/>
    <cellStyle name="Millares 7 5 6" xfId="3057" xr:uid="{41DA7D63-2729-4C9F-B3C2-77D5A4FE3E5E}"/>
    <cellStyle name="Millares 7 5 6 2" xfId="8053" xr:uid="{08DF24CE-0363-4380-82DD-CD7E179D4F73}"/>
    <cellStyle name="Millares 7 5 7" xfId="5555" xr:uid="{DDF0521C-B1C7-4880-9325-32D5435845C0}"/>
    <cellStyle name="Millares 7 5 8" xfId="557" xr:uid="{A47D2B3C-ABBD-4B93-BCE7-A8510BFDA2AC}"/>
    <cellStyle name="Millares 7 6" xfId="363" xr:uid="{7E84A3BB-E61D-482F-9440-27F456E3E8FA}"/>
    <cellStyle name="Millares 7 6 2" xfId="1284" xr:uid="{305A69DA-FF61-4EE9-90F9-C91E71989364}"/>
    <cellStyle name="Millares 7 6 2 2" xfId="2534" xr:uid="{8F6A1245-02D8-4469-BBDF-D16964B7EC90}"/>
    <cellStyle name="Millares 7 6 2 2 2" xfId="5032" xr:uid="{9F47B75C-EE06-4D20-8720-109271285F43}"/>
    <cellStyle name="Millares 7 6 2 2 2 2" xfId="10028" xr:uid="{A5F8C805-D733-468D-810A-FF12FB28C7DD}"/>
    <cellStyle name="Millares 7 6 2 2 3" xfId="7530" xr:uid="{5CC3E564-7B87-433E-8FD8-4A10429FBC3F}"/>
    <cellStyle name="Millares 7 6 2 3" xfId="3783" xr:uid="{B241F08A-04EE-4427-BAB3-502DF904FFA0}"/>
    <cellStyle name="Millares 7 6 2 3 2" xfId="8779" xr:uid="{34979E2B-83B1-43FF-BFEE-31656C7AE585}"/>
    <cellStyle name="Millares 7 6 2 4" xfId="6281" xr:uid="{8B23479E-CB4A-4978-8AE1-90EAD37D5CA1}"/>
    <cellStyle name="Millares 7 6 3" xfId="2222" xr:uid="{03F523C5-3088-42F3-BE88-9B3AE1276F22}"/>
    <cellStyle name="Millares 7 6 3 2" xfId="4720" xr:uid="{12888C17-2172-4D4A-B9F5-2BE68612F4DC}"/>
    <cellStyle name="Millares 7 6 3 2 2" xfId="9716" xr:uid="{ABCC4D82-543E-4E72-ABBA-30F086D8B2B7}"/>
    <cellStyle name="Millares 7 6 3 3" xfId="7218" xr:uid="{B445CF53-D8E8-4BCF-B26C-177A1BCA9C83}"/>
    <cellStyle name="Millares 7 6 4" xfId="3471" xr:uid="{1B6E006C-7D9B-46CB-B96B-61D3E055D4F3}"/>
    <cellStyle name="Millares 7 6 4 2" xfId="8467" xr:uid="{191D3175-C5DB-4CA4-BB5E-60CF42FFB796}"/>
    <cellStyle name="Millares 7 6 5" xfId="5969" xr:uid="{FA83B99A-742E-4C50-AF1D-1C34CE3CE925}"/>
    <cellStyle name="Millares 7 6 6" xfId="972" xr:uid="{634A43AE-16A9-4156-9B1A-05802BC10212}"/>
    <cellStyle name="Millares 7 7" xfId="691" xr:uid="{A2F42BB3-CA00-4A5D-919C-344E603B7A7E}"/>
    <cellStyle name="Millares 7 7 2" xfId="1942" xr:uid="{5AF5AC93-761D-443F-BEF7-A5F453A60CFB}"/>
    <cellStyle name="Millares 7 7 2 2" xfId="4440" xr:uid="{48AFCA29-354F-4AAB-B819-9A3C17AD24AF}"/>
    <cellStyle name="Millares 7 7 2 2 2" xfId="9436" xr:uid="{9D3B89E2-CB5D-41B8-A275-DE45E613F384}"/>
    <cellStyle name="Millares 7 7 2 3" xfId="6938" xr:uid="{542372E8-BA27-4223-B0B4-823D51BAAB22}"/>
    <cellStyle name="Millares 7 7 3" xfId="3191" xr:uid="{292C9948-F4C1-4E86-97B5-0948DDF73CF5}"/>
    <cellStyle name="Millares 7 7 3 2" xfId="8187" xr:uid="{82999B01-27C4-4EF8-BF37-823771044A99}"/>
    <cellStyle name="Millares 7 7 4" xfId="5689" xr:uid="{948424BB-8C35-4163-B201-D31D2FDE0FDA}"/>
    <cellStyle name="Millares 7 8" xfId="1004" xr:uid="{FC62DB77-6A78-4AAA-8ECB-46836D2F3272}"/>
    <cellStyle name="Millares 7 8 2" xfId="2254" xr:uid="{1B5AEF3B-A3A3-4B12-A70D-1708F1FEE51A}"/>
    <cellStyle name="Millares 7 8 2 2" xfId="4752" xr:uid="{15323F2C-AF73-4F8E-A057-36F13FA54E7C}"/>
    <cellStyle name="Millares 7 8 2 2 2" xfId="9748" xr:uid="{C6B073D9-95A4-4ADC-8279-377890A5AAC5}"/>
    <cellStyle name="Millares 7 8 2 3" xfId="7250" xr:uid="{078FC6B8-DBED-47F4-8AB9-7E5A164EE8BB}"/>
    <cellStyle name="Millares 7 8 3" xfId="3503" xr:uid="{6B2692B4-C7EA-4241-85F2-4AB18144EB6C}"/>
    <cellStyle name="Millares 7 8 3 2" xfId="8499" xr:uid="{71B9F2AB-88AC-4E40-9E26-83067004ADA0}"/>
    <cellStyle name="Millares 7 8 4" xfId="6001" xr:uid="{8F4CBB85-FF82-45A5-BAF9-D9176A26D400}"/>
    <cellStyle name="Millares 7 9" xfId="1324" xr:uid="{41301E91-D186-4404-9B83-350F3EADE3A2}"/>
    <cellStyle name="Millares 7 9 2" xfId="2574" xr:uid="{3A34D0EA-C309-4E0D-AA8D-0E4E0C0DD95C}"/>
    <cellStyle name="Millares 7 9 2 2" xfId="5072" xr:uid="{529AFC00-3CC1-4FF3-9CC7-DF288CABC160}"/>
    <cellStyle name="Millares 7 9 2 2 2" xfId="10068" xr:uid="{1B82B1D2-CCF7-4F8B-A3C9-5C20870B4B10}"/>
    <cellStyle name="Millares 7 9 2 3" xfId="7570" xr:uid="{E179B391-80E5-4813-86C0-EEAE3F1B66BF}"/>
    <cellStyle name="Millares 7 9 3" xfId="3823" xr:uid="{D3E0497F-C708-4C8F-862B-48974659D559}"/>
    <cellStyle name="Millares 7 9 3 2" xfId="8819" xr:uid="{59330C5B-22F4-4AED-8202-0451506DDF88}"/>
    <cellStyle name="Millares 7 9 4" xfId="6321" xr:uid="{B7E7C2D1-CF17-4930-8CF5-911BB1DCF5E3}"/>
    <cellStyle name="Millares 8" xfId="35" xr:uid="{C0D34DB0-059D-4267-BB1E-D15BB5E18781}"/>
    <cellStyle name="Millares 8 10" xfId="1659" xr:uid="{1D01F636-001A-45B7-8F26-E21E0D1FB234}"/>
    <cellStyle name="Millares 8 10 2" xfId="4157" xr:uid="{64420984-E92D-4FA3-A697-9A9E1F253B3F}"/>
    <cellStyle name="Millares 8 10 2 2" xfId="9153" xr:uid="{5826703E-A214-4F78-882F-5EE8B0070842}"/>
    <cellStyle name="Millares 8 10 3" xfId="6655" xr:uid="{8ED9100F-B352-43FC-9AD0-624C7E96D7D3}"/>
    <cellStyle name="Millares 8 11" xfId="2908" xr:uid="{D3654E6E-7BCD-422D-9E16-E492AE4B4BDC}"/>
    <cellStyle name="Millares 8 11 2" xfId="7904" xr:uid="{76AD760D-ED56-4B4C-9E93-844A80D603DF}"/>
    <cellStyle name="Millares 8 12" xfId="5406" xr:uid="{88488A72-8091-4A0B-A041-13FC7956DCF0}"/>
    <cellStyle name="Millares 8 13" xfId="408" xr:uid="{7A7E3A8B-2872-4B47-AE25-08CFCD18A617}"/>
    <cellStyle name="Millares 8 2" xfId="63" xr:uid="{AB61623A-BEB4-4174-80EE-2684D45591F9}"/>
    <cellStyle name="Millares 8 2 2" xfId="184" xr:uid="{1CDA6830-1F4C-4AA6-8068-FFFE7808DA5D}"/>
    <cellStyle name="Millares 8 2 2 2" xfId="805" xr:uid="{DDBE102F-5C00-4805-9093-6C103CBC369A}"/>
    <cellStyle name="Millares 8 2 2 2 2" xfId="2056" xr:uid="{FD6449DF-AECC-407B-B8A2-5BE948D40478}"/>
    <cellStyle name="Millares 8 2 2 2 2 2" xfId="4554" xr:uid="{FF23D617-5CCB-4E57-9593-6355C7E2F594}"/>
    <cellStyle name="Millares 8 2 2 2 2 2 2" xfId="9550" xr:uid="{D90F82DD-21DB-47B7-8FC2-B33F8EFDF8D0}"/>
    <cellStyle name="Millares 8 2 2 2 2 3" xfId="7052" xr:uid="{DA59885F-4C17-46CA-969B-5D6F1015706A}"/>
    <cellStyle name="Millares 8 2 2 2 3" xfId="3305" xr:uid="{F3DCBED8-33C1-40A9-B399-6C5D1420C2C7}"/>
    <cellStyle name="Millares 8 2 2 2 3 2" xfId="8301" xr:uid="{9C587EA1-43CB-4CEC-A05A-BDB8F7B68B4D}"/>
    <cellStyle name="Millares 8 2 2 2 4" xfId="5803" xr:uid="{4710DD90-2F83-4FF9-AAED-4CE4C88DE610}"/>
    <cellStyle name="Millares 8 2 2 3" xfId="1118" xr:uid="{BC32E6FE-D46D-4D18-9D25-4D9A617698EF}"/>
    <cellStyle name="Millares 8 2 2 3 2" xfId="2368" xr:uid="{DA0CA5A2-EE10-4D94-8BD1-F8ED6FD63441}"/>
    <cellStyle name="Millares 8 2 2 3 2 2" xfId="4866" xr:uid="{F0F71DBD-97C0-4326-9F0F-C29F005A9FAE}"/>
    <cellStyle name="Millares 8 2 2 3 2 2 2" xfId="9862" xr:uid="{57F62CB9-9795-4432-BF57-C2048EE60E93}"/>
    <cellStyle name="Millares 8 2 2 3 2 3" xfId="7364" xr:uid="{B51B6762-D51E-46E0-8466-792CE2240618}"/>
    <cellStyle name="Millares 8 2 2 3 3" xfId="3617" xr:uid="{BD8DBE2D-BAE4-410F-888D-CE5123DEE28B}"/>
    <cellStyle name="Millares 8 2 2 3 3 2" xfId="8613" xr:uid="{3403F0D8-FB76-4667-888E-A77EF9CFBBB5}"/>
    <cellStyle name="Millares 8 2 2 3 4" xfId="6115" xr:uid="{669144CA-7603-44B0-9C0B-47580133D283}"/>
    <cellStyle name="Millares 8 2 2 4" xfId="1482" xr:uid="{00DCF5DB-463C-4B25-97D3-7F7DD20585AD}"/>
    <cellStyle name="Millares 8 2 2 4 2" xfId="2732" xr:uid="{FFA6E5E2-3AE9-455C-A9E1-38D0C95763FC}"/>
    <cellStyle name="Millares 8 2 2 4 2 2" xfId="5230" xr:uid="{FE084651-E05F-470F-BA1B-2769219F2D3F}"/>
    <cellStyle name="Millares 8 2 2 4 2 2 2" xfId="10226" xr:uid="{AD0EB013-BA37-4C57-97C6-44621AC0610B}"/>
    <cellStyle name="Millares 8 2 2 4 2 3" xfId="7728" xr:uid="{DEA83650-8676-4CFA-8284-B308A358328B}"/>
    <cellStyle name="Millares 8 2 2 4 3" xfId="3981" xr:uid="{23D6EDC9-B997-4986-B5BC-082E03B4449E}"/>
    <cellStyle name="Millares 8 2 2 4 3 2" xfId="8977" xr:uid="{F6B8457E-5C9E-4FFB-B515-283DDA2DB713}"/>
    <cellStyle name="Millares 8 2 2 4 4" xfId="6479" xr:uid="{98AFA510-451D-4119-A474-AA972D9566B2}"/>
    <cellStyle name="Millares 8 2 2 5" xfId="1813" xr:uid="{B0BD1E67-0E80-4AAF-BC76-D71F62CA8B0D}"/>
    <cellStyle name="Millares 8 2 2 5 2" xfId="4311" xr:uid="{81F9E0B8-E145-4ECF-A02B-88B3EDD83776}"/>
    <cellStyle name="Millares 8 2 2 5 2 2" xfId="9307" xr:uid="{A8966EAC-C245-44F4-8B06-B828AB4C1352}"/>
    <cellStyle name="Millares 8 2 2 5 3" xfId="6809" xr:uid="{4C2B0914-9BA3-43B2-B501-42E6D615B8BD}"/>
    <cellStyle name="Millares 8 2 2 6" xfId="3062" xr:uid="{8F3FF648-C987-4392-9451-1A0EDC4E79F0}"/>
    <cellStyle name="Millares 8 2 2 6 2" xfId="8058" xr:uid="{2715E3BB-0F21-409C-8EF3-AD70419D0377}"/>
    <cellStyle name="Millares 8 2 2 7" xfId="5560" xr:uid="{A3AF501E-02CE-4DBD-AAC8-243C422522D2}"/>
    <cellStyle name="Millares 8 2 2 8" xfId="562" xr:uid="{B67C06B4-B881-46E7-8EFE-6194DEDFF693}"/>
    <cellStyle name="Millares 8 2 3" xfId="717" xr:uid="{ECA0BABC-D855-486E-8511-10B1F112AD2D}"/>
    <cellStyle name="Millares 8 2 3 2" xfId="1968" xr:uid="{1AC785DE-7D62-4762-A615-1379FB124420}"/>
    <cellStyle name="Millares 8 2 3 2 2" xfId="4466" xr:uid="{D627ADB5-500C-4A6B-86FB-2949CF0310A4}"/>
    <cellStyle name="Millares 8 2 3 2 2 2" xfId="9462" xr:uid="{7E233E2C-4B4A-42BD-AD35-1C0246FF8334}"/>
    <cellStyle name="Millares 8 2 3 2 3" xfId="6964" xr:uid="{7603FEA5-2733-4327-A32E-DA2254B3E73A}"/>
    <cellStyle name="Millares 8 2 3 3" xfId="3217" xr:uid="{23BE98F7-98DF-488B-846F-05E39F20CBBB}"/>
    <cellStyle name="Millares 8 2 3 3 2" xfId="8213" xr:uid="{B4D39785-76A9-4077-94A8-D7A523DB51AC}"/>
    <cellStyle name="Millares 8 2 3 4" xfId="5715" xr:uid="{9881BB63-CF8A-4FCC-B8CF-49FC965A3AAA}"/>
    <cellStyle name="Millares 8 2 4" xfId="1030" xr:uid="{CF0D38EC-D842-4167-8C02-93ADCE902337}"/>
    <cellStyle name="Millares 8 2 4 2" xfId="2280" xr:uid="{6A980238-16F9-4001-9A4B-7BDB4FBAE983}"/>
    <cellStyle name="Millares 8 2 4 2 2" xfId="4778" xr:uid="{6079225B-81A6-4D9A-BCF4-87D4073ECC2A}"/>
    <cellStyle name="Millares 8 2 4 2 2 2" xfId="9774" xr:uid="{7DB766D6-233A-4AEC-8FA8-6A061FCDCF24}"/>
    <cellStyle name="Millares 8 2 4 2 3" xfId="7276" xr:uid="{4165D826-F89D-469B-92D6-0C16D57A552A}"/>
    <cellStyle name="Millares 8 2 4 3" xfId="3529" xr:uid="{C13B8BCF-B001-4ECB-8E4B-54B387BC0DF5}"/>
    <cellStyle name="Millares 8 2 4 3 2" xfId="8525" xr:uid="{4C46B6D0-4E23-4452-98EE-900CA391CF07}"/>
    <cellStyle name="Millares 8 2 4 4" xfId="6027" xr:uid="{E07C576D-604F-4CF4-AA50-C62076269AB1}"/>
    <cellStyle name="Millares 8 2 5" xfId="1388" xr:uid="{2AE6B981-6EE9-44C9-857E-60804C052332}"/>
    <cellStyle name="Millares 8 2 5 2" xfId="2638" xr:uid="{1E2F7979-2631-42E5-A8C4-49E475204E42}"/>
    <cellStyle name="Millares 8 2 5 2 2" xfId="5136" xr:uid="{75D8B39B-4F9D-4E96-8C28-65CB29D15AC3}"/>
    <cellStyle name="Millares 8 2 5 2 2 2" xfId="10132" xr:uid="{3B55A5A5-C827-44B5-9781-0B68BC385B50}"/>
    <cellStyle name="Millares 8 2 5 2 3" xfId="7634" xr:uid="{7395CDD6-D1F3-4300-A2D2-C09AE03E79A5}"/>
    <cellStyle name="Millares 8 2 5 3" xfId="3887" xr:uid="{5E1D0E41-1F50-4083-941E-E59CD0752606}"/>
    <cellStyle name="Millares 8 2 5 3 2" xfId="8883" xr:uid="{8E77E65E-904A-4116-9085-43AED0658FAB}"/>
    <cellStyle name="Millares 8 2 5 4" xfId="6385" xr:uid="{0C5EF764-2677-4165-8876-43CBB8CB9E5F}"/>
    <cellStyle name="Millares 8 2 6" xfId="1719" xr:uid="{E832E6EF-019C-45F7-BE32-CDF5DA1B919E}"/>
    <cellStyle name="Millares 8 2 6 2" xfId="4217" xr:uid="{921A1489-541A-45B5-85A8-075011612AF5}"/>
    <cellStyle name="Millares 8 2 6 2 2" xfId="9213" xr:uid="{B54ED7CE-9FBD-4188-9F1B-30B2F3D73194}"/>
    <cellStyle name="Millares 8 2 6 3" xfId="6715" xr:uid="{05A5DF4C-6A99-4D54-B47C-92AFCD21E835}"/>
    <cellStyle name="Millares 8 2 7" xfId="2968" xr:uid="{D67326E5-9242-4CA5-9AAF-81A3FC6D08A3}"/>
    <cellStyle name="Millares 8 2 7 2" xfId="7964" xr:uid="{579A45FA-A7A5-4313-9497-F2E61FEDB4DB}"/>
    <cellStyle name="Millares 8 2 8" xfId="5466" xr:uid="{9701F75B-00A5-4DE2-907B-D8661B6360A3}"/>
    <cellStyle name="Millares 8 2 9" xfId="468" xr:uid="{EA143633-6A15-474A-9DA2-AC91EEF7E6A9}"/>
    <cellStyle name="Millares 8 3" xfId="87" xr:uid="{B810456F-8607-4E1C-AB26-0549554A82E4}"/>
    <cellStyle name="Millares 8 3 2" xfId="185" xr:uid="{4F6BE681-93A0-4972-AEA9-8C500DAD56EF}"/>
    <cellStyle name="Millares 8 3 2 2" xfId="806" xr:uid="{DABE9D38-BF78-4D6F-B42F-9ADBFC1E2C2A}"/>
    <cellStyle name="Millares 8 3 2 2 2" xfId="2057" xr:uid="{97F2EEB6-DB5C-4792-AB19-F66EAFD22169}"/>
    <cellStyle name="Millares 8 3 2 2 2 2" xfId="4555" xr:uid="{2653AF53-F5B0-437F-904E-0A3A49F6BF61}"/>
    <cellStyle name="Millares 8 3 2 2 2 2 2" xfId="9551" xr:uid="{ACD14AD3-39AE-4CEB-BC8F-DC163377D0CC}"/>
    <cellStyle name="Millares 8 3 2 2 2 3" xfId="7053" xr:uid="{BE3DB02A-D475-4FE2-B1E8-3F9DBDBF2ED2}"/>
    <cellStyle name="Millares 8 3 2 2 3" xfId="3306" xr:uid="{C95A69AB-7864-4B0D-B472-362DF5270082}"/>
    <cellStyle name="Millares 8 3 2 2 3 2" xfId="8302" xr:uid="{9ED51590-3C97-4928-94A3-6CE1964B943B}"/>
    <cellStyle name="Millares 8 3 2 2 4" xfId="5804" xr:uid="{EA477B90-D9A7-4749-ABDA-97D3790F6D10}"/>
    <cellStyle name="Millares 8 3 2 3" xfId="1119" xr:uid="{DF41ED51-0E4E-4CE4-B5C8-6CF40825E965}"/>
    <cellStyle name="Millares 8 3 2 3 2" xfId="2369" xr:uid="{C75D78A1-DD03-407E-BDFE-41659944C723}"/>
    <cellStyle name="Millares 8 3 2 3 2 2" xfId="4867" xr:uid="{B6CD91AA-A03C-4246-9353-EDD8B932CBD4}"/>
    <cellStyle name="Millares 8 3 2 3 2 2 2" xfId="9863" xr:uid="{CD81E8A5-CF65-4113-A5F7-2A8ABD0A3439}"/>
    <cellStyle name="Millares 8 3 2 3 2 3" xfId="7365" xr:uid="{F1706967-A9F8-4571-A571-6A755AC4032C}"/>
    <cellStyle name="Millares 8 3 2 3 3" xfId="3618" xr:uid="{63ED9DBF-60E1-4972-9281-EC74951B8710}"/>
    <cellStyle name="Millares 8 3 2 3 3 2" xfId="8614" xr:uid="{858F3818-AFDA-4A9C-8827-381B418A1C55}"/>
    <cellStyle name="Millares 8 3 2 3 4" xfId="6116" xr:uid="{4E74F101-083A-4F69-B2EA-A8A597FE83D1}"/>
    <cellStyle name="Millares 8 3 2 4" xfId="1483" xr:uid="{06805CBD-DEE2-48E4-9D2C-324DDAB3EB77}"/>
    <cellStyle name="Millares 8 3 2 4 2" xfId="2733" xr:uid="{29618957-B29C-424E-B5DE-FD60AE5D54F1}"/>
    <cellStyle name="Millares 8 3 2 4 2 2" xfId="5231" xr:uid="{65CC2AD6-7F6B-4CD1-94E1-6EB15A53492B}"/>
    <cellStyle name="Millares 8 3 2 4 2 2 2" xfId="10227" xr:uid="{87F765B6-AFAC-4519-8EF1-6D26657D6FF2}"/>
    <cellStyle name="Millares 8 3 2 4 2 3" xfId="7729" xr:uid="{BE1B3957-8520-479A-8EFD-908101BD44C3}"/>
    <cellStyle name="Millares 8 3 2 4 3" xfId="3982" xr:uid="{3F23CD4A-2C40-45DB-AC61-21EBA32D0819}"/>
    <cellStyle name="Millares 8 3 2 4 3 2" xfId="8978" xr:uid="{47AF537A-D909-4710-BC50-5E6010627042}"/>
    <cellStyle name="Millares 8 3 2 4 4" xfId="6480" xr:uid="{385B8D9E-E173-4909-8026-0629DCFA6F8B}"/>
    <cellStyle name="Millares 8 3 2 5" xfId="1814" xr:uid="{0744EF41-1765-4A2F-8C10-79402D97157B}"/>
    <cellStyle name="Millares 8 3 2 5 2" xfId="4312" xr:uid="{792C6EB7-9869-4625-A41A-30005E58F8EB}"/>
    <cellStyle name="Millares 8 3 2 5 2 2" xfId="9308" xr:uid="{D8695E1E-4417-456C-AFF2-2CB42E72BE79}"/>
    <cellStyle name="Millares 8 3 2 5 3" xfId="6810" xr:uid="{203CA0D7-A52C-459B-AB5C-6646F96A610A}"/>
    <cellStyle name="Millares 8 3 2 6" xfId="3063" xr:uid="{01A95E18-D889-4C39-B9C3-C0AAD90F73EE}"/>
    <cellStyle name="Millares 8 3 2 6 2" xfId="8059" xr:uid="{9A57C45C-74D9-4894-9A6F-C2B91D1D8A8B}"/>
    <cellStyle name="Millares 8 3 2 7" xfId="5561" xr:uid="{C6F54C95-2976-4880-B505-FF1AB3CD76D7}"/>
    <cellStyle name="Millares 8 3 2 8" xfId="563" xr:uid="{DC2ADB62-8C8D-4402-BB76-B74A2B3B60B1}"/>
    <cellStyle name="Millares 8 3 3" xfId="741" xr:uid="{E551EE20-1F88-4CE8-BF1C-2457F8131783}"/>
    <cellStyle name="Millares 8 3 3 2" xfId="1992" xr:uid="{FB5FD21C-B24A-4F3C-81B7-070C21C1CC7E}"/>
    <cellStyle name="Millares 8 3 3 2 2" xfId="4490" xr:uid="{42F2196D-B1E6-4DC8-9972-F909058C317E}"/>
    <cellStyle name="Millares 8 3 3 2 2 2" xfId="9486" xr:uid="{C8301C11-0635-4ADD-8075-5BED7AF2FBC9}"/>
    <cellStyle name="Millares 8 3 3 2 3" xfId="6988" xr:uid="{B0038340-C6E0-4013-8027-5BCDE5FDCC83}"/>
    <cellStyle name="Millares 8 3 3 3" xfId="3241" xr:uid="{EDD87CB5-6EEE-45A2-BD63-0681311BABCE}"/>
    <cellStyle name="Millares 8 3 3 3 2" xfId="8237" xr:uid="{F399644E-912D-4585-985E-61565470D74A}"/>
    <cellStyle name="Millares 8 3 3 4" xfId="5739" xr:uid="{D031C7AF-D623-4A17-83B9-6415A5CFB7C8}"/>
    <cellStyle name="Millares 8 3 4" xfId="1054" xr:uid="{41E3E590-7C2A-404B-A031-F8387A907991}"/>
    <cellStyle name="Millares 8 3 4 2" xfId="2304" xr:uid="{154B586E-F82D-4772-A2CC-207C2E49DB93}"/>
    <cellStyle name="Millares 8 3 4 2 2" xfId="4802" xr:uid="{E021FD75-9DEA-4503-982D-D8DBF2062181}"/>
    <cellStyle name="Millares 8 3 4 2 2 2" xfId="9798" xr:uid="{69BD4A9A-8750-4F23-8E16-3B6E9E56833C}"/>
    <cellStyle name="Millares 8 3 4 2 3" xfId="7300" xr:uid="{79B364B2-FC17-4B47-84FB-1491DD8297E6}"/>
    <cellStyle name="Millares 8 3 4 3" xfId="3553" xr:uid="{606E02C4-96D3-409D-A776-AEF600DBF96A}"/>
    <cellStyle name="Millares 8 3 4 3 2" xfId="8549" xr:uid="{62E9F4E7-2238-4051-AF26-99A1FF455F2A}"/>
    <cellStyle name="Millares 8 3 4 4" xfId="6051" xr:uid="{DEA3417C-40C5-4676-951E-03E0D4469F22}"/>
    <cellStyle name="Millares 8 3 5" xfId="1389" xr:uid="{28CB2E95-A332-4FC8-B804-127CF60FCDC7}"/>
    <cellStyle name="Millares 8 3 5 2" xfId="2639" xr:uid="{14F24E15-541C-49FC-9004-C12BA66F185C}"/>
    <cellStyle name="Millares 8 3 5 2 2" xfId="5137" xr:uid="{4A562895-8365-4B48-B078-A925E056183C}"/>
    <cellStyle name="Millares 8 3 5 2 2 2" xfId="10133" xr:uid="{B87E8393-78F3-431A-AF9F-E181BAD986CF}"/>
    <cellStyle name="Millares 8 3 5 2 3" xfId="7635" xr:uid="{62217C4E-337B-4A79-8C86-1EBB736DB424}"/>
    <cellStyle name="Millares 8 3 5 3" xfId="3888" xr:uid="{A7701C7C-764E-4D41-BFD0-E3B861D370C1}"/>
    <cellStyle name="Millares 8 3 5 3 2" xfId="8884" xr:uid="{947FC885-4238-43A1-BF9B-CBCD39230792}"/>
    <cellStyle name="Millares 8 3 5 4" xfId="6386" xr:uid="{BE35B694-8C2D-4B18-99DF-ED57FDF61276}"/>
    <cellStyle name="Millares 8 3 6" xfId="1720" xr:uid="{A669132A-38B4-4645-8B01-E92EFF58A7D0}"/>
    <cellStyle name="Millares 8 3 6 2" xfId="4218" xr:uid="{A9BAF6EE-F810-4279-86B4-70D3AED6EED8}"/>
    <cellStyle name="Millares 8 3 6 2 2" xfId="9214" xr:uid="{749E0838-877B-4FD1-9DFE-8C26E2F589DC}"/>
    <cellStyle name="Millares 8 3 6 3" xfId="6716" xr:uid="{643BC7AB-45F5-40C2-A763-AEDC35B5F069}"/>
    <cellStyle name="Millares 8 3 7" xfId="2969" xr:uid="{A813B155-9AE5-4A70-BA6C-C7B9B809DB46}"/>
    <cellStyle name="Millares 8 3 7 2" xfId="7965" xr:uid="{247D6E2A-EA4B-4FE4-BFA4-0FB8114BFA06}"/>
    <cellStyle name="Millares 8 3 8" xfId="5467" xr:uid="{AE1F05E5-E341-408A-82D3-FC8D6FE0B369}"/>
    <cellStyle name="Millares 8 3 9" xfId="469" xr:uid="{22A3E368-F28F-4C1F-B0EF-9E5897D6B145}"/>
    <cellStyle name="Millares 8 4" xfId="186" xr:uid="{DBD05D42-D024-47B2-A181-53EAD0B60B4B}"/>
    <cellStyle name="Millares 8 4 2" xfId="187" xr:uid="{A12A8822-4235-479B-B3BD-153F93D2D88A}"/>
    <cellStyle name="Millares 8 4 2 2" xfId="808" xr:uid="{5EDF3BB7-0F4B-473F-A63E-D3F38FCCF749}"/>
    <cellStyle name="Millares 8 4 2 2 2" xfId="2059" xr:uid="{84699BBE-E5E3-4B76-A8A6-4FF4F1BFBF6E}"/>
    <cellStyle name="Millares 8 4 2 2 2 2" xfId="4557" xr:uid="{6FEAFA58-D3BB-4B8D-9EEF-43CB85C00F83}"/>
    <cellStyle name="Millares 8 4 2 2 2 2 2" xfId="9553" xr:uid="{8FEBCB3D-3986-4B92-9859-034E2923D6CA}"/>
    <cellStyle name="Millares 8 4 2 2 2 3" xfId="7055" xr:uid="{75DC1682-E197-4F13-9230-5076D397223C}"/>
    <cellStyle name="Millares 8 4 2 2 3" xfId="3308" xr:uid="{8F479657-3846-44D8-B7E6-C341F38D91BA}"/>
    <cellStyle name="Millares 8 4 2 2 3 2" xfId="8304" xr:uid="{682DA07F-ADD7-45B3-990D-85D1BC8AF521}"/>
    <cellStyle name="Millares 8 4 2 2 4" xfId="5806" xr:uid="{C2198D1B-CFDF-4C6F-9221-0C0D0D8DE3F1}"/>
    <cellStyle name="Millares 8 4 2 3" xfId="1121" xr:uid="{72F6896F-0CD2-4B2D-A683-28D93177EAC8}"/>
    <cellStyle name="Millares 8 4 2 3 2" xfId="2371" xr:uid="{9F9F6A77-1656-4754-9E19-C4409FE656E6}"/>
    <cellStyle name="Millares 8 4 2 3 2 2" xfId="4869" xr:uid="{1D155C9D-AB23-4F53-B5D8-F271944B9E87}"/>
    <cellStyle name="Millares 8 4 2 3 2 2 2" xfId="9865" xr:uid="{506B600B-15CF-4902-B9F6-CF3C32333DCD}"/>
    <cellStyle name="Millares 8 4 2 3 2 3" xfId="7367" xr:uid="{F69CA584-BACA-4A1F-B633-52F585DC7E29}"/>
    <cellStyle name="Millares 8 4 2 3 3" xfId="3620" xr:uid="{0CF1B853-77FB-4BC4-89B5-ECF8739626B1}"/>
    <cellStyle name="Millares 8 4 2 3 3 2" xfId="8616" xr:uid="{F1B2A456-2EA4-470E-9962-63D5F48EDF8B}"/>
    <cellStyle name="Millares 8 4 2 3 4" xfId="6118" xr:uid="{1C7E5297-60FE-476F-A4FF-FE97A414412E}"/>
    <cellStyle name="Millares 8 4 2 4" xfId="1484" xr:uid="{76BC1612-32E2-4A34-BE35-697E7FF1A320}"/>
    <cellStyle name="Millares 8 4 2 4 2" xfId="2734" xr:uid="{05D7892F-587A-4AF1-9A4E-F845891CB9A9}"/>
    <cellStyle name="Millares 8 4 2 4 2 2" xfId="5232" xr:uid="{5711E0F4-2220-4028-B5A6-5A096E0C2E01}"/>
    <cellStyle name="Millares 8 4 2 4 2 2 2" xfId="10228" xr:uid="{D5F5C503-2EBF-49E1-9E58-7BA515827CCC}"/>
    <cellStyle name="Millares 8 4 2 4 2 3" xfId="7730" xr:uid="{954A7490-D431-4642-B720-AF682E1AD0F9}"/>
    <cellStyle name="Millares 8 4 2 4 3" xfId="3983" xr:uid="{9504EBE8-9F5D-43DD-9110-57E9D1404F5A}"/>
    <cellStyle name="Millares 8 4 2 4 3 2" xfId="8979" xr:uid="{3A718A61-9D61-4A5B-A0DB-B16FD3682460}"/>
    <cellStyle name="Millares 8 4 2 4 4" xfId="6481" xr:uid="{EFF9D807-B76C-4DE2-957E-9FF8608B2CF6}"/>
    <cellStyle name="Millares 8 4 2 5" xfId="1815" xr:uid="{B31F72FA-5CC2-4273-9FE7-DE6FBBC7E5C9}"/>
    <cellStyle name="Millares 8 4 2 5 2" xfId="4313" xr:uid="{8C72AA45-8934-4394-B41B-AF94F6456712}"/>
    <cellStyle name="Millares 8 4 2 5 2 2" xfId="9309" xr:uid="{4E4BA09D-7237-412E-995E-56D28FF4EB50}"/>
    <cellStyle name="Millares 8 4 2 5 3" xfId="6811" xr:uid="{4103F2D4-B594-4812-9B08-91AD49253292}"/>
    <cellStyle name="Millares 8 4 2 6" xfId="3064" xr:uid="{95DEC1F8-AB2F-40BD-8748-48D25D51CF66}"/>
    <cellStyle name="Millares 8 4 2 6 2" xfId="8060" xr:uid="{3694414C-347A-4455-BE59-384BE3DAED6F}"/>
    <cellStyle name="Millares 8 4 2 7" xfId="5562" xr:uid="{1AC11BC8-415F-45A5-AC0D-8A09B96113DE}"/>
    <cellStyle name="Millares 8 4 2 8" xfId="564" xr:uid="{D2172625-0815-4126-8F1D-DAA0D0D3102B}"/>
    <cellStyle name="Millares 8 4 3" xfId="807" xr:uid="{E606461B-E4D1-488C-85BC-CBC9E2A5E9EC}"/>
    <cellStyle name="Millares 8 4 3 2" xfId="2058" xr:uid="{2F23EB5C-E0A4-4C71-88B5-815D8AFFE83E}"/>
    <cellStyle name="Millares 8 4 3 2 2" xfId="4556" xr:uid="{9E050899-31AE-49CD-8453-E3575769F563}"/>
    <cellStyle name="Millares 8 4 3 2 2 2" xfId="9552" xr:uid="{5FDA42B6-CDA3-4AD7-BA69-D8E76AE7D8A6}"/>
    <cellStyle name="Millares 8 4 3 2 3" xfId="7054" xr:uid="{9AD3882E-1043-4050-B667-C2BFB8AD20CA}"/>
    <cellStyle name="Millares 8 4 3 3" xfId="3307" xr:uid="{274897DE-28B5-4DD0-8AF3-303A73ADB66A}"/>
    <cellStyle name="Millares 8 4 3 3 2" xfId="8303" xr:uid="{BB2BFCB1-FF30-4613-9CAF-B5DC2F509B68}"/>
    <cellStyle name="Millares 8 4 3 4" xfId="5805" xr:uid="{94C7657B-9B77-4F66-BE4E-1C5C707F2A04}"/>
    <cellStyle name="Millares 8 4 4" xfId="1120" xr:uid="{0755D998-52C3-40E8-AF57-1A9A1620D9D7}"/>
    <cellStyle name="Millares 8 4 4 2" xfId="2370" xr:uid="{5FCE350A-A03E-4B29-98AB-92D2AF488354}"/>
    <cellStyle name="Millares 8 4 4 2 2" xfId="4868" xr:uid="{5E5A6138-69A3-4616-9CCB-CA0A9AA06B7A}"/>
    <cellStyle name="Millares 8 4 4 2 2 2" xfId="9864" xr:uid="{4EE489B0-54D1-4C6F-AE73-4ADE0973A0CA}"/>
    <cellStyle name="Millares 8 4 4 2 3" xfId="7366" xr:uid="{AED0EE8F-513A-4A7D-AC5C-3B8227CFA067}"/>
    <cellStyle name="Millares 8 4 4 3" xfId="3619" xr:uid="{5CD64A4B-AD0D-4701-A7A0-FD4213B5628D}"/>
    <cellStyle name="Millares 8 4 4 3 2" xfId="8615" xr:uid="{D36BB8AF-872C-4CAD-98A5-7DBD250E3337}"/>
    <cellStyle name="Millares 8 4 4 4" xfId="6117" xr:uid="{5D5250D8-A611-429A-A97E-6BEBD1F917D5}"/>
    <cellStyle name="Millares 8 4 5" xfId="1387" xr:uid="{282ED436-C692-47A0-8BF9-442DA152EF9D}"/>
    <cellStyle name="Millares 8 4 5 2" xfId="2637" xr:uid="{50EEB4C6-5560-416E-B92D-C040DE4F6EA8}"/>
    <cellStyle name="Millares 8 4 5 2 2" xfId="5135" xr:uid="{EA769551-5A0C-49BE-8281-F6418D64D36A}"/>
    <cellStyle name="Millares 8 4 5 2 2 2" xfId="10131" xr:uid="{E508CDD2-2C12-4DA1-BB0E-764D7A5C498C}"/>
    <cellStyle name="Millares 8 4 5 2 3" xfId="7633" xr:uid="{EA6C5E86-0D78-4136-8010-20C216338B74}"/>
    <cellStyle name="Millares 8 4 5 3" xfId="3886" xr:uid="{1D0997E8-E057-47DA-83C0-403E8B56C01E}"/>
    <cellStyle name="Millares 8 4 5 3 2" xfId="8882" xr:uid="{886D850C-56B9-45FD-8912-96FE4F30241A}"/>
    <cellStyle name="Millares 8 4 5 4" xfId="6384" xr:uid="{452BD3BE-44E6-42C6-989D-B11DB3A1A1A9}"/>
    <cellStyle name="Millares 8 4 6" xfId="1718" xr:uid="{C6EEE7DA-1B60-41C8-BC2E-C0535F1A301D}"/>
    <cellStyle name="Millares 8 4 6 2" xfId="4216" xr:uid="{59D95C04-DD60-4DDB-98E6-D2FC90F3F561}"/>
    <cellStyle name="Millares 8 4 6 2 2" xfId="9212" xr:uid="{3B524C81-5EFD-440E-B17C-DE48BAB46940}"/>
    <cellStyle name="Millares 8 4 6 3" xfId="6714" xr:uid="{A463AE35-4228-47C8-86AD-CE76BA037303}"/>
    <cellStyle name="Millares 8 4 7" xfId="2967" xr:uid="{9632FFD5-2168-4EC9-BB44-F8A83019B14E}"/>
    <cellStyle name="Millares 8 4 7 2" xfId="7963" xr:uid="{81A6CA39-FAA6-4BC1-981B-7CAC4498CC37}"/>
    <cellStyle name="Millares 8 4 8" xfId="5465" xr:uid="{7ED9DEAD-10E6-477F-9B20-7A559FB90E9E}"/>
    <cellStyle name="Millares 8 4 9" xfId="467" xr:uid="{482DBB33-3ED1-43F2-9A29-83C0C4FDCA03}"/>
    <cellStyle name="Millares 8 5" xfId="188" xr:uid="{1551E690-1162-426F-A89A-488FAFF20E09}"/>
    <cellStyle name="Millares 8 5 2" xfId="809" xr:uid="{2BA781C1-D18F-4877-8184-1C7B23CDA3C4}"/>
    <cellStyle name="Millares 8 5 2 2" xfId="2060" xr:uid="{96095AF1-4F34-4692-94B3-977AD1FCD5FB}"/>
    <cellStyle name="Millares 8 5 2 2 2" xfId="4558" xr:uid="{FD1DB2CC-3661-4CB8-B251-DBA622C189B7}"/>
    <cellStyle name="Millares 8 5 2 2 2 2" xfId="9554" xr:uid="{7DEFC781-DE17-4F88-BFBD-37A0D21E526A}"/>
    <cellStyle name="Millares 8 5 2 2 3" xfId="7056" xr:uid="{709DD2E8-2F30-42D0-8C1E-621A4CAEC4E9}"/>
    <cellStyle name="Millares 8 5 2 3" xfId="3309" xr:uid="{1CF2A55B-9C20-4A91-B53A-220701DAF0BF}"/>
    <cellStyle name="Millares 8 5 2 3 2" xfId="8305" xr:uid="{FA9FDDB6-465F-4CC1-8E7F-2634CBAC96FF}"/>
    <cellStyle name="Millares 8 5 2 4" xfId="5807" xr:uid="{1AF47724-1A28-42E1-BBFE-FAE14A752A28}"/>
    <cellStyle name="Millares 8 5 3" xfId="1122" xr:uid="{7B974E74-4E93-4E2E-8968-89D0A8980536}"/>
    <cellStyle name="Millares 8 5 3 2" xfId="2372" xr:uid="{50B6F866-5BB2-4951-B178-FDDB8F68AC22}"/>
    <cellStyle name="Millares 8 5 3 2 2" xfId="4870" xr:uid="{ED04403F-50D8-4FE3-ABF5-5FBE4267C2DC}"/>
    <cellStyle name="Millares 8 5 3 2 2 2" xfId="9866" xr:uid="{94C4639F-64F2-4668-A769-80A66ED76A32}"/>
    <cellStyle name="Millares 8 5 3 2 3" xfId="7368" xr:uid="{FE851FB1-2F9E-43B7-8699-9438EC1D06F2}"/>
    <cellStyle name="Millares 8 5 3 3" xfId="3621" xr:uid="{90064CE5-E7D7-4117-A6D0-BA8D8C2DE71B}"/>
    <cellStyle name="Millares 8 5 3 3 2" xfId="8617" xr:uid="{C0F71036-7154-4337-A458-841C09BBA7D1}"/>
    <cellStyle name="Millares 8 5 3 4" xfId="6119" xr:uid="{45F3F639-44CC-46B5-BBA6-A020B57243B2}"/>
    <cellStyle name="Millares 8 5 4" xfId="1481" xr:uid="{8DE1D987-7772-4587-A678-78749DB1B291}"/>
    <cellStyle name="Millares 8 5 4 2" xfId="2731" xr:uid="{EEF4B37A-A12F-4A8A-AE20-7096747F45B9}"/>
    <cellStyle name="Millares 8 5 4 2 2" xfId="5229" xr:uid="{F5C56EF8-ED50-43B0-84D9-09607A98E1B3}"/>
    <cellStyle name="Millares 8 5 4 2 2 2" xfId="10225" xr:uid="{EBD57146-0F45-40A0-BBAF-D55176F27FE1}"/>
    <cellStyle name="Millares 8 5 4 2 3" xfId="7727" xr:uid="{47420A29-DD81-4E0E-A4F4-E0C99DBFCC47}"/>
    <cellStyle name="Millares 8 5 4 3" xfId="3980" xr:uid="{490C84EA-EDDE-4D33-B756-81BB160255D2}"/>
    <cellStyle name="Millares 8 5 4 3 2" xfId="8976" xr:uid="{952713C9-1EFF-499D-B8B2-6B6E648FEF1F}"/>
    <cellStyle name="Millares 8 5 4 4" xfId="6478" xr:uid="{6CAA6690-4FB4-4797-BAA9-0D7D93E44DEB}"/>
    <cellStyle name="Millares 8 5 5" xfId="1812" xr:uid="{571A2C8C-4484-4D3A-BBB3-51464D1D0C1D}"/>
    <cellStyle name="Millares 8 5 5 2" xfId="4310" xr:uid="{3D0D12BE-82D2-47C8-B827-3AD66BC0E0CF}"/>
    <cellStyle name="Millares 8 5 5 2 2" xfId="9306" xr:uid="{ABF70195-C82C-4298-802C-DCDE474BE84E}"/>
    <cellStyle name="Millares 8 5 5 3" xfId="6808" xr:uid="{571B5D86-B6AB-421D-A758-3C70F605E005}"/>
    <cellStyle name="Millares 8 5 6" xfId="3061" xr:uid="{E7C43763-F81A-465E-BE33-1D93B207DB38}"/>
    <cellStyle name="Millares 8 5 6 2" xfId="8057" xr:uid="{C4E0362C-5DA4-4B2A-B1F3-890944452196}"/>
    <cellStyle name="Millares 8 5 7" xfId="5559" xr:uid="{101A89B4-9DFB-4551-A727-DC9D0D23C20B}"/>
    <cellStyle name="Millares 8 5 8" xfId="561" xr:uid="{8D2B0D2F-8488-4628-AB55-96C93E289F24}"/>
    <cellStyle name="Millares 8 6" xfId="364" xr:uid="{F7DEECFA-CD7B-402C-8BD6-20E6184C9339}"/>
    <cellStyle name="Millares 8 6 2" xfId="1285" xr:uid="{708B9881-2B19-40A9-8B77-AE32421429FB}"/>
    <cellStyle name="Millares 8 6 2 2" xfId="2535" xr:uid="{E6F7994E-ABF1-40C7-9EBC-6404D8D2BAF8}"/>
    <cellStyle name="Millares 8 6 2 2 2" xfId="5033" xr:uid="{AACFB321-5C83-4585-84C5-D43C26847AE7}"/>
    <cellStyle name="Millares 8 6 2 2 2 2" xfId="10029" xr:uid="{0F24CEC0-699C-4339-87B8-33FC513D2E28}"/>
    <cellStyle name="Millares 8 6 2 2 3" xfId="7531" xr:uid="{7E6E1114-70AA-41F6-960A-A579E81209A2}"/>
    <cellStyle name="Millares 8 6 2 3" xfId="3784" xr:uid="{E92CC604-5810-4809-9565-174CE0324544}"/>
    <cellStyle name="Millares 8 6 2 3 2" xfId="8780" xr:uid="{A744FBB9-CF16-4199-9D62-17A968FA6DA0}"/>
    <cellStyle name="Millares 8 6 2 4" xfId="6282" xr:uid="{703CCBD8-F61E-419B-AE36-0E69ECD892FD}"/>
    <cellStyle name="Millares 8 6 3" xfId="2223" xr:uid="{EA73955F-8481-4235-8348-6D2BABF0072C}"/>
    <cellStyle name="Millares 8 6 3 2" xfId="4721" xr:uid="{24F18AA2-E48E-416B-B5AC-2D6B790FAF84}"/>
    <cellStyle name="Millares 8 6 3 2 2" xfId="9717" xr:uid="{5C56FB58-60C8-4861-92B1-961246EB859C}"/>
    <cellStyle name="Millares 8 6 3 3" xfId="7219" xr:uid="{438F99CC-BE02-4B45-A7DA-02AF4D6B9AC4}"/>
    <cellStyle name="Millares 8 6 4" xfId="3472" xr:uid="{E24BC124-6717-45FA-A394-A9B22E9EF588}"/>
    <cellStyle name="Millares 8 6 4 2" xfId="8468" xr:uid="{E492D0A0-DD54-41AA-8945-B61CB3433C3A}"/>
    <cellStyle name="Millares 8 6 5" xfId="5970" xr:uid="{52BC202E-E426-492B-9253-F578C64B54EA}"/>
    <cellStyle name="Millares 8 6 6" xfId="973" xr:uid="{03BEF4A9-62EF-44F3-817F-3FF1DABAD1DD}"/>
    <cellStyle name="Millares 8 7" xfId="692" xr:uid="{9D5FD999-5C56-4002-B70C-D33540F412FC}"/>
    <cellStyle name="Millares 8 7 2" xfId="1943" xr:uid="{0B3EB9A0-4BD5-48FD-B6EE-F171941E92FC}"/>
    <cellStyle name="Millares 8 7 2 2" xfId="4441" xr:uid="{897D5F2C-0003-4FBE-9D25-7E4DA6A961EA}"/>
    <cellStyle name="Millares 8 7 2 2 2" xfId="9437" xr:uid="{6C38394B-031B-46C0-8C3F-1A5FCD5798EE}"/>
    <cellStyle name="Millares 8 7 2 3" xfId="6939" xr:uid="{F117B55A-BE47-4BC0-8442-E438DB5F5502}"/>
    <cellStyle name="Millares 8 7 3" xfId="3192" xr:uid="{4C0AA4D4-A9E2-4AF2-9D3E-18AEB28F67EF}"/>
    <cellStyle name="Millares 8 7 3 2" xfId="8188" xr:uid="{06B40E75-FF1F-4341-885D-09B16F484BA4}"/>
    <cellStyle name="Millares 8 7 4" xfId="5690" xr:uid="{F937C356-0BBD-47FD-BBB5-7CDAF85BD63E}"/>
    <cellStyle name="Millares 8 8" xfId="1005" xr:uid="{D86C78C6-CB0B-4465-89D5-0BB68DE0EAAD}"/>
    <cellStyle name="Millares 8 8 2" xfId="2255" xr:uid="{28241DF5-C43A-4C97-AF58-3B99DA41CF9E}"/>
    <cellStyle name="Millares 8 8 2 2" xfId="4753" xr:uid="{F308E8FE-0DEB-486C-BDA6-FEC168DF3F0F}"/>
    <cellStyle name="Millares 8 8 2 2 2" xfId="9749" xr:uid="{7F91DD2D-B655-48A6-870E-5313E375D1B7}"/>
    <cellStyle name="Millares 8 8 2 3" xfId="7251" xr:uid="{2FFD8C65-3B90-4DD9-903D-3D88CE2250F6}"/>
    <cellStyle name="Millares 8 8 3" xfId="3504" xr:uid="{26D8ECD0-FBAA-49AE-908F-28AD21B0E50B}"/>
    <cellStyle name="Millares 8 8 3 2" xfId="8500" xr:uid="{E9AFC545-E159-4526-A2D9-5DAEC67D5B2D}"/>
    <cellStyle name="Millares 8 8 4" xfId="6002" xr:uid="{0756571F-81E9-4ABA-8949-35087C9C4D4C}"/>
    <cellStyle name="Millares 8 9" xfId="1328" xr:uid="{DD912AEB-56DC-426A-AFB6-F827AB34974C}"/>
    <cellStyle name="Millares 8 9 2" xfId="2578" xr:uid="{63C49DCF-DA46-4318-84D6-7F22C19B1B84}"/>
    <cellStyle name="Millares 8 9 2 2" xfId="5076" xr:uid="{35A36BD7-6F6A-457D-A3B6-3DF926C77292}"/>
    <cellStyle name="Millares 8 9 2 2 2" xfId="10072" xr:uid="{661B4D79-3630-4DEB-B348-8BD1F77A12ED}"/>
    <cellStyle name="Millares 8 9 2 3" xfId="7574" xr:uid="{81750D6B-BDEC-44DC-87B8-1AE46468FC52}"/>
    <cellStyle name="Millares 8 9 3" xfId="3827" xr:uid="{96C59F2B-645C-4C84-9BC8-9F3EC690EA12}"/>
    <cellStyle name="Millares 8 9 3 2" xfId="8823" xr:uid="{5F93F7A9-6B9C-4995-9C5B-205C54CC1FB7}"/>
    <cellStyle name="Millares 8 9 4" xfId="6325" xr:uid="{0F820065-CB42-4478-9714-B11134136C30}"/>
    <cellStyle name="Millares 9" xfId="36" xr:uid="{67D63598-EFD1-441B-AEA0-C0F43CCAD231}"/>
    <cellStyle name="Millares 9 10" xfId="1663" xr:uid="{4DF4DEBD-73D4-428E-937C-ABDAD9E94C81}"/>
    <cellStyle name="Millares 9 10 2" xfId="4161" xr:uid="{3880574B-5F74-4EDC-A10C-EB34AE80329A}"/>
    <cellStyle name="Millares 9 10 2 2" xfId="9157" xr:uid="{D484C39A-3772-4FCD-939B-50B08841CF93}"/>
    <cellStyle name="Millares 9 10 3" xfId="6659" xr:uid="{B8C6C409-DF63-478D-8578-4C9349B2D6CE}"/>
    <cellStyle name="Millares 9 11" xfId="2912" xr:uid="{461D3966-BBF0-4648-820B-A1005FD99195}"/>
    <cellStyle name="Millares 9 11 2" xfId="7908" xr:uid="{E4CE757A-B106-47DB-8148-41C2C1BDA6E9}"/>
    <cellStyle name="Millares 9 12" xfId="5410" xr:uid="{9CD1A601-E2A4-4959-879A-3A2C1FF4CE99}"/>
    <cellStyle name="Millares 9 13" xfId="412" xr:uid="{98F742AF-ECBC-40A6-ADED-1FA5CB6509A2}"/>
    <cellStyle name="Millares 9 2" xfId="64" xr:uid="{EAE4F355-E7C3-4803-B908-EB723D9DA85C}"/>
    <cellStyle name="Millares 9 2 2" xfId="189" xr:uid="{3EDB3580-79B5-4AE6-B3FF-0596A9FB4BD1}"/>
    <cellStyle name="Millares 9 2 2 2" xfId="810" xr:uid="{EDFBE306-707A-47B4-B712-71491CB84138}"/>
    <cellStyle name="Millares 9 2 2 2 2" xfId="2061" xr:uid="{5D229199-8113-40CC-82EC-67E225A5957D}"/>
    <cellStyle name="Millares 9 2 2 2 2 2" xfId="4559" xr:uid="{4F8B09CD-FA3C-4960-AA99-2D96C736CD21}"/>
    <cellStyle name="Millares 9 2 2 2 2 2 2" xfId="9555" xr:uid="{B83DC75D-BC71-422C-9962-3558D7829208}"/>
    <cellStyle name="Millares 9 2 2 2 2 3" xfId="7057" xr:uid="{604FE9DA-FDDC-4ABD-9E02-5C7037E9075B}"/>
    <cellStyle name="Millares 9 2 2 2 3" xfId="3310" xr:uid="{C40DA677-D245-46B6-947A-295C67494883}"/>
    <cellStyle name="Millares 9 2 2 2 3 2" xfId="8306" xr:uid="{4ABEA018-5C6E-4D5D-89D9-1168751B77A0}"/>
    <cellStyle name="Millares 9 2 2 2 4" xfId="5808" xr:uid="{E11098DA-643F-4FA6-8CBC-4E70093EF356}"/>
    <cellStyle name="Millares 9 2 2 3" xfId="1123" xr:uid="{84F97502-F01C-4E33-BAE9-903F2605905E}"/>
    <cellStyle name="Millares 9 2 2 3 2" xfId="2373" xr:uid="{4673E848-AAF3-4B11-95B4-BFF2DAD1EA0C}"/>
    <cellStyle name="Millares 9 2 2 3 2 2" xfId="4871" xr:uid="{643F87DB-B56E-429B-A530-771BA314891B}"/>
    <cellStyle name="Millares 9 2 2 3 2 2 2" xfId="9867" xr:uid="{89CD5640-84B1-4449-B8EE-EBBC3C8959BD}"/>
    <cellStyle name="Millares 9 2 2 3 2 3" xfId="7369" xr:uid="{33AF2E23-E979-40A7-94D3-C195DACF6E2C}"/>
    <cellStyle name="Millares 9 2 2 3 3" xfId="3622" xr:uid="{4CC4252F-6AEC-49C1-AFAA-428402CFB1D1}"/>
    <cellStyle name="Millares 9 2 2 3 3 2" xfId="8618" xr:uid="{AA6B7B6C-583A-4CFC-B38A-EB02C0FADA4E}"/>
    <cellStyle name="Millares 9 2 2 3 4" xfId="6120" xr:uid="{6B1E87CB-EDBB-4C92-8CBA-7C129B11C6C8}"/>
    <cellStyle name="Millares 9 2 2 4" xfId="1486" xr:uid="{172B4D4D-1E3C-4791-9CB9-BC2A5F62D6E7}"/>
    <cellStyle name="Millares 9 2 2 4 2" xfId="2736" xr:uid="{AB740D20-B3DF-499D-AB2B-E3D0E9D1404E}"/>
    <cellStyle name="Millares 9 2 2 4 2 2" xfId="5234" xr:uid="{E6B76CCD-BD5D-44FC-B9C9-8B6C3EA4EA6A}"/>
    <cellStyle name="Millares 9 2 2 4 2 2 2" xfId="10230" xr:uid="{6FC97E1C-10BB-4B8F-87FA-1E7755FFD1E5}"/>
    <cellStyle name="Millares 9 2 2 4 2 3" xfId="7732" xr:uid="{88B64C9D-7532-4CAE-922A-5ADE044B874A}"/>
    <cellStyle name="Millares 9 2 2 4 3" xfId="3985" xr:uid="{268B46E0-7C1B-47A7-8013-91E320F59F96}"/>
    <cellStyle name="Millares 9 2 2 4 3 2" xfId="8981" xr:uid="{77D9BCC8-40DC-4687-BF87-79C2BE25A6A3}"/>
    <cellStyle name="Millares 9 2 2 4 4" xfId="6483" xr:uid="{F7DBD513-35B5-4047-B177-8A09DC97AD27}"/>
    <cellStyle name="Millares 9 2 2 5" xfId="1817" xr:uid="{A81A3105-55B1-49CA-96E3-31BDEC2259FE}"/>
    <cellStyle name="Millares 9 2 2 5 2" xfId="4315" xr:uid="{3DF7B03C-C174-4140-918D-CDE36A8FF3D4}"/>
    <cellStyle name="Millares 9 2 2 5 2 2" xfId="9311" xr:uid="{B29F08E7-FF12-41BB-8344-AFD381D0B1C6}"/>
    <cellStyle name="Millares 9 2 2 5 3" xfId="6813" xr:uid="{CE2E0EC9-D1B9-453F-B334-2ED95EDAC924}"/>
    <cellStyle name="Millares 9 2 2 6" xfId="3066" xr:uid="{2414223E-82D3-434B-A5ED-787F8E6265F1}"/>
    <cellStyle name="Millares 9 2 2 6 2" xfId="8062" xr:uid="{C9F8EA43-FCD9-43E2-8740-D4E1AA3F8D5E}"/>
    <cellStyle name="Millares 9 2 2 7" xfId="5564" xr:uid="{B410EA59-116C-4471-B52B-C2834E41BBE4}"/>
    <cellStyle name="Millares 9 2 2 8" xfId="566" xr:uid="{397CD063-8631-4B25-8254-67ED7B17E9C8}"/>
    <cellStyle name="Millares 9 2 3" xfId="718" xr:uid="{27BD562A-07A1-4F76-AB24-A55C34D0A32A}"/>
    <cellStyle name="Millares 9 2 3 2" xfId="1969" xr:uid="{7269EBCB-F1F8-442E-AD21-1B36CC815148}"/>
    <cellStyle name="Millares 9 2 3 2 2" xfId="4467" xr:uid="{D59DD3A4-D9F5-46BA-BC4F-0EC8724C9C7D}"/>
    <cellStyle name="Millares 9 2 3 2 2 2" xfId="9463" xr:uid="{9D18DCA4-F007-4022-B752-9E173446FC47}"/>
    <cellStyle name="Millares 9 2 3 2 3" xfId="6965" xr:uid="{190A0450-76A1-45E7-87B3-96F09FE6821B}"/>
    <cellStyle name="Millares 9 2 3 3" xfId="3218" xr:uid="{263A70FC-6097-4887-A1A4-EDD21007A566}"/>
    <cellStyle name="Millares 9 2 3 3 2" xfId="8214" xr:uid="{B316417C-EA73-478F-910F-44543C996B3E}"/>
    <cellStyle name="Millares 9 2 3 4" xfId="5716" xr:uid="{C5C2DFEC-A496-43A0-8B52-1FE81BA33C72}"/>
    <cellStyle name="Millares 9 2 4" xfId="1031" xr:uid="{DFCB87F2-6C72-42A6-8ED6-94411F30CD7B}"/>
    <cellStyle name="Millares 9 2 4 2" xfId="2281" xr:uid="{78AA078A-3E69-46E1-97C3-00ECE85CC725}"/>
    <cellStyle name="Millares 9 2 4 2 2" xfId="4779" xr:uid="{6BF43BF4-C33F-4AB4-87B7-26775F5B3A38}"/>
    <cellStyle name="Millares 9 2 4 2 2 2" xfId="9775" xr:uid="{EB1BFEC9-9D75-4917-871B-4904B2625F82}"/>
    <cellStyle name="Millares 9 2 4 2 3" xfId="7277" xr:uid="{82F87391-C173-4650-A50A-609E58F0AAEA}"/>
    <cellStyle name="Millares 9 2 4 3" xfId="3530" xr:uid="{BF4EB3C4-24BA-4E00-AC3C-622D6FC6863F}"/>
    <cellStyle name="Millares 9 2 4 3 2" xfId="8526" xr:uid="{C819D84C-7E06-4549-97E8-117F2DFB346D}"/>
    <cellStyle name="Millares 9 2 4 4" xfId="6028" xr:uid="{94CB8937-86C6-446D-8A53-A1C13F37CA81}"/>
    <cellStyle name="Millares 9 2 5" xfId="1391" xr:uid="{8B101DEB-2AAD-47DD-AD79-8362E6A248BE}"/>
    <cellStyle name="Millares 9 2 5 2" xfId="2641" xr:uid="{36E87A33-93D3-4B62-BD41-E1F395D1BDF9}"/>
    <cellStyle name="Millares 9 2 5 2 2" xfId="5139" xr:uid="{BE0A5DFC-570F-4AC5-A04A-ED451CFBB8C2}"/>
    <cellStyle name="Millares 9 2 5 2 2 2" xfId="10135" xr:uid="{78C17116-906F-4ACF-A764-DD9D79D9A046}"/>
    <cellStyle name="Millares 9 2 5 2 3" xfId="7637" xr:uid="{701E4C3A-CC7D-4C13-BB0C-D2A6963023DE}"/>
    <cellStyle name="Millares 9 2 5 3" xfId="3890" xr:uid="{5AFF6EB4-4B19-4E4D-B04C-6467B2984377}"/>
    <cellStyle name="Millares 9 2 5 3 2" xfId="8886" xr:uid="{C75A2E45-2A0B-41B0-B8BF-86BE8CCC19DC}"/>
    <cellStyle name="Millares 9 2 5 4" xfId="6388" xr:uid="{A301D6EF-E985-4B40-B6D6-E22F3402BE4B}"/>
    <cellStyle name="Millares 9 2 6" xfId="1722" xr:uid="{BD700513-341B-4F97-8E3E-32658D1FAD9D}"/>
    <cellStyle name="Millares 9 2 6 2" xfId="4220" xr:uid="{92DA93DA-A61C-4A87-B8A0-DF627D7F5C0A}"/>
    <cellStyle name="Millares 9 2 6 2 2" xfId="9216" xr:uid="{71F05A98-41B3-4D24-84C6-D1E7191D0A89}"/>
    <cellStyle name="Millares 9 2 6 3" xfId="6718" xr:uid="{013AA03D-B2E6-4F06-95A6-588B6A77E863}"/>
    <cellStyle name="Millares 9 2 7" xfId="2971" xr:uid="{7A8A9422-CD42-4DC2-AFC6-A43AB8E50C0B}"/>
    <cellStyle name="Millares 9 2 7 2" xfId="7967" xr:uid="{D460BE45-AFBF-4CBF-B376-A0A39ACD4C7F}"/>
    <cellStyle name="Millares 9 2 8" xfId="5469" xr:uid="{3A83AB41-146A-44BA-9B16-899161876D7F}"/>
    <cellStyle name="Millares 9 2 9" xfId="471" xr:uid="{F8283D44-F015-46F6-9A60-EB60180B1D17}"/>
    <cellStyle name="Millares 9 3" xfId="88" xr:uid="{B65329F5-773C-4A74-941C-19FD3509161D}"/>
    <cellStyle name="Millares 9 3 2" xfId="190" xr:uid="{06F363C6-82B6-4C4D-AD32-655EB5F732D9}"/>
    <cellStyle name="Millares 9 3 2 2" xfId="811" xr:uid="{1D3325CD-D61A-4A55-A78E-34D45C8725E1}"/>
    <cellStyle name="Millares 9 3 2 2 2" xfId="2062" xr:uid="{0F6CB2A4-A68D-43BE-A7F9-C2B3E28F26BB}"/>
    <cellStyle name="Millares 9 3 2 2 2 2" xfId="4560" xr:uid="{DDE90C7D-FB2D-4D83-884E-CEEDE516DACF}"/>
    <cellStyle name="Millares 9 3 2 2 2 2 2" xfId="9556" xr:uid="{77A99894-1690-4F5B-9592-8AAAE0642104}"/>
    <cellStyle name="Millares 9 3 2 2 2 3" xfId="7058" xr:uid="{B7E859A9-B3EE-425E-8E04-C182E247A14F}"/>
    <cellStyle name="Millares 9 3 2 2 3" xfId="3311" xr:uid="{8256D08C-7551-40D9-922D-983E390F02AE}"/>
    <cellStyle name="Millares 9 3 2 2 3 2" xfId="8307" xr:uid="{516C6CA0-F103-4D0E-A068-4AA3848262FF}"/>
    <cellStyle name="Millares 9 3 2 2 4" xfId="5809" xr:uid="{12B91380-BC68-4FA7-A779-494A0480A4A5}"/>
    <cellStyle name="Millares 9 3 2 3" xfId="1124" xr:uid="{9197C598-F258-4A47-8CE4-1A8A2EC5BEE1}"/>
    <cellStyle name="Millares 9 3 2 3 2" xfId="2374" xr:uid="{1CB5C5A5-BB7F-4D43-B649-D484E0F775C0}"/>
    <cellStyle name="Millares 9 3 2 3 2 2" xfId="4872" xr:uid="{29EC5EA0-5A4D-4E9A-BC40-C0E206A48133}"/>
    <cellStyle name="Millares 9 3 2 3 2 2 2" xfId="9868" xr:uid="{80E63701-A7F0-45DF-B8BF-EF30AAE6078D}"/>
    <cellStyle name="Millares 9 3 2 3 2 3" xfId="7370" xr:uid="{3780DB01-6E76-4559-92AF-7BD365D782DE}"/>
    <cellStyle name="Millares 9 3 2 3 3" xfId="3623" xr:uid="{B080ADBA-774B-4D3A-9FD0-FCC4DA7FC7E2}"/>
    <cellStyle name="Millares 9 3 2 3 3 2" xfId="8619" xr:uid="{C13F0935-48E8-4955-B752-E2D74DB1F1AF}"/>
    <cellStyle name="Millares 9 3 2 3 4" xfId="6121" xr:uid="{8BCBF1C8-897F-4571-B09A-0FB827A8ADE2}"/>
    <cellStyle name="Millares 9 3 2 4" xfId="1487" xr:uid="{89E0F3BF-0BCD-4FC4-A40D-C63CAD0DC0CE}"/>
    <cellStyle name="Millares 9 3 2 4 2" xfId="2737" xr:uid="{73A7346C-5DC0-4972-BD1B-69838660CF9C}"/>
    <cellStyle name="Millares 9 3 2 4 2 2" xfId="5235" xr:uid="{71379756-A380-4706-83B9-A65A346CEED3}"/>
    <cellStyle name="Millares 9 3 2 4 2 2 2" xfId="10231" xr:uid="{3294E423-2233-4995-93C7-1F806BA80584}"/>
    <cellStyle name="Millares 9 3 2 4 2 3" xfId="7733" xr:uid="{AB970B27-2021-4612-AF90-F403C4062DC4}"/>
    <cellStyle name="Millares 9 3 2 4 3" xfId="3986" xr:uid="{12F5F9CF-1B71-4074-B389-D9F5D40172AA}"/>
    <cellStyle name="Millares 9 3 2 4 3 2" xfId="8982" xr:uid="{D2F8F6B5-DEFF-4260-A478-F07C013C84AB}"/>
    <cellStyle name="Millares 9 3 2 4 4" xfId="6484" xr:uid="{82B9CF73-201D-4BF1-B900-077C65D6B236}"/>
    <cellStyle name="Millares 9 3 2 5" xfId="1818" xr:uid="{9E83A104-68B4-43F6-BB1D-7FCC8644A492}"/>
    <cellStyle name="Millares 9 3 2 5 2" xfId="4316" xr:uid="{20FC7317-65BB-4632-843C-6EEBAE8F0CC2}"/>
    <cellStyle name="Millares 9 3 2 5 2 2" xfId="9312" xr:uid="{8F4A8C14-6C8D-4256-857A-1B48A64AF8B3}"/>
    <cellStyle name="Millares 9 3 2 5 3" xfId="6814" xr:uid="{C80C326D-7CAB-4BFF-8A65-6F18C1BFDA6C}"/>
    <cellStyle name="Millares 9 3 2 6" xfId="3067" xr:uid="{B56973B8-1622-49E7-8B59-F8602CA7CBAD}"/>
    <cellStyle name="Millares 9 3 2 6 2" xfId="8063" xr:uid="{6F80BAD7-D264-4557-A510-5A951BB504BF}"/>
    <cellStyle name="Millares 9 3 2 7" xfId="5565" xr:uid="{3ACAD1C8-6E43-4BEA-9323-60B1EFDAE144}"/>
    <cellStyle name="Millares 9 3 2 8" xfId="567" xr:uid="{546B3EC8-BD21-49F9-AD98-D8E143F0161F}"/>
    <cellStyle name="Millares 9 3 3" xfId="742" xr:uid="{070695E6-C2BF-487D-963F-387EF5FE4B5E}"/>
    <cellStyle name="Millares 9 3 3 2" xfId="1993" xr:uid="{7305D0C4-6D37-4ACC-B598-0FD7A4DEEC72}"/>
    <cellStyle name="Millares 9 3 3 2 2" xfId="4491" xr:uid="{7DF97EE5-51DA-40B4-8979-6F4A501A5BBB}"/>
    <cellStyle name="Millares 9 3 3 2 2 2" xfId="9487" xr:uid="{1E44E423-5901-4A45-8177-26053DDA1285}"/>
    <cellStyle name="Millares 9 3 3 2 3" xfId="6989" xr:uid="{645CEF42-ACBD-43A5-BC4B-03E74C568D09}"/>
    <cellStyle name="Millares 9 3 3 3" xfId="3242" xr:uid="{28671F81-4990-44B3-B104-1D14EAEAFCE3}"/>
    <cellStyle name="Millares 9 3 3 3 2" xfId="8238" xr:uid="{12C4A1D1-D75F-41B3-8614-7939A13D6AAB}"/>
    <cellStyle name="Millares 9 3 3 4" xfId="5740" xr:uid="{30D7BD78-B911-41AB-BF4D-4A6636761685}"/>
    <cellStyle name="Millares 9 3 4" xfId="1055" xr:uid="{CE7163BD-9247-4BBD-AB5E-543D51223333}"/>
    <cellStyle name="Millares 9 3 4 2" xfId="2305" xr:uid="{A2C79A66-C6A6-4DB4-8DFC-A338F23086B3}"/>
    <cellStyle name="Millares 9 3 4 2 2" xfId="4803" xr:uid="{648DD1B4-6CE7-4A61-85DF-FAFF7041B64A}"/>
    <cellStyle name="Millares 9 3 4 2 2 2" xfId="9799" xr:uid="{7A2A45E5-EAD2-4C59-939D-C5372CEB797E}"/>
    <cellStyle name="Millares 9 3 4 2 3" xfId="7301" xr:uid="{B39E3907-5840-407F-9CCE-9A36BB753DAA}"/>
    <cellStyle name="Millares 9 3 4 3" xfId="3554" xr:uid="{46E860F9-3B37-43B5-83EA-74950C9013D4}"/>
    <cellStyle name="Millares 9 3 4 3 2" xfId="8550" xr:uid="{8E7B7DDD-7F32-4C35-AA8C-C51E84742782}"/>
    <cellStyle name="Millares 9 3 4 4" xfId="6052" xr:uid="{481352A7-24C8-4255-B0CD-42F01EE0907A}"/>
    <cellStyle name="Millares 9 3 5" xfId="1392" xr:uid="{60E228F8-BD5E-4B85-B553-5E08FC730931}"/>
    <cellStyle name="Millares 9 3 5 2" xfId="2642" xr:uid="{62EC07E8-BF45-46E4-9EA9-9C19F68C6679}"/>
    <cellStyle name="Millares 9 3 5 2 2" xfId="5140" xr:uid="{FC875D55-F15E-4084-AE29-D5C9F1E39E6A}"/>
    <cellStyle name="Millares 9 3 5 2 2 2" xfId="10136" xr:uid="{3D2966D3-C483-4626-899D-EA84300D2B5C}"/>
    <cellStyle name="Millares 9 3 5 2 3" xfId="7638" xr:uid="{BD5015C1-7948-47B5-A23A-16EF94BE8C20}"/>
    <cellStyle name="Millares 9 3 5 3" xfId="3891" xr:uid="{56CC3ECC-42BC-4758-871D-D523FFC943D2}"/>
    <cellStyle name="Millares 9 3 5 3 2" xfId="8887" xr:uid="{9AC124BD-1851-40BC-AB0F-31FA245BA2FF}"/>
    <cellStyle name="Millares 9 3 5 4" xfId="6389" xr:uid="{A8AA7577-D0E4-4713-AB08-0674B5E4B437}"/>
    <cellStyle name="Millares 9 3 6" xfId="1723" xr:uid="{A7B1424A-0045-44B2-8306-36D0228C7E34}"/>
    <cellStyle name="Millares 9 3 6 2" xfId="4221" xr:uid="{5FAF0C39-A2E4-4F47-8979-919E07048C3E}"/>
    <cellStyle name="Millares 9 3 6 2 2" xfId="9217" xr:uid="{34A83D69-DD12-425D-A50B-5E694F634AF6}"/>
    <cellStyle name="Millares 9 3 6 3" xfId="6719" xr:uid="{0680588F-CE25-4EF1-B17C-E928E89EFDAE}"/>
    <cellStyle name="Millares 9 3 7" xfId="2972" xr:uid="{13FEB548-031B-4652-9FB6-27306041307F}"/>
    <cellStyle name="Millares 9 3 7 2" xfId="7968" xr:uid="{EDA7E8A5-71E1-40DF-B736-6F293C03C8AD}"/>
    <cellStyle name="Millares 9 3 8" xfId="5470" xr:uid="{229DDEBB-DAFC-4BEC-AD20-7E6FA488243B}"/>
    <cellStyle name="Millares 9 3 9" xfId="472" xr:uid="{48322CE1-44B3-4FF4-BCCC-21FE3C319A5F}"/>
    <cellStyle name="Millares 9 4" xfId="191" xr:uid="{DC518ADF-E02E-485C-AD38-F83FB5988FC4}"/>
    <cellStyle name="Millares 9 4 2" xfId="192" xr:uid="{EA65AE61-BE1E-4B6B-A75C-1F765659E49B}"/>
    <cellStyle name="Millares 9 4 2 2" xfId="813" xr:uid="{70182BAC-78E1-40E5-8D6C-D1ACF758639F}"/>
    <cellStyle name="Millares 9 4 2 2 2" xfId="2064" xr:uid="{193AC091-CD8C-46CE-B0FC-74C877D1B0D5}"/>
    <cellStyle name="Millares 9 4 2 2 2 2" xfId="4562" xr:uid="{5AB597E4-9459-4FFD-A5AF-32DC46021FE2}"/>
    <cellStyle name="Millares 9 4 2 2 2 2 2" xfId="9558" xr:uid="{4D26E90D-092F-4799-BF11-7C917659A320}"/>
    <cellStyle name="Millares 9 4 2 2 2 3" xfId="7060" xr:uid="{2E094076-4BD5-4C83-A597-7C2F3D1097EF}"/>
    <cellStyle name="Millares 9 4 2 2 3" xfId="3313" xr:uid="{4AD9B211-1E1E-436F-A870-E8F2E4CE0DA0}"/>
    <cellStyle name="Millares 9 4 2 2 3 2" xfId="8309" xr:uid="{AF95E076-6672-4E80-AE8E-2C8A2C90E3CA}"/>
    <cellStyle name="Millares 9 4 2 2 4" xfId="5811" xr:uid="{2C59C84D-1C3C-4712-848C-C8E3FCEB5E90}"/>
    <cellStyle name="Millares 9 4 2 3" xfId="1126" xr:uid="{CCD7638D-CA5D-4D3C-9DC6-354E73B06A77}"/>
    <cellStyle name="Millares 9 4 2 3 2" xfId="2376" xr:uid="{385C83C0-A988-48C0-AE29-1772A8477943}"/>
    <cellStyle name="Millares 9 4 2 3 2 2" xfId="4874" xr:uid="{C4E1B690-F32A-435D-91B1-10860204B73B}"/>
    <cellStyle name="Millares 9 4 2 3 2 2 2" xfId="9870" xr:uid="{2C95ECCB-5324-4BB9-B77C-2364F14479EB}"/>
    <cellStyle name="Millares 9 4 2 3 2 3" xfId="7372" xr:uid="{A3E45DB3-08EB-4A28-A8E1-C7F250FF9E8B}"/>
    <cellStyle name="Millares 9 4 2 3 3" xfId="3625" xr:uid="{8199301C-B651-41EF-B6C8-8696AC0CFD5B}"/>
    <cellStyle name="Millares 9 4 2 3 3 2" xfId="8621" xr:uid="{6AD3D9BC-6CBB-4008-B847-D76BD438CBBA}"/>
    <cellStyle name="Millares 9 4 2 3 4" xfId="6123" xr:uid="{E3A8A497-AF6E-4F39-B0A9-6B0520E0EC85}"/>
    <cellStyle name="Millares 9 4 2 4" xfId="1488" xr:uid="{33F53E78-8CD2-419F-855E-A76FA25DCBEB}"/>
    <cellStyle name="Millares 9 4 2 4 2" xfId="2738" xr:uid="{86C3435B-DF68-491A-BCE4-F10F3A461948}"/>
    <cellStyle name="Millares 9 4 2 4 2 2" xfId="5236" xr:uid="{F1422AFC-BBB0-48EC-BC5C-EB35B8A6610E}"/>
    <cellStyle name="Millares 9 4 2 4 2 2 2" xfId="10232" xr:uid="{B7A4850E-3B40-4F1E-937D-2EA74331AF3F}"/>
    <cellStyle name="Millares 9 4 2 4 2 3" xfId="7734" xr:uid="{1E494D85-1858-403D-80B1-78043FC299F7}"/>
    <cellStyle name="Millares 9 4 2 4 3" xfId="3987" xr:uid="{D5299B28-2633-4A46-AA0D-4D91DD01BFD0}"/>
    <cellStyle name="Millares 9 4 2 4 3 2" xfId="8983" xr:uid="{1AF258AB-1803-40EC-8318-910CD975599C}"/>
    <cellStyle name="Millares 9 4 2 4 4" xfId="6485" xr:uid="{F7D1D151-B481-48D8-B7D8-9CAEF002E5C7}"/>
    <cellStyle name="Millares 9 4 2 5" xfId="1819" xr:uid="{FF578902-6033-422B-8EDF-2980C8A6D2D1}"/>
    <cellStyle name="Millares 9 4 2 5 2" xfId="4317" xr:uid="{A0E70FDF-AD1F-4708-9158-BCA767EA43FE}"/>
    <cellStyle name="Millares 9 4 2 5 2 2" xfId="9313" xr:uid="{289E6F55-F7B7-4CD2-A518-57B221E1C726}"/>
    <cellStyle name="Millares 9 4 2 5 3" xfId="6815" xr:uid="{5AB21D6C-5435-4CF8-BE63-8263D3612E5E}"/>
    <cellStyle name="Millares 9 4 2 6" xfId="3068" xr:uid="{618BB6ED-0A3C-454E-8D43-32DDB73A942D}"/>
    <cellStyle name="Millares 9 4 2 6 2" xfId="8064" xr:uid="{E69437DA-8E43-47C3-8FA1-C3350EAB3EF5}"/>
    <cellStyle name="Millares 9 4 2 7" xfId="5566" xr:uid="{1B36CC05-7340-480B-9D7A-36D38D22A037}"/>
    <cellStyle name="Millares 9 4 2 8" xfId="568" xr:uid="{E79059A6-247E-43DC-A16C-A41AD904AC9C}"/>
    <cellStyle name="Millares 9 4 3" xfId="812" xr:uid="{11222EE7-5FB5-481F-993F-9B201F6CA03B}"/>
    <cellStyle name="Millares 9 4 3 2" xfId="2063" xr:uid="{192006C4-30E0-473D-ACFF-E7F9B67B41DC}"/>
    <cellStyle name="Millares 9 4 3 2 2" xfId="4561" xr:uid="{9FE26454-6C52-49FE-9FF3-1E41820CF5BA}"/>
    <cellStyle name="Millares 9 4 3 2 2 2" xfId="9557" xr:uid="{8E095A30-A4F5-41F5-B34B-491BC5656E60}"/>
    <cellStyle name="Millares 9 4 3 2 3" xfId="7059" xr:uid="{EE1B348F-2E10-4074-998B-9A495E27C4B3}"/>
    <cellStyle name="Millares 9 4 3 3" xfId="3312" xr:uid="{32E9E798-3E5F-4589-929E-544A4A0D82E4}"/>
    <cellStyle name="Millares 9 4 3 3 2" xfId="8308" xr:uid="{D4D76CD8-8ED5-4BB8-9FFD-0616F787DAA0}"/>
    <cellStyle name="Millares 9 4 3 4" xfId="5810" xr:uid="{7494E700-E22C-49C8-863F-E82E5CDD5A0B}"/>
    <cellStyle name="Millares 9 4 4" xfId="1125" xr:uid="{17CA4CCB-59F3-4ABC-9593-9861E37A5297}"/>
    <cellStyle name="Millares 9 4 4 2" xfId="2375" xr:uid="{DB2A1679-3F01-4A51-835D-C978D3F8F4D7}"/>
    <cellStyle name="Millares 9 4 4 2 2" xfId="4873" xr:uid="{60C40301-DC29-4FEC-A768-1D61BC55BD75}"/>
    <cellStyle name="Millares 9 4 4 2 2 2" xfId="9869" xr:uid="{5B4E1A2E-C6B6-421F-85C4-854FC57C07D9}"/>
    <cellStyle name="Millares 9 4 4 2 3" xfId="7371" xr:uid="{906A2087-3DEF-43C2-9645-125792EEA883}"/>
    <cellStyle name="Millares 9 4 4 3" xfId="3624" xr:uid="{FE0756AE-CB1C-469A-9D5F-B593FF54659A}"/>
    <cellStyle name="Millares 9 4 4 3 2" xfId="8620" xr:uid="{3EAA24F2-CD4A-4B4A-A431-55101D56B53B}"/>
    <cellStyle name="Millares 9 4 4 4" xfId="6122" xr:uid="{94D9B000-51F8-42F2-9BC5-08492EF02F32}"/>
    <cellStyle name="Millares 9 4 5" xfId="1390" xr:uid="{1E38FAAB-48B7-4861-AAEB-3281FCE48B4C}"/>
    <cellStyle name="Millares 9 4 5 2" xfId="2640" xr:uid="{A24E4095-344F-4AA5-92F2-ACFAD04F8980}"/>
    <cellStyle name="Millares 9 4 5 2 2" xfId="5138" xr:uid="{F6C6DF58-5FB2-4552-8FBB-93A361030DCB}"/>
    <cellStyle name="Millares 9 4 5 2 2 2" xfId="10134" xr:uid="{D6B2CA4B-D76B-4240-8171-A3F5AFE1142A}"/>
    <cellStyle name="Millares 9 4 5 2 3" xfId="7636" xr:uid="{CC04F3FF-7A00-4A1F-9E41-8E23742004FA}"/>
    <cellStyle name="Millares 9 4 5 3" xfId="3889" xr:uid="{5E3382A6-CB9D-4CEA-BE95-E20ED9DC98BC}"/>
    <cellStyle name="Millares 9 4 5 3 2" xfId="8885" xr:uid="{76331BF1-3454-41F1-9973-0FB06017E178}"/>
    <cellStyle name="Millares 9 4 5 4" xfId="6387" xr:uid="{9802A933-2DDB-46B1-90AE-DCA9F1C438C1}"/>
    <cellStyle name="Millares 9 4 6" xfId="1721" xr:uid="{34D5F50B-A7DA-4AC5-9B84-F74312C04ED5}"/>
    <cellStyle name="Millares 9 4 6 2" xfId="4219" xr:uid="{C448E9D0-355E-470A-A85A-F395C6BF0EC9}"/>
    <cellStyle name="Millares 9 4 6 2 2" xfId="9215" xr:uid="{9CD3DDC4-C968-4ABC-9625-46DC856F227F}"/>
    <cellStyle name="Millares 9 4 6 3" xfId="6717" xr:uid="{2F5F35B8-7D8C-406F-8A77-942DE7E00C5F}"/>
    <cellStyle name="Millares 9 4 7" xfId="2970" xr:uid="{F7F4EAA4-716D-449E-BD1E-2969A45B95B3}"/>
    <cellStyle name="Millares 9 4 7 2" xfId="7966" xr:uid="{3CB40DE2-D929-48FD-98E7-4E9DB59471CD}"/>
    <cellStyle name="Millares 9 4 8" xfId="5468" xr:uid="{E58A5011-782D-49C3-BCBC-B072857226DD}"/>
    <cellStyle name="Millares 9 4 9" xfId="470" xr:uid="{A46D3F31-5192-4EDE-857F-C11B481B46BA}"/>
    <cellStyle name="Millares 9 5" xfId="193" xr:uid="{F0946CAD-CBD8-41FE-87FC-F287C3E219BC}"/>
    <cellStyle name="Millares 9 5 2" xfId="814" xr:uid="{5A5D8014-4EEC-481A-AD18-C3D71DD7FCB2}"/>
    <cellStyle name="Millares 9 5 2 2" xfId="2065" xr:uid="{76251650-DB1D-4087-A93F-8DCDB1A68791}"/>
    <cellStyle name="Millares 9 5 2 2 2" xfId="4563" xr:uid="{D20E990B-B611-492D-B9F3-4E55F9F3409E}"/>
    <cellStyle name="Millares 9 5 2 2 2 2" xfId="9559" xr:uid="{54D00984-D9A7-4978-B088-CD98AD33C7B0}"/>
    <cellStyle name="Millares 9 5 2 2 3" xfId="7061" xr:uid="{428F7AF8-EA8E-47F4-8BE7-1F5F85506055}"/>
    <cellStyle name="Millares 9 5 2 3" xfId="3314" xr:uid="{37F5E543-4DD8-473B-85F4-0E27279DB248}"/>
    <cellStyle name="Millares 9 5 2 3 2" xfId="8310" xr:uid="{3929BB69-A206-4A7D-ADD6-D339919A8AEF}"/>
    <cellStyle name="Millares 9 5 2 4" xfId="5812" xr:uid="{B547E870-EEE8-41BD-AF62-A79470686885}"/>
    <cellStyle name="Millares 9 5 3" xfId="1127" xr:uid="{E585DD05-E279-4DD7-BC54-6BAD82322FEE}"/>
    <cellStyle name="Millares 9 5 3 2" xfId="2377" xr:uid="{43642849-4172-4993-BA74-7BCF6481D2A6}"/>
    <cellStyle name="Millares 9 5 3 2 2" xfId="4875" xr:uid="{9FECCDD4-2192-420E-BF75-D05CFDDE60A5}"/>
    <cellStyle name="Millares 9 5 3 2 2 2" xfId="9871" xr:uid="{58378636-E922-4234-BEE5-8CB52ED6C27F}"/>
    <cellStyle name="Millares 9 5 3 2 3" xfId="7373" xr:uid="{CE80A212-D1C9-4604-9E32-84C58808C7C7}"/>
    <cellStyle name="Millares 9 5 3 3" xfId="3626" xr:uid="{502A5BF5-CB36-468D-B745-81A6B70C9A25}"/>
    <cellStyle name="Millares 9 5 3 3 2" xfId="8622" xr:uid="{3DD88C53-CB0C-4B90-A641-C650C4BD1A8F}"/>
    <cellStyle name="Millares 9 5 3 4" xfId="6124" xr:uid="{7EB1844B-0CFD-4426-B11D-FE66C3DEC3F6}"/>
    <cellStyle name="Millares 9 5 4" xfId="1485" xr:uid="{38B770F6-2CFC-4EA5-B724-6AB3A3A7F5AA}"/>
    <cellStyle name="Millares 9 5 4 2" xfId="2735" xr:uid="{B06D7681-AC50-4181-85E7-CE8D0B956780}"/>
    <cellStyle name="Millares 9 5 4 2 2" xfId="5233" xr:uid="{FF00B4C1-01C0-4339-A73D-BB2A3CB73618}"/>
    <cellStyle name="Millares 9 5 4 2 2 2" xfId="10229" xr:uid="{939B3471-AB62-4181-9FC6-8350230CC671}"/>
    <cellStyle name="Millares 9 5 4 2 3" xfId="7731" xr:uid="{F48B1556-D336-473B-9564-C51FACD3C91A}"/>
    <cellStyle name="Millares 9 5 4 3" xfId="3984" xr:uid="{DC6EF366-34D7-4B67-8F81-C8B1DB0CC039}"/>
    <cellStyle name="Millares 9 5 4 3 2" xfId="8980" xr:uid="{4D463B0E-E7E7-467B-B07D-3923D7AE09D9}"/>
    <cellStyle name="Millares 9 5 4 4" xfId="6482" xr:uid="{FDEF3733-FEE7-49E6-A84A-2A16E52E58D9}"/>
    <cellStyle name="Millares 9 5 5" xfId="1816" xr:uid="{61B520DF-CCC1-48AA-A9A6-545D559949F7}"/>
    <cellStyle name="Millares 9 5 5 2" xfId="4314" xr:uid="{8736290F-3128-45A6-9794-E0213A1D6A44}"/>
    <cellStyle name="Millares 9 5 5 2 2" xfId="9310" xr:uid="{1436DD84-9432-4232-9D22-AE2B432D9A9A}"/>
    <cellStyle name="Millares 9 5 5 3" xfId="6812" xr:uid="{B2929C55-8E7D-4430-AB00-E618890ADDF2}"/>
    <cellStyle name="Millares 9 5 6" xfId="3065" xr:uid="{59D6707F-4DCE-4045-A974-D0EFB1E2B133}"/>
    <cellStyle name="Millares 9 5 6 2" xfId="8061" xr:uid="{017B4C37-E439-4EF9-9759-B30B58BB0F4B}"/>
    <cellStyle name="Millares 9 5 7" xfId="5563" xr:uid="{673B17A5-DC36-425D-864B-F85DDACAD637}"/>
    <cellStyle name="Millares 9 5 8" xfId="565" xr:uid="{ACBEE376-FD1E-427D-B6B5-138EBE40474F}"/>
    <cellStyle name="Millares 9 6" xfId="365" xr:uid="{0BD5781C-3FE2-49CF-B327-D00586F07CA4}"/>
    <cellStyle name="Millares 9 6 2" xfId="1286" xr:uid="{C3916FFE-80E4-489E-B427-50B17F3C4D9C}"/>
    <cellStyle name="Millares 9 6 2 2" xfId="2536" xr:uid="{7AD91C21-1F55-4309-B5A9-BAB9FFAB3352}"/>
    <cellStyle name="Millares 9 6 2 2 2" xfId="5034" xr:uid="{21DD4D3B-06FA-4FA7-9D6A-9A324F94EA43}"/>
    <cellStyle name="Millares 9 6 2 2 2 2" xfId="10030" xr:uid="{CD23548D-2CFC-4C7A-951D-6E8EAF52A517}"/>
    <cellStyle name="Millares 9 6 2 2 3" xfId="7532" xr:uid="{A648D5EE-DCB9-406D-91BF-395C67A8CA07}"/>
    <cellStyle name="Millares 9 6 2 3" xfId="3785" xr:uid="{006B38E4-44F5-4A58-A222-88F186725697}"/>
    <cellStyle name="Millares 9 6 2 3 2" xfId="8781" xr:uid="{FF5B9812-6D87-4453-B423-509D6BEB0621}"/>
    <cellStyle name="Millares 9 6 2 4" xfId="6283" xr:uid="{53E5164E-9106-4FF3-89E4-EFA58C2FEEB8}"/>
    <cellStyle name="Millares 9 6 3" xfId="2224" xr:uid="{29D6F319-F6E6-41F8-B613-EB7D315A8852}"/>
    <cellStyle name="Millares 9 6 3 2" xfId="4722" xr:uid="{13495A92-4316-4E3B-B94B-C4D98278D71D}"/>
    <cellStyle name="Millares 9 6 3 2 2" xfId="9718" xr:uid="{DF705135-6410-40D6-94D2-E5A7417C7167}"/>
    <cellStyle name="Millares 9 6 3 3" xfId="7220" xr:uid="{F474EA72-F882-4F6D-ACE9-AAB43CF9A12E}"/>
    <cellStyle name="Millares 9 6 4" xfId="3473" xr:uid="{E906E723-F20B-49A0-9E21-A233B0E753C5}"/>
    <cellStyle name="Millares 9 6 4 2" xfId="8469" xr:uid="{6153A4C2-05F4-40BD-BF58-0F41B16A8C91}"/>
    <cellStyle name="Millares 9 6 5" xfId="5971" xr:uid="{DD9B264E-6BDB-42B5-9381-5350DA9E8472}"/>
    <cellStyle name="Millares 9 6 6" xfId="974" xr:uid="{EA3B0120-1DD3-4C93-B0F1-3C4F751A2611}"/>
    <cellStyle name="Millares 9 7" xfId="693" xr:uid="{F9BFF115-0D22-4E86-8FEF-C872D8212ADA}"/>
    <cellStyle name="Millares 9 7 2" xfId="1944" xr:uid="{C2875D4C-93FD-447D-A586-5A5278A753E2}"/>
    <cellStyle name="Millares 9 7 2 2" xfId="4442" xr:uid="{A253366B-32DA-472E-A437-10B02934D2E1}"/>
    <cellStyle name="Millares 9 7 2 2 2" xfId="9438" xr:uid="{864D7FC8-609D-4DC2-8E29-10AABC46C228}"/>
    <cellStyle name="Millares 9 7 2 3" xfId="6940" xr:uid="{8E716146-EA74-4D76-BCB1-78911A6ED995}"/>
    <cellStyle name="Millares 9 7 3" xfId="3193" xr:uid="{47A88EAE-2E7C-4D97-B020-94FF5E85DC70}"/>
    <cellStyle name="Millares 9 7 3 2" xfId="8189" xr:uid="{8E17166D-7C4E-4E31-A855-CAB713F26C81}"/>
    <cellStyle name="Millares 9 7 4" xfId="5691" xr:uid="{9E997A73-C585-454F-B21C-3A7C76D38E59}"/>
    <cellStyle name="Millares 9 8" xfId="1006" xr:uid="{8C2DB3C3-AA5F-44B9-A2F0-E3F177B568AB}"/>
    <cellStyle name="Millares 9 8 2" xfId="2256" xr:uid="{4DBA954A-726A-40D2-9578-E859FC9492CD}"/>
    <cellStyle name="Millares 9 8 2 2" xfId="4754" xr:uid="{FA03B3BD-A6D1-4DE7-99F7-12AAF05C1DC8}"/>
    <cellStyle name="Millares 9 8 2 2 2" xfId="9750" xr:uid="{B3ECD71E-D8B1-4E7D-A6A9-2312A58F0CE8}"/>
    <cellStyle name="Millares 9 8 2 3" xfId="7252" xr:uid="{2B0653EC-C673-482E-9302-3450A426B88E}"/>
    <cellStyle name="Millares 9 8 3" xfId="3505" xr:uid="{9ED28D92-6CF0-4768-B567-83B0EB7ED4BE}"/>
    <cellStyle name="Millares 9 8 3 2" xfId="8501" xr:uid="{0A67B759-EED6-448E-8253-5572F1430F4D}"/>
    <cellStyle name="Millares 9 8 4" xfId="6003" xr:uid="{80C8D7ED-45E7-4FD3-99DD-990F3015682E}"/>
    <cellStyle name="Millares 9 9" xfId="1332" xr:uid="{7F3AB31D-E6F6-46EC-A1A7-087C64E424EA}"/>
    <cellStyle name="Millares 9 9 2" xfId="2582" xr:uid="{918DD1D7-5F97-422F-B6B8-AF69D6E07F89}"/>
    <cellStyle name="Millares 9 9 2 2" xfId="5080" xr:uid="{F6BC7419-51E5-4078-AE92-C2806D59AE9C}"/>
    <cellStyle name="Millares 9 9 2 2 2" xfId="10076" xr:uid="{2ABFAEE5-955D-49EA-84A1-7877F2763FD7}"/>
    <cellStyle name="Millares 9 9 2 3" xfId="7578" xr:uid="{2816457F-9453-4AF9-BCD0-B345D8F1518A}"/>
    <cellStyle name="Millares 9 9 3" xfId="3831" xr:uid="{396E2F34-10F2-45E2-9DFB-3D1E275E21C2}"/>
    <cellStyle name="Millares 9 9 3 2" xfId="8827" xr:uid="{8E8780E9-D1AC-4C0D-8354-818BC5776FB3}"/>
    <cellStyle name="Millares 9 9 4" xfId="6329" xr:uid="{6462CC9A-9AD6-4D8E-B616-83E370736578}"/>
    <cellStyle name="Moneda 10" xfId="1626" xr:uid="{FFF4D429-929E-4122-956A-766EB5FAE6E8}"/>
    <cellStyle name="Moneda 10 2" xfId="2875" xr:uid="{9B9EC5DE-30A1-461C-BAB1-F645C045BD64}"/>
    <cellStyle name="Moneda 10 2 2" xfId="5373" xr:uid="{9F79A90B-B05A-469C-81B3-4054D07EE766}"/>
    <cellStyle name="Moneda 10 2 2 2" xfId="10369" xr:uid="{F5C5CBCD-6822-4749-A4CC-1052F8F6248C}"/>
    <cellStyle name="Moneda 10 2 3" xfId="7871" xr:uid="{3897AA9C-B1A2-481B-816F-BF0AC6B0A4F0}"/>
    <cellStyle name="Moneda 10 3" xfId="4124" xr:uid="{2AE7A050-2ECB-49BE-8D42-5C9721ACA08F}"/>
    <cellStyle name="Moneda 10 3 2" xfId="9120" xr:uid="{95B56832-6C50-459A-B342-D3B0D17F0129}"/>
    <cellStyle name="Moneda 10 4" xfId="6622" xr:uid="{A2B730AB-CDFC-4055-A693-E48CB5972607}"/>
    <cellStyle name="Moneda 11" xfId="1631" xr:uid="{3A6E5674-AEE6-43F0-9C70-E15B686B7972}"/>
    <cellStyle name="Moneda 11 2" xfId="2880" xr:uid="{4EA8291C-C2B8-4224-AE19-08F18A51749A}"/>
    <cellStyle name="Moneda 11 2 2" xfId="5378" xr:uid="{4B987BDA-5916-4D8F-9148-0F765416DF04}"/>
    <cellStyle name="Moneda 11 2 2 2" xfId="10374" xr:uid="{94063DE6-66DD-4C63-BF31-FB17AE6D869A}"/>
    <cellStyle name="Moneda 11 2 3" xfId="7876" xr:uid="{8C8C6AAE-F1E9-4FE2-AB9D-6ADB8E05A069}"/>
    <cellStyle name="Moneda 11 3" xfId="4129" xr:uid="{26E65B12-8914-4546-ACC8-A115F666521F}"/>
    <cellStyle name="Moneda 11 3 2" xfId="9125" xr:uid="{93D46A89-25A2-43CE-987E-B2823AC5AE01}"/>
    <cellStyle name="Moneda 11 4" xfId="6627" xr:uid="{2B09ECDE-9276-4BFA-8D3D-2B759C03E2ED}"/>
    <cellStyle name="Moneda 12" xfId="1636" xr:uid="{0BF4AD14-93F4-424F-B09F-C3D4AB0D3C08}"/>
    <cellStyle name="Moneda 12 2" xfId="2885" xr:uid="{D15BFC92-C8E9-47C4-95CF-9AA6EFFC9DE4}"/>
    <cellStyle name="Moneda 12 2 2" xfId="5383" xr:uid="{67940E5E-1961-4D19-BC1E-A3F4D84540DD}"/>
    <cellStyle name="Moneda 12 2 2 2" xfId="10379" xr:uid="{66334AA5-CD47-479C-B5B0-39F9DA4D5DB6}"/>
    <cellStyle name="Moneda 12 2 3" xfId="7881" xr:uid="{9D558892-79E4-45B7-86AA-C9FB59F1E354}"/>
    <cellStyle name="Moneda 12 3" xfId="4134" xr:uid="{CE0BA7DE-791D-4670-BC3B-AF24B8CE991D}"/>
    <cellStyle name="Moneda 12 3 2" xfId="9130" xr:uid="{B6319E68-884C-4DF7-819F-9D18533F31D3}"/>
    <cellStyle name="Moneda 12 4" xfId="6632" xr:uid="{B189B202-EBF6-4EB8-828D-1FEBDEB60B4A}"/>
    <cellStyle name="Moneda 2" xfId="11" xr:uid="{00000000-0005-0000-0000-000005000000}"/>
    <cellStyle name="Moneda 2 2" xfId="37" xr:uid="{5A8B05B5-2CAA-4B37-A49C-92171BB70CB2}"/>
    <cellStyle name="Moneda 3" xfId="194" xr:uid="{4B8AE07C-73C5-411B-8019-661C151FC895}"/>
    <cellStyle name="Moneda 3 2" xfId="195" xr:uid="{23009F9D-A137-4AE0-83D2-1ACA97DF7192}"/>
    <cellStyle name="Moneda 3 2 2" xfId="816" xr:uid="{B5A4280A-1E4A-40CF-9064-B7D13A4A43FC}"/>
    <cellStyle name="Moneda 3 2 2 2" xfId="2067" xr:uid="{587B94AF-E628-48C0-9558-60BEC9B0F108}"/>
    <cellStyle name="Moneda 3 2 2 2 2" xfId="4565" xr:uid="{252B9E2C-3DB3-4CFE-A12C-4A26BB287115}"/>
    <cellStyle name="Moneda 3 2 2 2 2 2" xfId="9561" xr:uid="{9A0D694F-A9EC-45D9-AE44-A1DE4089521A}"/>
    <cellStyle name="Moneda 3 2 2 2 3" xfId="7063" xr:uid="{994B2AA9-29DE-42FF-9EDA-35DAF900F297}"/>
    <cellStyle name="Moneda 3 2 2 3" xfId="3316" xr:uid="{09FD62A0-9A72-46B0-8BE6-91C4F4472FA1}"/>
    <cellStyle name="Moneda 3 2 2 3 2" xfId="8312" xr:uid="{400149EF-FD6F-48C7-87AD-C41273BB78C0}"/>
    <cellStyle name="Moneda 3 2 2 4" xfId="5814" xr:uid="{B4B50A8E-278E-4244-974A-F1D2B2487D68}"/>
    <cellStyle name="Moneda 3 2 3" xfId="1129" xr:uid="{85F98E27-5E13-4C31-A3C0-2D6D681E1B19}"/>
    <cellStyle name="Moneda 3 2 3 2" xfId="2379" xr:uid="{4C7D8B59-8DA3-4B8D-B7FA-AFAC954019A5}"/>
    <cellStyle name="Moneda 3 2 3 2 2" xfId="4877" xr:uid="{9D26B227-67D7-483F-BC93-FF5A652551EF}"/>
    <cellStyle name="Moneda 3 2 3 2 2 2" xfId="9873" xr:uid="{C5E55E42-B27B-48DD-B74A-12BED2333DE7}"/>
    <cellStyle name="Moneda 3 2 3 2 3" xfId="7375" xr:uid="{B07BCF95-9DD6-4289-A758-66D5D280A9F0}"/>
    <cellStyle name="Moneda 3 2 3 3" xfId="3628" xr:uid="{754806BD-5882-4BC3-8E56-ED05E35C6B89}"/>
    <cellStyle name="Moneda 3 2 3 3 2" xfId="8624" xr:uid="{912598D3-1A54-4921-9177-179A8C4DAD9B}"/>
    <cellStyle name="Moneda 3 2 3 4" xfId="6126" xr:uid="{984805CD-FA69-4A44-B737-66DD99B87E9A}"/>
    <cellStyle name="Moneda 3 2 4" xfId="1489" xr:uid="{1DB23E77-4F2E-4457-97DA-59265F40B109}"/>
    <cellStyle name="Moneda 3 2 4 2" xfId="2739" xr:uid="{DDBBDFF7-28E7-43DB-8ADD-7B891493223B}"/>
    <cellStyle name="Moneda 3 2 4 2 2" xfId="5237" xr:uid="{DCA78429-658A-4FAA-88E6-5E3F080964E0}"/>
    <cellStyle name="Moneda 3 2 4 2 2 2" xfId="10233" xr:uid="{56213123-F2D9-4037-A64D-3926BB1717CA}"/>
    <cellStyle name="Moneda 3 2 4 2 3" xfId="7735" xr:uid="{62756B7C-852A-43F2-BB9F-2F47E54FBB90}"/>
    <cellStyle name="Moneda 3 2 4 3" xfId="3988" xr:uid="{7CDD9DA0-89E1-4F1A-94E1-6629E7ADA41F}"/>
    <cellStyle name="Moneda 3 2 4 3 2" xfId="8984" xr:uid="{6D504084-BA4A-4B44-9FD8-1DBC5CF2C13F}"/>
    <cellStyle name="Moneda 3 2 4 4" xfId="6486" xr:uid="{5F0229B0-655F-442E-A8D4-D9526DEE1315}"/>
    <cellStyle name="Moneda 3 2 5" xfId="1820" xr:uid="{DF0D1F49-73F8-4C7D-AF48-AB127D4A9F63}"/>
    <cellStyle name="Moneda 3 2 5 2" xfId="4318" xr:uid="{AD15A827-023D-4104-9C5D-2D4DD1905FDF}"/>
    <cellStyle name="Moneda 3 2 5 2 2" xfId="9314" xr:uid="{C075D76F-2B3F-4F20-8216-B114B97A2AD4}"/>
    <cellStyle name="Moneda 3 2 5 3" xfId="6816" xr:uid="{54D6C907-9F3F-46ED-9CC9-49F692C48A60}"/>
    <cellStyle name="Moneda 3 2 6" xfId="3069" xr:uid="{53E57DC8-2764-453F-8B0B-6F58176D1454}"/>
    <cellStyle name="Moneda 3 2 6 2" xfId="8065" xr:uid="{F69F3572-0959-4D62-BEFD-F2185CC90534}"/>
    <cellStyle name="Moneda 3 2 7" xfId="5567" xr:uid="{C5160CBD-C02B-4550-B1F0-0FBDDE293FDA}"/>
    <cellStyle name="Moneda 3 2 8" xfId="569" xr:uid="{85AB4CC5-E1C2-4A4D-A134-CBFE3B182470}"/>
    <cellStyle name="Moneda 3 3" xfId="815" xr:uid="{BB2682DA-86EA-4761-A342-EB56C4AB9582}"/>
    <cellStyle name="Moneda 3 3 2" xfId="2066" xr:uid="{3CD9FACD-0E83-4232-AD61-35BF782DFA22}"/>
    <cellStyle name="Moneda 3 3 2 2" xfId="4564" xr:uid="{F673883C-9C51-4379-BCEA-B4D6300B51B2}"/>
    <cellStyle name="Moneda 3 3 2 2 2" xfId="9560" xr:uid="{FB32C0FB-4600-4BD0-957E-B35BA7B5BC55}"/>
    <cellStyle name="Moneda 3 3 2 3" xfId="7062" xr:uid="{58F16588-9937-4037-87AE-21F3584BD07C}"/>
    <cellStyle name="Moneda 3 3 3" xfId="3315" xr:uid="{03F25F1B-B58F-491D-B117-DAB538BD7839}"/>
    <cellStyle name="Moneda 3 3 3 2" xfId="8311" xr:uid="{CAB7DF05-1CD9-4D83-B700-F537F0A0E2B7}"/>
    <cellStyle name="Moneda 3 3 4" xfId="5813" xr:uid="{E52E7F17-A7A4-4507-8178-8F95D7F2C3CD}"/>
    <cellStyle name="Moneda 3 4" xfId="1128" xr:uid="{BF2343F9-6728-4839-8647-A87A074CA964}"/>
    <cellStyle name="Moneda 3 4 2" xfId="2378" xr:uid="{AD149648-2669-478D-BD40-B1219735A35A}"/>
    <cellStyle name="Moneda 3 4 2 2" xfId="4876" xr:uid="{33E2277E-7EB8-48D4-B8FC-A9564F7D7114}"/>
    <cellStyle name="Moneda 3 4 2 2 2" xfId="9872" xr:uid="{3CE40F0B-1CF3-4491-9F6B-B7505F0D352E}"/>
    <cellStyle name="Moneda 3 4 2 3" xfId="7374" xr:uid="{B2333A42-5AA5-413A-887F-42BD63F733B9}"/>
    <cellStyle name="Moneda 3 4 3" xfId="3627" xr:uid="{D5C81DE5-8813-4E22-A74F-7B669F082F2E}"/>
    <cellStyle name="Moneda 3 4 3 2" xfId="8623" xr:uid="{96CD4A13-26C6-4247-811D-766680B1295D}"/>
    <cellStyle name="Moneda 3 4 4" xfId="6125" xr:uid="{AAA5FEA2-C517-4B02-857B-93EFE71D132D}"/>
    <cellStyle name="Moneda 3 5" xfId="1368" xr:uid="{4FF27A13-4FE9-4405-AE68-D6570CE97F74}"/>
    <cellStyle name="Moneda 3 5 2" xfId="2618" xr:uid="{0C3F5DDF-61B4-4B90-A8D4-49835BDAE61F}"/>
    <cellStyle name="Moneda 3 5 2 2" xfId="5116" xr:uid="{2B6CA8B5-A181-4A2E-A75E-43265BE07CC1}"/>
    <cellStyle name="Moneda 3 5 2 2 2" xfId="10112" xr:uid="{6FA23B2E-1BD0-48E0-AD48-8B0E7CAB2481}"/>
    <cellStyle name="Moneda 3 5 2 3" xfId="7614" xr:uid="{43EE85F0-45F4-416D-A0FF-E0DC6A9875AE}"/>
    <cellStyle name="Moneda 3 5 3" xfId="3867" xr:uid="{0F8601AD-159B-4DEF-9142-7FF21E5F86AD}"/>
    <cellStyle name="Moneda 3 5 3 2" xfId="8863" xr:uid="{2F2CED44-CA54-44CB-9293-B479C3625F6A}"/>
    <cellStyle name="Moneda 3 5 4" xfId="6365" xr:uid="{7F124F0D-422B-47EC-8E74-26532A79E6A6}"/>
    <cellStyle name="Moneda 3 6" xfId="1699" xr:uid="{98E6F616-EBE6-441C-963D-347F9F3644C9}"/>
    <cellStyle name="Moneda 3 6 2" xfId="4197" xr:uid="{F31A652D-2010-4ABE-BEA1-05BA877BF385}"/>
    <cellStyle name="Moneda 3 6 2 2" xfId="9193" xr:uid="{78DF2E85-8ACC-45A9-94F7-C3055F1BC646}"/>
    <cellStyle name="Moneda 3 6 3" xfId="6695" xr:uid="{F8814797-AB66-49CC-A92E-1ADE819C29E2}"/>
    <cellStyle name="Moneda 3 7" xfId="2948" xr:uid="{AD55BF20-A4DD-4E3E-9B2D-E1D63FDC97DA}"/>
    <cellStyle name="Moneda 3 7 2" xfId="7944" xr:uid="{710C777A-476B-450A-823D-A3C971FA5C55}"/>
    <cellStyle name="Moneda 3 8" xfId="5446" xr:uid="{4F56B211-5209-4CBF-8199-B2B8A0EBFBB6}"/>
    <cellStyle name="Moneda 3 9" xfId="448" xr:uid="{0F870A39-7F97-4D5B-9FAC-2CAA6712E36C}"/>
    <cellStyle name="Moneda 4" xfId="675" xr:uid="{1E5895C0-1E44-480F-8B2B-C429958BC4CB}"/>
    <cellStyle name="Moneda 4 2" xfId="1595" xr:uid="{BD81B81A-AD1E-42C4-9787-62780F956CD0}"/>
    <cellStyle name="Moneda 4 2 2" xfId="2845" xr:uid="{BB428149-5D49-4B53-A68E-0637628085F4}"/>
    <cellStyle name="Moneda 4 2 2 2" xfId="5343" xr:uid="{2FAE285A-6C1B-47BC-A53C-9780B370444A}"/>
    <cellStyle name="Moneda 4 2 2 2 2" xfId="10339" xr:uid="{08F42EE3-51B0-4D77-9B1B-5DAEDD52FA93}"/>
    <cellStyle name="Moneda 4 2 2 3" xfId="7841" xr:uid="{BEB1D9D2-4F20-4818-B52F-6A7FD1571703}"/>
    <cellStyle name="Moneda 4 2 3" xfId="4094" xr:uid="{02AB6677-53C8-4FDA-96A1-391728CA7272}"/>
    <cellStyle name="Moneda 4 2 3 2" xfId="9090" xr:uid="{467F2B46-34FD-446A-85FC-88310A36B5B9}"/>
    <cellStyle name="Moneda 4 2 4" xfId="6592" xr:uid="{208AB5F5-F894-42B4-9AC5-0A2D843EFA41}"/>
    <cellStyle name="Moneda 4 3" xfId="1926" xr:uid="{E560437C-668E-4433-A7DB-ED51DAE6E072}"/>
    <cellStyle name="Moneda 4 3 2" xfId="4424" xr:uid="{34521948-7993-47FD-9CED-8FC103C3AFFD}"/>
    <cellStyle name="Moneda 4 3 2 2" xfId="9420" xr:uid="{41225548-56D5-4FF6-8414-F610CA0E70AA}"/>
    <cellStyle name="Moneda 4 3 3" xfId="6922" xr:uid="{03953026-B727-4C06-9F8C-30D44E2A47FB}"/>
    <cellStyle name="Moneda 4 4" xfId="3175" xr:uid="{A6DCD344-78B7-4EBB-9DF8-91CBFD43F4F4}"/>
    <cellStyle name="Moneda 4 4 2" xfId="8171" xr:uid="{B6F6E4F6-08ED-4F18-9075-FE3ADB4C0238}"/>
    <cellStyle name="Moneda 4 5" xfId="5673" xr:uid="{DCB930DD-345E-4E41-8A61-77F28BC70E57}"/>
    <cellStyle name="Moneda 5" xfId="680" xr:uid="{6532EDC1-C76D-4EE4-85EC-8AD6D81EFFC2}"/>
    <cellStyle name="Moneda 5 2" xfId="1600" xr:uid="{2170AF59-1CF9-4382-BB94-7C552499AE4E}"/>
    <cellStyle name="Moneda 5 2 2" xfId="2850" xr:uid="{A4FCFA25-A1B8-46C8-B56A-9703170D8120}"/>
    <cellStyle name="Moneda 5 2 2 2" xfId="5348" xr:uid="{34D12AA7-ABFA-4072-8CD6-505C3B15A196}"/>
    <cellStyle name="Moneda 5 2 2 2 2" xfId="10344" xr:uid="{E5A38FA1-0CE2-4CE0-9816-20B614B0FCFC}"/>
    <cellStyle name="Moneda 5 2 2 3" xfId="7846" xr:uid="{0FD09310-144E-432A-B376-8A97B9A4F3B2}"/>
    <cellStyle name="Moneda 5 2 3" xfId="4099" xr:uid="{89835806-8FDB-4EBC-A971-530960BEA7C6}"/>
    <cellStyle name="Moneda 5 2 3 2" xfId="9095" xr:uid="{FF9FEEB1-C343-4A66-BBC1-16AE8481EB79}"/>
    <cellStyle name="Moneda 5 2 4" xfId="6597" xr:uid="{8B4BDFC3-0C61-4613-A2D4-A47A0A2F6906}"/>
    <cellStyle name="Moneda 5 3" xfId="1931" xr:uid="{EC72DD3D-D33E-4AEE-AEBB-E8A62312DD20}"/>
    <cellStyle name="Moneda 5 3 2" xfId="4429" xr:uid="{DF18A2FE-DD72-4188-A611-196C0B1961C9}"/>
    <cellStyle name="Moneda 5 3 2 2" xfId="9425" xr:uid="{80C3DC67-818C-414D-BED9-9949FC9BDE6E}"/>
    <cellStyle name="Moneda 5 3 3" xfId="6927" xr:uid="{E70D5E2F-B17C-43EA-96A4-B8E5B27674E9}"/>
    <cellStyle name="Moneda 5 4" xfId="3180" xr:uid="{C7F73F20-2F0E-499D-B146-90DFEE21363C}"/>
    <cellStyle name="Moneda 5 4 2" xfId="8176" xr:uid="{2DD006BD-2D9E-42C7-B72A-E7D5F9AB64DC}"/>
    <cellStyle name="Moneda 5 5" xfId="5678" xr:uid="{AA9B342D-B939-4207-9481-E4905A1F8632}"/>
    <cellStyle name="Moneda 6" xfId="1606" xr:uid="{F9A6B05F-EA14-420B-8F54-BEFFBFB6994A}"/>
    <cellStyle name="Moneda 6 2" xfId="2855" xr:uid="{B26C322C-C431-4F0B-AD7E-CC6C57F32E65}"/>
    <cellStyle name="Moneda 6 2 2" xfId="5353" xr:uid="{0AB93E7E-5BE3-418A-B546-6B5FD7412380}"/>
    <cellStyle name="Moneda 6 2 2 2" xfId="10349" xr:uid="{378ACB1C-1D8E-464B-8C9D-57F63D5E8D1A}"/>
    <cellStyle name="Moneda 6 2 3" xfId="7851" xr:uid="{61D4C785-73AD-46F4-A504-7F42530638BF}"/>
    <cellStyle name="Moneda 6 3" xfId="4104" xr:uid="{EDB3F0C9-6ED0-4A49-82E4-5C8B53D9D37B}"/>
    <cellStyle name="Moneda 6 3 2" xfId="9100" xr:uid="{CB0AEC7A-9070-4BCE-B6F7-1E73C76C12F4}"/>
    <cellStyle name="Moneda 6 4" xfId="6602" xr:uid="{66FA1312-EAC0-4B55-B5C8-07882BEE6C34}"/>
    <cellStyle name="Moneda 7" xfId="1611" xr:uid="{4F5FAAEC-41AA-4980-BAD0-96B766EED1CE}"/>
    <cellStyle name="Moneda 7 2" xfId="2860" xr:uid="{0F3FDA3B-AADD-49BC-B7DF-A3517F522D25}"/>
    <cellStyle name="Moneda 7 2 2" xfId="5358" xr:uid="{E70EE71F-B4C1-458A-BFEE-32CAA5E6AB05}"/>
    <cellStyle name="Moneda 7 2 2 2" xfId="10354" xr:uid="{1193FF39-77A0-40C7-96FB-E91BA4DF2277}"/>
    <cellStyle name="Moneda 7 2 3" xfId="7856" xr:uid="{5AE8A9EB-87F9-4D0F-8E6D-1AB044595C1F}"/>
    <cellStyle name="Moneda 7 3" xfId="4109" xr:uid="{1B007F70-7D27-42FA-AFAE-FEEAB098A299}"/>
    <cellStyle name="Moneda 7 3 2" xfId="9105" xr:uid="{D2AA1551-CB22-43B2-93C7-382059280BF9}"/>
    <cellStyle name="Moneda 7 4" xfId="6607" xr:uid="{3DBCE491-D94E-47ED-93C7-A46EE5458E33}"/>
    <cellStyle name="Moneda 8" xfId="1616" xr:uid="{A41A6C76-E733-48B5-B336-DE5E77C6149D}"/>
    <cellStyle name="Moneda 8 2" xfId="2865" xr:uid="{6B54FDBF-2299-46D2-A357-FF24704C06CA}"/>
    <cellStyle name="Moneda 8 2 2" xfId="5363" xr:uid="{147DF355-206D-4F04-A9D1-2957C88CB1EE}"/>
    <cellStyle name="Moneda 8 2 2 2" xfId="10359" xr:uid="{A8F92A27-CBBE-4125-A365-EF4A37FBAC79}"/>
    <cellStyle name="Moneda 8 2 3" xfId="7861" xr:uid="{5D5628E2-1A83-4F1E-AE4D-B6D1D279719D}"/>
    <cellStyle name="Moneda 8 3" xfId="4114" xr:uid="{F9BFD071-0A7D-4AA7-9831-656971E2A723}"/>
    <cellStyle name="Moneda 8 3 2" xfId="9110" xr:uid="{BCCE751F-98AE-4899-9E66-B386B85167D7}"/>
    <cellStyle name="Moneda 8 4" xfId="6612" xr:uid="{B46A86B6-DD1B-4ABE-A257-14BAB47FC3F9}"/>
    <cellStyle name="Moneda 9" xfId="1621" xr:uid="{DA1ACD00-0F30-4CF6-B7D2-567F9D04EEEC}"/>
    <cellStyle name="Moneda 9 2" xfId="2870" xr:uid="{9946FF60-36E3-4657-8041-5E7630335B3D}"/>
    <cellStyle name="Moneda 9 2 2" xfId="5368" xr:uid="{061E6D77-6FC8-4D15-9B88-26D81A38C7C9}"/>
    <cellStyle name="Moneda 9 2 2 2" xfId="10364" xr:uid="{671EF75F-8018-483E-8B68-25419FF98A26}"/>
    <cellStyle name="Moneda 9 2 3" xfId="7866" xr:uid="{DFFDCCF4-A88D-4C38-ACFF-55D014FE135E}"/>
    <cellStyle name="Moneda 9 3" xfId="4119" xr:uid="{77BD0EA1-9D8D-4D22-B71D-DAAE595928CF}"/>
    <cellStyle name="Moneda 9 3 2" xfId="9115" xr:uid="{BB268016-43AC-4D61-9D1C-63E1B4EFD78D}"/>
    <cellStyle name="Moneda 9 4" xfId="6617" xr:uid="{AA40DBCD-7B1F-4A0D-B599-0C782301363D}"/>
    <cellStyle name="Neutral 2" xfId="196" xr:uid="{71526A5D-3B92-4DAE-8652-268A5DA75EAE}"/>
    <cellStyle name="Normal" xfId="0" builtinId="0"/>
    <cellStyle name="Normal 10" xfId="38" xr:uid="{3E2CAF45-79AA-4527-9CA5-4A1D97E8328B}"/>
    <cellStyle name="Normal 10 10" xfId="1007" xr:uid="{66C1D40F-5F57-4DB7-A57B-C715DB8E5CA2}"/>
    <cellStyle name="Normal 10 10 2" xfId="2257" xr:uid="{4A45060D-4A35-45EE-84F6-B7CFB692977D}"/>
    <cellStyle name="Normal 10 10 2 2" xfId="4755" xr:uid="{81E58D0D-0FF4-41A7-9F6E-B2BDE095D148}"/>
    <cellStyle name="Normal 10 10 2 2 2" xfId="9751" xr:uid="{B495FC50-D3B5-4A36-A44F-26957E01BA7C}"/>
    <cellStyle name="Normal 10 10 2 3" xfId="7253" xr:uid="{6BA99039-E951-434A-B39F-DD82B9EE0E97}"/>
    <cellStyle name="Normal 10 10 3" xfId="3506" xr:uid="{4C14E0C2-F66B-47CD-8395-4ECC9B24AE23}"/>
    <cellStyle name="Normal 10 10 3 2" xfId="8502" xr:uid="{03E7AA8B-B7C6-4B9D-ABA7-145D5055A6EA}"/>
    <cellStyle name="Normal 10 10 4" xfId="6004" xr:uid="{98815DD6-CCF2-4E21-AE9C-AE1C9E555D9E}"/>
    <cellStyle name="Normal 10 11" xfId="1321" xr:uid="{FF6A351D-24BE-4085-84B2-DF6EDB64580E}"/>
    <cellStyle name="Normal 10 11 2" xfId="2571" xr:uid="{853FCDC1-8E59-442B-A5CE-54D74787295D}"/>
    <cellStyle name="Normal 10 11 2 2" xfId="5069" xr:uid="{BEB29B20-9A0C-4B10-8232-333981BEC117}"/>
    <cellStyle name="Normal 10 11 2 2 2" xfId="10065" xr:uid="{97B1F853-7A73-4062-86A2-24ACD869DDD3}"/>
    <cellStyle name="Normal 10 11 2 3" xfId="7567" xr:uid="{3C4C6ACB-8443-449A-9D06-13670407B3C4}"/>
    <cellStyle name="Normal 10 11 3" xfId="3820" xr:uid="{A9B4C48D-1A68-48C4-9D31-0C92EF72AAE6}"/>
    <cellStyle name="Normal 10 11 3 2" xfId="8816" xr:uid="{1AC7B78B-B278-4F1C-98CB-CB48A59807DE}"/>
    <cellStyle name="Normal 10 11 4" xfId="6318" xr:uid="{5E9EAA22-30DE-433D-8D02-B99A12444768}"/>
    <cellStyle name="Normal 10 12" xfId="1652" xr:uid="{60630F27-14EE-4284-88BE-BB4E5273122E}"/>
    <cellStyle name="Normal 10 12 2" xfId="4150" xr:uid="{18AE3886-8250-457D-AD8C-54AB3BFB3908}"/>
    <cellStyle name="Normal 10 12 2 2" xfId="9146" xr:uid="{BFEA7ED4-597E-4F8B-9E41-9861DF3DBFAB}"/>
    <cellStyle name="Normal 10 12 3" xfId="6648" xr:uid="{AEAA86BA-3FDC-493B-892E-6B951DF2124D}"/>
    <cellStyle name="Normal 10 13" xfId="2901" xr:uid="{AE7C314C-DF98-467A-AFAA-FF06A07610C3}"/>
    <cellStyle name="Normal 10 13 2" xfId="7897" xr:uid="{5BC58430-188F-47E5-B6E6-DA9F56A58B9A}"/>
    <cellStyle name="Normal 10 14" xfId="5399" xr:uid="{D654D127-2D52-4859-86CF-BDDFA532AD1C}"/>
    <cellStyle name="Normal 10 15" xfId="401" xr:uid="{F865CBA1-6046-424B-B7A6-211998EAC720}"/>
    <cellStyle name="Normal 10 2" xfId="39" xr:uid="{EF850DEF-3858-4A58-B050-E62F3D69A38D}"/>
    <cellStyle name="Normal 10 2 10" xfId="1657" xr:uid="{7CE2C337-8500-4E2F-AD02-5D2E3E7F6878}"/>
    <cellStyle name="Normal 10 2 10 2" xfId="4155" xr:uid="{A8B2952D-00CF-4E76-A599-88985F0D1E54}"/>
    <cellStyle name="Normal 10 2 10 2 2" xfId="9151" xr:uid="{92C64870-106B-4626-9E0B-A6D85CA1B797}"/>
    <cellStyle name="Normal 10 2 10 3" xfId="6653" xr:uid="{8AF6FE6B-BF51-47CD-9F8A-15A9DB19F913}"/>
    <cellStyle name="Normal 10 2 11" xfId="2906" xr:uid="{2155C41E-2F60-4074-AAB7-4BBEF47B29DE}"/>
    <cellStyle name="Normal 10 2 11 2" xfId="7902" xr:uid="{9846CBD2-7CE4-44B8-A475-706D76B986C1}"/>
    <cellStyle name="Normal 10 2 12" xfId="5404" xr:uid="{D7488CA0-9A85-4A32-9C18-E5BC68191C8E}"/>
    <cellStyle name="Normal 10 2 13" xfId="406" xr:uid="{B2778AF9-39EA-434D-8591-17EAC8157396}"/>
    <cellStyle name="Normal 10 2 2" xfId="66" xr:uid="{99D21CA7-4181-4DFB-BFE3-724C2D7CD095}"/>
    <cellStyle name="Normal 10 2 2 2" xfId="197" xr:uid="{9224F40C-BB5D-4D63-92D3-99CE20EFB029}"/>
    <cellStyle name="Normal 10 2 2 2 2" xfId="817" xr:uid="{7FBE9516-E30A-4974-A25F-1938A88FC568}"/>
    <cellStyle name="Normal 10 2 2 2 2 2" xfId="2068" xr:uid="{2863A02F-9CF1-4EBB-AD36-ECFF87E0C4F7}"/>
    <cellStyle name="Normal 10 2 2 2 2 2 2" xfId="4566" xr:uid="{9D0EB1D5-5CDF-461A-A965-B4293B5A030F}"/>
    <cellStyle name="Normal 10 2 2 2 2 2 2 2" xfId="9562" xr:uid="{A87A96C8-B9D0-4D3C-A146-813726D04F0E}"/>
    <cellStyle name="Normal 10 2 2 2 2 2 3" xfId="7064" xr:uid="{0756E58C-4EC0-4BF2-B9DD-7AB3E3BEF494}"/>
    <cellStyle name="Normal 10 2 2 2 2 3" xfId="3317" xr:uid="{22FE1D45-35CE-4EE2-940B-899D1165DC27}"/>
    <cellStyle name="Normal 10 2 2 2 2 3 2" xfId="8313" xr:uid="{A0AD3DFB-5289-44DB-90F7-89F5BE2CF027}"/>
    <cellStyle name="Normal 10 2 2 2 2 4" xfId="5815" xr:uid="{E975A435-EA02-44FA-8976-3F0B69C8928B}"/>
    <cellStyle name="Normal 10 2 2 2 3" xfId="1130" xr:uid="{61AA5A91-A722-4FD9-99AD-8115D9BBAA58}"/>
    <cellStyle name="Normal 10 2 2 2 3 2" xfId="2380" xr:uid="{DEB2FACB-DB98-4120-AFD8-6FDE40154D76}"/>
    <cellStyle name="Normal 10 2 2 2 3 2 2" xfId="4878" xr:uid="{10DFEFD3-5176-40AC-AA4F-DD82C3D7342A}"/>
    <cellStyle name="Normal 10 2 2 2 3 2 2 2" xfId="9874" xr:uid="{C986002C-FB2D-42D4-A1D4-7EBC9475C262}"/>
    <cellStyle name="Normal 10 2 2 2 3 2 3" xfId="7376" xr:uid="{FA34A494-0BA3-4E6B-AAA7-4610BCCA8C73}"/>
    <cellStyle name="Normal 10 2 2 2 3 3" xfId="3629" xr:uid="{899339DB-73F8-44EC-B48E-34DB4F557A71}"/>
    <cellStyle name="Normal 10 2 2 2 3 3 2" xfId="8625" xr:uid="{21B23756-E2FA-4063-9A01-4DAB1988168A}"/>
    <cellStyle name="Normal 10 2 2 2 3 4" xfId="6127" xr:uid="{360D852F-498E-4A8A-BDC8-2B1E39DD6727}"/>
    <cellStyle name="Normal 10 2 2 2 4" xfId="1492" xr:uid="{A7FC4821-003E-4FE5-89F7-65CC12CAEE3D}"/>
    <cellStyle name="Normal 10 2 2 2 4 2" xfId="2742" xr:uid="{37D91A73-5C96-4ED3-B930-20F9A130DCC4}"/>
    <cellStyle name="Normal 10 2 2 2 4 2 2" xfId="5240" xr:uid="{2C9D2BED-F395-4AB6-B66E-508EEE14D549}"/>
    <cellStyle name="Normal 10 2 2 2 4 2 2 2" xfId="10236" xr:uid="{3423BDF7-83D2-4651-A8E6-76FAE174776E}"/>
    <cellStyle name="Normal 10 2 2 2 4 2 3" xfId="7738" xr:uid="{FAFE1AAC-61E4-456F-9CDF-51FA237D5AFD}"/>
    <cellStyle name="Normal 10 2 2 2 4 3" xfId="3991" xr:uid="{52610291-4D9F-4BE6-A9A9-B72A943C650B}"/>
    <cellStyle name="Normal 10 2 2 2 4 3 2" xfId="8987" xr:uid="{936B0130-3485-43C1-8458-121DB007E5C0}"/>
    <cellStyle name="Normal 10 2 2 2 4 4" xfId="6489" xr:uid="{DCAC1A04-5BF2-433C-ACD9-6F62B5FBFC8D}"/>
    <cellStyle name="Normal 10 2 2 2 5" xfId="1823" xr:uid="{C1F2B095-EF24-441A-87BC-1A780972AF5D}"/>
    <cellStyle name="Normal 10 2 2 2 5 2" xfId="4321" xr:uid="{5F442CE1-0A80-412D-92A3-52A1F21D0B1D}"/>
    <cellStyle name="Normal 10 2 2 2 5 2 2" xfId="9317" xr:uid="{94530E62-8604-4FD4-AA46-65261207E9DC}"/>
    <cellStyle name="Normal 10 2 2 2 5 3" xfId="6819" xr:uid="{5A02C76C-67C1-415A-B5F4-3136327D3302}"/>
    <cellStyle name="Normal 10 2 2 2 6" xfId="3072" xr:uid="{3DB4CBE0-2CC2-4268-9D6E-D95B969463C3}"/>
    <cellStyle name="Normal 10 2 2 2 6 2" xfId="8068" xr:uid="{481B86D2-099D-46F8-BEB7-913895BC4AB8}"/>
    <cellStyle name="Normal 10 2 2 2 7" xfId="5570" xr:uid="{9F2E1A4C-3611-4FA6-A18F-7F35A3BBE0E9}"/>
    <cellStyle name="Normal 10 2 2 2 8" xfId="572" xr:uid="{DF754651-B015-406F-BDB3-BA2A2895A041}"/>
    <cellStyle name="Normal 10 2 2 3" xfId="720" xr:uid="{1582B285-AD19-4963-A451-967FCE18F161}"/>
    <cellStyle name="Normal 10 2 2 3 2" xfId="1971" xr:uid="{4B0AC05E-808C-41B2-89A3-AC6AE1477384}"/>
    <cellStyle name="Normal 10 2 2 3 2 2" xfId="4469" xr:uid="{A831480C-17BC-4A17-A5C2-866515421FB6}"/>
    <cellStyle name="Normal 10 2 2 3 2 2 2" xfId="9465" xr:uid="{5583A499-7340-45E3-A208-4CF7F746ADBD}"/>
    <cellStyle name="Normal 10 2 2 3 2 3" xfId="6967" xr:uid="{062F1B6A-949E-41D0-8789-47DB5A02821B}"/>
    <cellStyle name="Normal 10 2 2 3 3" xfId="3220" xr:uid="{41E984DA-34CF-46AB-B2DC-03F707577E07}"/>
    <cellStyle name="Normal 10 2 2 3 3 2" xfId="8216" xr:uid="{892D473F-D7AD-4341-9391-148A5298859F}"/>
    <cellStyle name="Normal 10 2 2 3 4" xfId="5718" xr:uid="{52367ACF-F73F-4100-9A44-4DA1D86A3860}"/>
    <cellStyle name="Normal 10 2 2 4" xfId="1033" xr:uid="{C7C92ED5-43A3-4C94-97A4-5867DF104446}"/>
    <cellStyle name="Normal 10 2 2 4 2" xfId="2283" xr:uid="{D2B6FDCC-02B4-4866-B281-99B4180880E6}"/>
    <cellStyle name="Normal 10 2 2 4 2 2" xfId="4781" xr:uid="{F4D5DACA-2F85-46FC-9EBB-041AA0440389}"/>
    <cellStyle name="Normal 10 2 2 4 2 2 2" xfId="9777" xr:uid="{B4CDC9D0-7B4B-441D-BE6F-A1ED8C00EECE}"/>
    <cellStyle name="Normal 10 2 2 4 2 3" xfId="7279" xr:uid="{BAE3A4E0-9DDB-4A18-88AE-7768481DFAE3}"/>
    <cellStyle name="Normal 10 2 2 4 3" xfId="3532" xr:uid="{9D4EA79B-1908-4819-80E2-926C376BFF8E}"/>
    <cellStyle name="Normal 10 2 2 4 3 2" xfId="8528" xr:uid="{FBED3C84-C654-4BFB-9117-D11108FD473B}"/>
    <cellStyle name="Normal 10 2 2 4 4" xfId="6030" xr:uid="{434A802E-571D-4D2F-9CFB-3A3D0CA22FAD}"/>
    <cellStyle name="Normal 10 2 2 5" xfId="1395" xr:uid="{FE42F7C2-DCAF-4C34-A344-76D66482D77B}"/>
    <cellStyle name="Normal 10 2 2 5 2" xfId="2645" xr:uid="{0F8B98F3-6266-4CDD-BE50-514FBAB8B608}"/>
    <cellStyle name="Normal 10 2 2 5 2 2" xfId="5143" xr:uid="{1EF9494F-331B-444A-A67A-09FFF00B0C5B}"/>
    <cellStyle name="Normal 10 2 2 5 2 2 2" xfId="10139" xr:uid="{FD1097A4-E3E9-4B2B-B4DE-C82CC70F9883}"/>
    <cellStyle name="Normal 10 2 2 5 2 3" xfId="7641" xr:uid="{461538DE-8E4A-423E-A873-F854FE30A5A7}"/>
    <cellStyle name="Normal 10 2 2 5 3" xfId="3894" xr:uid="{FBE11284-140F-46D1-8762-94AFC6C0790D}"/>
    <cellStyle name="Normal 10 2 2 5 3 2" xfId="8890" xr:uid="{F9969C2B-5344-4830-B97B-7A95CBC5DA5C}"/>
    <cellStyle name="Normal 10 2 2 5 4" xfId="6392" xr:uid="{10A30C63-5D80-401E-9BC7-DF068127F5B8}"/>
    <cellStyle name="Normal 10 2 2 6" xfId="1726" xr:uid="{FAB03EFE-9EE6-4DA1-8BD2-A3B054D276C0}"/>
    <cellStyle name="Normal 10 2 2 6 2" xfId="4224" xr:uid="{629225F7-1342-44EF-BC7A-9587AF31CB20}"/>
    <cellStyle name="Normal 10 2 2 6 2 2" xfId="9220" xr:uid="{C1446F8F-87E6-4C73-AA3C-3FDBE29D96BE}"/>
    <cellStyle name="Normal 10 2 2 6 3" xfId="6722" xr:uid="{5ABC85EA-1A6D-4F23-831A-507DC20A0367}"/>
    <cellStyle name="Normal 10 2 2 7" xfId="2975" xr:uid="{9E2236BC-0387-4E68-8527-6F92BFA3D4E0}"/>
    <cellStyle name="Normal 10 2 2 7 2" xfId="7971" xr:uid="{4B515343-C8DD-40B9-94A1-8F0BF2E5FB03}"/>
    <cellStyle name="Normal 10 2 2 8" xfId="5473" xr:uid="{DF587EE4-41E2-41C6-8DE7-20DFF87DA1E5}"/>
    <cellStyle name="Normal 10 2 2 9" xfId="475" xr:uid="{EDAA53B0-B5E2-4B95-B8EA-B43567C476C3}"/>
    <cellStyle name="Normal 10 2 3" xfId="90" xr:uid="{F3DBDCEA-B311-4791-AAA3-7D3125EAEA53}"/>
    <cellStyle name="Normal 10 2 3 2" xfId="198" xr:uid="{732449EB-1671-44BB-92ED-57E1541BEDA7}"/>
    <cellStyle name="Normal 10 2 3 2 2" xfId="818" xr:uid="{866F65AD-6B9D-45B0-916A-C73FF8A9660E}"/>
    <cellStyle name="Normal 10 2 3 2 2 2" xfId="2069" xr:uid="{C7059A60-E4AF-4A6A-8AFD-BF411597C210}"/>
    <cellStyle name="Normal 10 2 3 2 2 2 2" xfId="4567" xr:uid="{98492E5E-3121-44D2-AD50-4429E5653D0E}"/>
    <cellStyle name="Normal 10 2 3 2 2 2 2 2" xfId="9563" xr:uid="{EC96A785-EAEA-43CC-BF35-077569EC7A09}"/>
    <cellStyle name="Normal 10 2 3 2 2 2 3" xfId="7065" xr:uid="{6AF7FF45-62A3-4338-AB39-EF26F0BDB4C4}"/>
    <cellStyle name="Normal 10 2 3 2 2 3" xfId="3318" xr:uid="{89C28C0C-400A-4D68-BFC6-293827A430B3}"/>
    <cellStyle name="Normal 10 2 3 2 2 3 2" xfId="8314" xr:uid="{704B372E-4CCD-432D-8555-36821D742D66}"/>
    <cellStyle name="Normal 10 2 3 2 2 4" xfId="5816" xr:uid="{DAF41CBA-386A-4D56-AE86-98DFCAED2193}"/>
    <cellStyle name="Normal 10 2 3 2 3" xfId="1131" xr:uid="{DE49DF5D-1457-41C8-BC64-13BFC2FFE439}"/>
    <cellStyle name="Normal 10 2 3 2 3 2" xfId="2381" xr:uid="{37A86E26-0ED6-4EC4-BB44-05E65629EF49}"/>
    <cellStyle name="Normal 10 2 3 2 3 2 2" xfId="4879" xr:uid="{B5562A7E-8A59-4010-874B-549840C4DED0}"/>
    <cellStyle name="Normal 10 2 3 2 3 2 2 2" xfId="9875" xr:uid="{9F956666-4D46-4974-9E5F-AB07E9C7F3FF}"/>
    <cellStyle name="Normal 10 2 3 2 3 2 3" xfId="7377" xr:uid="{6F00B495-EAB8-44C2-86D7-4930C75D615A}"/>
    <cellStyle name="Normal 10 2 3 2 3 3" xfId="3630" xr:uid="{5CB06B54-A2FB-4DD3-93B8-900F48A07152}"/>
    <cellStyle name="Normal 10 2 3 2 3 3 2" xfId="8626" xr:uid="{E19E53C0-6EBD-46BC-9476-D2028E00512D}"/>
    <cellStyle name="Normal 10 2 3 2 3 4" xfId="6128" xr:uid="{47804844-5D23-4A84-BEC8-9128EAEDB031}"/>
    <cellStyle name="Normal 10 2 3 2 4" xfId="1493" xr:uid="{0B7F0F0E-C5EF-4F29-92D8-3D1715E2F62D}"/>
    <cellStyle name="Normal 10 2 3 2 4 2" xfId="2743" xr:uid="{321AE6F4-B5FA-4338-AFF6-EE366A2AEE26}"/>
    <cellStyle name="Normal 10 2 3 2 4 2 2" xfId="5241" xr:uid="{C45C60CA-114F-449C-8628-446FE329B401}"/>
    <cellStyle name="Normal 10 2 3 2 4 2 2 2" xfId="10237" xr:uid="{98D20193-DD43-45D6-B31C-73574CC4F685}"/>
    <cellStyle name="Normal 10 2 3 2 4 2 3" xfId="7739" xr:uid="{99FC96AD-B9AB-4757-9AC9-820A22CBA296}"/>
    <cellStyle name="Normal 10 2 3 2 4 3" xfId="3992" xr:uid="{BF0A6563-F4E6-4CAC-A299-0AE1E33A5566}"/>
    <cellStyle name="Normal 10 2 3 2 4 3 2" xfId="8988" xr:uid="{6EBB8105-E177-4E3C-95EA-99AFA9431568}"/>
    <cellStyle name="Normal 10 2 3 2 4 4" xfId="6490" xr:uid="{11E83EA7-A2AE-47D5-9DB3-098AE45734CC}"/>
    <cellStyle name="Normal 10 2 3 2 5" xfId="1824" xr:uid="{90950450-9E96-4316-93F2-DA78F47AA3AC}"/>
    <cellStyle name="Normal 10 2 3 2 5 2" xfId="4322" xr:uid="{B2AF21B1-B85C-46AC-BC56-E05FD0C13729}"/>
    <cellStyle name="Normal 10 2 3 2 5 2 2" xfId="9318" xr:uid="{E7BE29A5-7230-4B8F-BC8A-A2B1572E9BB8}"/>
    <cellStyle name="Normal 10 2 3 2 5 3" xfId="6820" xr:uid="{65E0FC1D-83AF-46E5-A2F3-F108C1BF70CF}"/>
    <cellStyle name="Normal 10 2 3 2 6" xfId="3073" xr:uid="{AE3FFEAF-F582-490A-A664-F3D923CC9195}"/>
    <cellStyle name="Normal 10 2 3 2 6 2" xfId="8069" xr:uid="{E83335DE-7BB8-43AA-8F75-743EDF5AB1CE}"/>
    <cellStyle name="Normal 10 2 3 2 7" xfId="5571" xr:uid="{B99123F2-EE04-457A-A5B7-8C52719304AE}"/>
    <cellStyle name="Normal 10 2 3 2 8" xfId="573" xr:uid="{2F4B5D71-93AC-456B-B217-3624D6758170}"/>
    <cellStyle name="Normal 10 2 3 3" xfId="744" xr:uid="{AEF17CE6-A4CD-4342-B083-DC3F49E7D40D}"/>
    <cellStyle name="Normal 10 2 3 3 2" xfId="1995" xr:uid="{3E65DE61-E48C-4DDE-9CED-B90AB0E85DB3}"/>
    <cellStyle name="Normal 10 2 3 3 2 2" xfId="4493" xr:uid="{737E9F17-1183-47BB-AC53-0078172D78C8}"/>
    <cellStyle name="Normal 10 2 3 3 2 2 2" xfId="9489" xr:uid="{3FF88798-B9B9-4092-8843-81E09A00847F}"/>
    <cellStyle name="Normal 10 2 3 3 2 3" xfId="6991" xr:uid="{1EB6BD2B-C808-45F6-9937-7AADE5BB14B3}"/>
    <cellStyle name="Normal 10 2 3 3 3" xfId="3244" xr:uid="{DAC280D9-F2B4-4427-B0E4-C50A93FAEBBC}"/>
    <cellStyle name="Normal 10 2 3 3 3 2" xfId="8240" xr:uid="{E7222430-8829-4458-B68F-0EAA04D8FFFB}"/>
    <cellStyle name="Normal 10 2 3 3 4" xfId="5742" xr:uid="{FBCDCB83-8C82-4E5B-AF7E-9EAD751F875C}"/>
    <cellStyle name="Normal 10 2 3 4" xfId="1057" xr:uid="{F0C5FECC-5230-422B-91B8-949F6FD03ED9}"/>
    <cellStyle name="Normal 10 2 3 4 2" xfId="2307" xr:uid="{3C67F320-62B5-4B44-8167-D483E61303BD}"/>
    <cellStyle name="Normal 10 2 3 4 2 2" xfId="4805" xr:uid="{87AF2070-542E-4B53-955D-232B8CCF1244}"/>
    <cellStyle name="Normal 10 2 3 4 2 2 2" xfId="9801" xr:uid="{FDC24155-FB29-4C50-A4D8-68FEF580498A}"/>
    <cellStyle name="Normal 10 2 3 4 2 3" xfId="7303" xr:uid="{6158590D-0F05-49C4-BE55-3AA0D170DF75}"/>
    <cellStyle name="Normal 10 2 3 4 3" xfId="3556" xr:uid="{4488BC8F-F8B0-4A6A-A89C-5B746C924AD9}"/>
    <cellStyle name="Normal 10 2 3 4 3 2" xfId="8552" xr:uid="{1D677C74-DA79-446F-8570-D774D8354745}"/>
    <cellStyle name="Normal 10 2 3 4 4" xfId="6054" xr:uid="{F46424ED-D244-411C-AA49-55A51E164470}"/>
    <cellStyle name="Normal 10 2 3 5" xfId="1396" xr:uid="{4AB394BC-282C-40B0-AF7D-4DACC9E28261}"/>
    <cellStyle name="Normal 10 2 3 5 2" xfId="2646" xr:uid="{630EA786-EB55-4123-8C66-BC1727E527C5}"/>
    <cellStyle name="Normal 10 2 3 5 2 2" xfId="5144" xr:uid="{E16A9CF7-CD6C-4986-9B5A-8D2924737669}"/>
    <cellStyle name="Normal 10 2 3 5 2 2 2" xfId="10140" xr:uid="{643ADEC3-0A68-4E97-8582-B897890F5C0D}"/>
    <cellStyle name="Normal 10 2 3 5 2 3" xfId="7642" xr:uid="{437DCCAC-ABB2-4FF4-9DCF-E422872DDAFC}"/>
    <cellStyle name="Normal 10 2 3 5 3" xfId="3895" xr:uid="{EAE774B8-5F2C-4B12-BF4E-19F129701D4D}"/>
    <cellStyle name="Normal 10 2 3 5 3 2" xfId="8891" xr:uid="{AFC7C9DD-A8BA-4293-B4DE-972739F86709}"/>
    <cellStyle name="Normal 10 2 3 5 4" xfId="6393" xr:uid="{DFF328E4-53FA-4182-8959-64D2DE1FFBFC}"/>
    <cellStyle name="Normal 10 2 3 6" xfId="1727" xr:uid="{BE753D7D-B899-4526-88B1-1273019DED97}"/>
    <cellStyle name="Normal 10 2 3 6 2" xfId="4225" xr:uid="{57A747BE-3F23-4F0C-97DD-0BFA441A2C6B}"/>
    <cellStyle name="Normal 10 2 3 6 2 2" xfId="9221" xr:uid="{0A547470-2C03-4FDE-8AB0-3A779FCCCC4A}"/>
    <cellStyle name="Normal 10 2 3 6 3" xfId="6723" xr:uid="{B5188917-872A-484F-B4A0-002CF5D15B0B}"/>
    <cellStyle name="Normal 10 2 3 7" xfId="2976" xr:uid="{B1EF6DB0-56D9-4C7E-B69E-3722E388C02A}"/>
    <cellStyle name="Normal 10 2 3 7 2" xfId="7972" xr:uid="{9F75495A-6237-4778-9529-9447E85154BA}"/>
    <cellStyle name="Normal 10 2 3 8" xfId="5474" xr:uid="{D57E3381-962A-4FD8-B4D7-5C0BB62D66C4}"/>
    <cellStyle name="Normal 10 2 3 9" xfId="476" xr:uid="{1BDCDDE8-977B-47C2-AE8A-BA76476DDABB}"/>
    <cellStyle name="Normal 10 2 4" xfId="199" xr:uid="{0648E18D-4E6C-4BF0-A52C-94F22026D0DB}"/>
    <cellStyle name="Normal 10 2 4 2" xfId="200" xr:uid="{D32B8931-FD99-4C67-8A0E-5CB60E29DFAD}"/>
    <cellStyle name="Normal 10 2 4 2 2" xfId="820" xr:uid="{A7C72FD1-F8A4-4EC0-856D-89788C8EE2BD}"/>
    <cellStyle name="Normal 10 2 4 2 2 2" xfId="2071" xr:uid="{5CF290EA-9F32-477F-85E0-67C88C72A6D1}"/>
    <cellStyle name="Normal 10 2 4 2 2 2 2" xfId="4569" xr:uid="{AFB90B16-F1DC-4BE2-BF46-46357DF71B59}"/>
    <cellStyle name="Normal 10 2 4 2 2 2 2 2" xfId="9565" xr:uid="{7D3CA4E8-5972-4671-A7A0-D1FA720A2F7F}"/>
    <cellStyle name="Normal 10 2 4 2 2 2 3" xfId="7067" xr:uid="{6CEE8A22-B647-4445-94B3-558A9F5FE5C9}"/>
    <cellStyle name="Normal 10 2 4 2 2 3" xfId="3320" xr:uid="{24D41AC6-8BB8-44BE-BE83-D6BDA9AE473A}"/>
    <cellStyle name="Normal 10 2 4 2 2 3 2" xfId="8316" xr:uid="{E91183E8-3341-4A16-BF3D-6AC1B98889A6}"/>
    <cellStyle name="Normal 10 2 4 2 2 4" xfId="5818" xr:uid="{57B0F4FD-BABE-4992-8ECC-C7ECD137C4C5}"/>
    <cellStyle name="Normal 10 2 4 2 3" xfId="1133" xr:uid="{26638585-F2F2-479D-8335-548BB0E25E95}"/>
    <cellStyle name="Normal 10 2 4 2 3 2" xfId="2383" xr:uid="{9DC114AB-E1F7-4D1E-9836-047DA3574184}"/>
    <cellStyle name="Normal 10 2 4 2 3 2 2" xfId="4881" xr:uid="{70A609D5-8B6A-498A-AB54-C67D7CF44A08}"/>
    <cellStyle name="Normal 10 2 4 2 3 2 2 2" xfId="9877" xr:uid="{8D0E6310-BD09-4E47-A257-1C03901A5202}"/>
    <cellStyle name="Normal 10 2 4 2 3 2 3" xfId="7379" xr:uid="{D11400BB-8521-4C6A-8A53-15F7FBDD7648}"/>
    <cellStyle name="Normal 10 2 4 2 3 3" xfId="3632" xr:uid="{4013BE4E-B718-46D8-8218-B1EBDE7C0DC0}"/>
    <cellStyle name="Normal 10 2 4 2 3 3 2" xfId="8628" xr:uid="{024E679E-DD21-4920-B300-0EF818F0D2D1}"/>
    <cellStyle name="Normal 10 2 4 2 3 4" xfId="6130" xr:uid="{5FFAEC3A-B07A-4ECA-88A5-5EC674C2487A}"/>
    <cellStyle name="Normal 10 2 4 2 4" xfId="1494" xr:uid="{D2A79D06-E722-4BEC-AEAB-AC6BC2F5CAEE}"/>
    <cellStyle name="Normal 10 2 4 2 4 2" xfId="2744" xr:uid="{E96E9EA3-C4C2-4E36-93F6-97FCEDBFEE2C}"/>
    <cellStyle name="Normal 10 2 4 2 4 2 2" xfId="5242" xr:uid="{EC1DED03-1910-408A-BBE5-640D9E4F9E06}"/>
    <cellStyle name="Normal 10 2 4 2 4 2 2 2" xfId="10238" xr:uid="{A46823E0-8239-4E32-A811-0B8B8B368186}"/>
    <cellStyle name="Normal 10 2 4 2 4 2 3" xfId="7740" xr:uid="{1EFF887C-93B2-4BCB-BF68-258FC9015E11}"/>
    <cellStyle name="Normal 10 2 4 2 4 3" xfId="3993" xr:uid="{4DB9A302-FE41-4B85-9DDC-A6AA5B22407B}"/>
    <cellStyle name="Normal 10 2 4 2 4 3 2" xfId="8989" xr:uid="{F07DCBB0-0E7A-4753-BAD2-5B41F340B588}"/>
    <cellStyle name="Normal 10 2 4 2 4 4" xfId="6491" xr:uid="{C37DD0C8-CE9F-4F7D-87F0-CF78590D725B}"/>
    <cellStyle name="Normal 10 2 4 2 5" xfId="1825" xr:uid="{61348B47-2BB7-479A-872C-1854F92763DA}"/>
    <cellStyle name="Normal 10 2 4 2 5 2" xfId="4323" xr:uid="{AEBBD3E3-AEAD-43E3-B5B6-254D149505E5}"/>
    <cellStyle name="Normal 10 2 4 2 5 2 2" xfId="9319" xr:uid="{4282B38E-F2C0-477E-ABF1-5D3AC5568569}"/>
    <cellStyle name="Normal 10 2 4 2 5 3" xfId="6821" xr:uid="{ED68FDCF-3F45-48DC-82CB-FEFF7014CD5E}"/>
    <cellStyle name="Normal 10 2 4 2 6" xfId="3074" xr:uid="{89EE86B7-E403-4625-B608-9ED898D13C77}"/>
    <cellStyle name="Normal 10 2 4 2 6 2" xfId="8070" xr:uid="{C03CE167-8FBC-4025-A8B6-2EE9FE651932}"/>
    <cellStyle name="Normal 10 2 4 2 7" xfId="5572" xr:uid="{B5B59F84-B724-4151-B8F4-3893664562EF}"/>
    <cellStyle name="Normal 10 2 4 2 8" xfId="574" xr:uid="{D7D2BC99-C914-4C96-899A-2FC10A3D7B19}"/>
    <cellStyle name="Normal 10 2 4 3" xfId="819" xr:uid="{20517F48-6564-4D34-8622-BAA03598421B}"/>
    <cellStyle name="Normal 10 2 4 3 2" xfId="2070" xr:uid="{F52D2BF0-8CD6-4592-9462-54EE1AD53432}"/>
    <cellStyle name="Normal 10 2 4 3 2 2" xfId="4568" xr:uid="{96EB7B07-9AFD-4391-A9AB-3F47F02A7522}"/>
    <cellStyle name="Normal 10 2 4 3 2 2 2" xfId="9564" xr:uid="{3B433BA5-D86C-4ED9-8830-D0BAD4AD3A70}"/>
    <cellStyle name="Normal 10 2 4 3 2 3" xfId="7066" xr:uid="{55FB5B8C-511C-4154-AFE9-7EF7F8D7A518}"/>
    <cellStyle name="Normal 10 2 4 3 3" xfId="3319" xr:uid="{A4A44824-B998-48F4-8127-BA77A566CC06}"/>
    <cellStyle name="Normal 10 2 4 3 3 2" xfId="8315" xr:uid="{BEED7FD1-841D-4509-AA9F-0EC17725613B}"/>
    <cellStyle name="Normal 10 2 4 3 4" xfId="5817" xr:uid="{97F9AD91-2BE7-4E65-B826-847E79EF0416}"/>
    <cellStyle name="Normal 10 2 4 4" xfId="1132" xr:uid="{00A0292E-617C-4722-8644-74CC94B746DF}"/>
    <cellStyle name="Normal 10 2 4 4 2" xfId="2382" xr:uid="{8EC6D5E0-849C-4EC6-A015-F604D734568B}"/>
    <cellStyle name="Normal 10 2 4 4 2 2" xfId="4880" xr:uid="{E7C68526-8F1E-4064-889D-581C5962B994}"/>
    <cellStyle name="Normal 10 2 4 4 2 2 2" xfId="9876" xr:uid="{4ED5317B-3984-4770-A1B9-06D2F178A5F3}"/>
    <cellStyle name="Normal 10 2 4 4 2 3" xfId="7378" xr:uid="{2DE35CB9-B745-48C5-BD07-B566E2DBE084}"/>
    <cellStyle name="Normal 10 2 4 4 3" xfId="3631" xr:uid="{893FBC68-8387-46B0-81C7-36AC93AD5AC9}"/>
    <cellStyle name="Normal 10 2 4 4 3 2" xfId="8627" xr:uid="{393EE55A-C969-4A50-9B41-1460E274D91B}"/>
    <cellStyle name="Normal 10 2 4 4 4" xfId="6129" xr:uid="{EC5614DA-09CB-487F-BC17-C78FCF9FB901}"/>
    <cellStyle name="Normal 10 2 4 5" xfId="1394" xr:uid="{28206DC7-6BC5-47C9-973F-7B57DB6A0FF7}"/>
    <cellStyle name="Normal 10 2 4 5 2" xfId="2644" xr:uid="{5E74508F-5935-44DA-9950-618496AB2022}"/>
    <cellStyle name="Normal 10 2 4 5 2 2" xfId="5142" xr:uid="{3FE424BD-BC5C-47AF-A5E3-E86E1A4C4F56}"/>
    <cellStyle name="Normal 10 2 4 5 2 2 2" xfId="10138" xr:uid="{DBC1B462-8053-42B7-9711-128DEC307B70}"/>
    <cellStyle name="Normal 10 2 4 5 2 3" xfId="7640" xr:uid="{6551AF3C-3652-4FBF-88A6-BC42C4F91675}"/>
    <cellStyle name="Normal 10 2 4 5 3" xfId="3893" xr:uid="{81BDF377-4746-44D9-8837-11481F42D957}"/>
    <cellStyle name="Normal 10 2 4 5 3 2" xfId="8889" xr:uid="{A91666BE-EC07-4102-86BA-53011047446C}"/>
    <cellStyle name="Normal 10 2 4 5 4" xfId="6391" xr:uid="{5CAAD9B1-410B-441E-A02E-6EAAB7C9E539}"/>
    <cellStyle name="Normal 10 2 4 6" xfId="1725" xr:uid="{B04BD406-4ABA-4648-B55F-EA7773912863}"/>
    <cellStyle name="Normal 10 2 4 6 2" xfId="4223" xr:uid="{9EE30469-C10D-4432-8BD4-2E3E441B0F4A}"/>
    <cellStyle name="Normal 10 2 4 6 2 2" xfId="9219" xr:uid="{92922B8C-B3BE-49CD-8393-2EC962D8B7FA}"/>
    <cellStyle name="Normal 10 2 4 6 3" xfId="6721" xr:uid="{7DBFB03A-E088-47A0-B6DC-A2F52FEBE340}"/>
    <cellStyle name="Normal 10 2 4 7" xfId="2974" xr:uid="{B1BAA53F-CB51-4E6A-A838-F424978CB14C}"/>
    <cellStyle name="Normal 10 2 4 7 2" xfId="7970" xr:uid="{8301F896-276B-4F87-9828-D0F8CAC377BA}"/>
    <cellStyle name="Normal 10 2 4 8" xfId="5472" xr:uid="{8E8BED96-B232-4F8C-B6D3-03AE29F55EF7}"/>
    <cellStyle name="Normal 10 2 4 9" xfId="474" xr:uid="{DC3D650E-25DE-4756-9A67-488BC701932C}"/>
    <cellStyle name="Normal 10 2 5" xfId="201" xr:uid="{4EE53D09-D2F7-4DB4-8EB1-5B75BB9A99C3}"/>
    <cellStyle name="Normal 10 2 5 2" xfId="821" xr:uid="{1BAD17D0-A5CA-4514-B630-1E6CB5E53199}"/>
    <cellStyle name="Normal 10 2 5 2 2" xfId="2072" xr:uid="{9BFD613C-B13B-44F5-B0D2-D9C85D349AC9}"/>
    <cellStyle name="Normal 10 2 5 2 2 2" xfId="4570" xr:uid="{EE780602-09DB-4F0B-8BA6-C4C6972F3DF4}"/>
    <cellStyle name="Normal 10 2 5 2 2 2 2" xfId="9566" xr:uid="{C7A7AAAD-89BF-4C81-9B3F-3F06346D650C}"/>
    <cellStyle name="Normal 10 2 5 2 2 3" xfId="7068" xr:uid="{F33F1567-5B06-463E-B752-6F07A2E436A5}"/>
    <cellStyle name="Normal 10 2 5 2 3" xfId="3321" xr:uid="{62E82E2F-67C3-455E-9F47-E4CA9C865001}"/>
    <cellStyle name="Normal 10 2 5 2 3 2" xfId="8317" xr:uid="{02CF08C7-4736-422F-9C67-9506D50768E4}"/>
    <cellStyle name="Normal 10 2 5 2 4" xfId="5819" xr:uid="{A0E88C8A-0DCD-4815-9F12-AA37A94FCDCA}"/>
    <cellStyle name="Normal 10 2 5 3" xfId="1134" xr:uid="{6681F44B-A8C8-49EF-A432-9C77196A0E16}"/>
    <cellStyle name="Normal 10 2 5 3 2" xfId="2384" xr:uid="{B276C58A-CF94-45C5-9602-8DB04CD08332}"/>
    <cellStyle name="Normal 10 2 5 3 2 2" xfId="4882" xr:uid="{C440CF4A-86B5-4D1C-9B95-74E53C23A927}"/>
    <cellStyle name="Normal 10 2 5 3 2 2 2" xfId="9878" xr:uid="{DC9E76D5-A210-4A9B-B3E4-B80B898EBEF5}"/>
    <cellStyle name="Normal 10 2 5 3 2 3" xfId="7380" xr:uid="{883B3632-A290-4449-A016-D61A5C894AAE}"/>
    <cellStyle name="Normal 10 2 5 3 3" xfId="3633" xr:uid="{883277AD-9642-468C-9DE3-E1D7802C42C4}"/>
    <cellStyle name="Normal 10 2 5 3 3 2" xfId="8629" xr:uid="{469FAB2D-52B9-4D2C-97CB-E4D57E0F287E}"/>
    <cellStyle name="Normal 10 2 5 3 4" xfId="6131" xr:uid="{A9D64B71-0636-4199-8302-51B5F6D55E9E}"/>
    <cellStyle name="Normal 10 2 5 4" xfId="1491" xr:uid="{F47495E1-D906-47A7-AA33-90F4EBDFB4DB}"/>
    <cellStyle name="Normal 10 2 5 4 2" xfId="2741" xr:uid="{577262DC-C084-4805-BD82-835072F0E40A}"/>
    <cellStyle name="Normal 10 2 5 4 2 2" xfId="5239" xr:uid="{A636E275-854D-46A5-997F-EC37AFE8A171}"/>
    <cellStyle name="Normal 10 2 5 4 2 2 2" xfId="10235" xr:uid="{D7A16E1D-7E6D-41FA-8CC6-7A16BF9E2915}"/>
    <cellStyle name="Normal 10 2 5 4 2 3" xfId="7737" xr:uid="{160E166E-0E46-4ED4-8E4C-4B5165C596B6}"/>
    <cellStyle name="Normal 10 2 5 4 3" xfId="3990" xr:uid="{B0124634-BBDC-48B9-9BF9-BB4095B5362B}"/>
    <cellStyle name="Normal 10 2 5 4 3 2" xfId="8986" xr:uid="{542DC792-7D1E-4E52-A1F6-B28731F54F3D}"/>
    <cellStyle name="Normal 10 2 5 4 4" xfId="6488" xr:uid="{902FECC8-4D0E-4D6D-947D-954334B77EA5}"/>
    <cellStyle name="Normal 10 2 5 5" xfId="1822" xr:uid="{3AF5C293-AFE2-45A5-9891-E9B82EDE24D9}"/>
    <cellStyle name="Normal 10 2 5 5 2" xfId="4320" xr:uid="{9525CFE4-38D6-455F-99B8-EA1B98ABAD27}"/>
    <cellStyle name="Normal 10 2 5 5 2 2" xfId="9316" xr:uid="{01CB70A4-52EC-4CD3-8324-D31A9E1FCF9B}"/>
    <cellStyle name="Normal 10 2 5 5 3" xfId="6818" xr:uid="{2F5805B4-9AF5-42D8-8810-D75D05FD0A70}"/>
    <cellStyle name="Normal 10 2 5 6" xfId="3071" xr:uid="{2A356AA7-2E98-4619-BFE9-0E73AC0FC145}"/>
    <cellStyle name="Normal 10 2 5 6 2" xfId="8067" xr:uid="{A031444E-0FCD-40B4-A84D-A269FAEC8112}"/>
    <cellStyle name="Normal 10 2 5 7" xfId="5569" xr:uid="{AF8649D7-1009-4A49-8FC8-E3E6EAEE63FE}"/>
    <cellStyle name="Normal 10 2 5 8" xfId="571" xr:uid="{1818BF62-B206-40A0-9173-043D36F2B5FD}"/>
    <cellStyle name="Normal 10 2 6" xfId="367" xr:uid="{18B6CBAE-60E7-4C3F-A4A5-00749924D5D7}"/>
    <cellStyle name="Normal 10 2 6 2" xfId="1288" xr:uid="{B45B6DDA-A828-4F15-A794-630101435768}"/>
    <cellStyle name="Normal 10 2 6 2 2" xfId="2538" xr:uid="{B70A2F04-805A-45C7-BB85-6C0A2527924B}"/>
    <cellStyle name="Normal 10 2 6 2 2 2" xfId="5036" xr:uid="{62E76F54-11A7-4CB6-84C3-048769201ED0}"/>
    <cellStyle name="Normal 10 2 6 2 2 2 2" xfId="10032" xr:uid="{3F7DA1A0-B93C-4105-B7D0-CF95E4AF1E41}"/>
    <cellStyle name="Normal 10 2 6 2 2 3" xfId="7534" xr:uid="{9E95758C-9886-4473-9E0E-B4F04672EDDA}"/>
    <cellStyle name="Normal 10 2 6 2 3" xfId="3787" xr:uid="{7DCEDF04-C931-40D3-B955-CF3FD0D4B1F6}"/>
    <cellStyle name="Normal 10 2 6 2 3 2" xfId="8783" xr:uid="{E21E05F0-C058-4554-81D4-A6F791204477}"/>
    <cellStyle name="Normal 10 2 6 2 4" xfId="6285" xr:uid="{F43F1AE4-F7E6-4BAD-90E0-F1FCACF669F5}"/>
    <cellStyle name="Normal 10 2 6 3" xfId="2226" xr:uid="{0FF3F1E0-A2E7-40FD-98DF-6378FF432E48}"/>
    <cellStyle name="Normal 10 2 6 3 2" xfId="4724" xr:uid="{8830B46C-959B-43F7-82CB-29E09FEB916A}"/>
    <cellStyle name="Normal 10 2 6 3 2 2" xfId="9720" xr:uid="{C6BF3AF6-51AE-4942-B5C6-732122742651}"/>
    <cellStyle name="Normal 10 2 6 3 3" xfId="7222" xr:uid="{BDE03929-9A1D-47E8-BDB3-9E3189A850F3}"/>
    <cellStyle name="Normal 10 2 6 4" xfId="3475" xr:uid="{3CD2BE86-8C28-4065-BCFC-D9189D59E280}"/>
    <cellStyle name="Normal 10 2 6 4 2" xfId="8471" xr:uid="{2DD044D2-3467-4739-8B8A-BDDAB113CCD2}"/>
    <cellStyle name="Normal 10 2 6 5" xfId="5973" xr:uid="{99C8B11E-E890-477A-857B-64D07BA719AF}"/>
    <cellStyle name="Normal 10 2 6 6" xfId="976" xr:uid="{C55753A3-662D-4E42-B184-8A688ED18A31}"/>
    <cellStyle name="Normal 10 2 7" xfId="695" xr:uid="{54E08EDD-FFE8-4F37-8D3D-91B83B967A44}"/>
    <cellStyle name="Normal 10 2 7 2" xfId="1946" xr:uid="{F97C2F5B-B69B-462D-BA53-5B4F52AE6C7D}"/>
    <cellStyle name="Normal 10 2 7 2 2" xfId="4444" xr:uid="{3929323B-0D4D-414E-828D-B7709841A396}"/>
    <cellStyle name="Normal 10 2 7 2 2 2" xfId="9440" xr:uid="{BE5D49FF-2D1B-4634-BB43-BE4FD2E304FF}"/>
    <cellStyle name="Normal 10 2 7 2 3" xfId="6942" xr:uid="{707F9687-4FC3-4942-B799-4F6742F0A070}"/>
    <cellStyle name="Normal 10 2 7 3" xfId="3195" xr:uid="{0E00DFAF-DB6F-4511-90EC-8ADA424D7847}"/>
    <cellStyle name="Normal 10 2 7 3 2" xfId="8191" xr:uid="{7B87DEA0-FFE6-4EC9-B749-8EA820B0E2FD}"/>
    <cellStyle name="Normal 10 2 7 4" xfId="5693" xr:uid="{FAF793CB-4690-4B1A-A153-F7395F0F5EBA}"/>
    <cellStyle name="Normal 10 2 8" xfId="1008" xr:uid="{E29B01C2-A474-4B77-98F7-EEADDCFED92B}"/>
    <cellStyle name="Normal 10 2 8 2" xfId="2258" xr:uid="{F21818D7-2580-40A2-B71F-A623E79E4212}"/>
    <cellStyle name="Normal 10 2 8 2 2" xfId="4756" xr:uid="{20DBC619-0DE1-43F4-A057-13648168B8BB}"/>
    <cellStyle name="Normal 10 2 8 2 2 2" xfId="9752" xr:uid="{7A6827FD-2144-418E-9680-58B844522174}"/>
    <cellStyle name="Normal 10 2 8 2 3" xfId="7254" xr:uid="{123F8567-8FEA-4F02-98B6-BDF4D7EFF440}"/>
    <cellStyle name="Normal 10 2 8 3" xfId="3507" xr:uid="{7669EDF2-2B32-44C9-8A1A-86871467E69F}"/>
    <cellStyle name="Normal 10 2 8 3 2" xfId="8503" xr:uid="{C59A8F01-E56F-46C0-B3F4-BDA4DCFBD59D}"/>
    <cellStyle name="Normal 10 2 8 4" xfId="6005" xr:uid="{5A03AA77-1E01-48C5-9924-F8A3ECE181E7}"/>
    <cellStyle name="Normal 10 2 9" xfId="1326" xr:uid="{952AFE9A-C10C-4FA2-A585-E02AFDD1C016}"/>
    <cellStyle name="Normal 10 2 9 2" xfId="2576" xr:uid="{A7C43BAF-271F-41D6-82B5-7422B2BF2DFC}"/>
    <cellStyle name="Normal 10 2 9 2 2" xfId="5074" xr:uid="{F3598E4D-F115-4E6E-A108-DA2F3A12BB38}"/>
    <cellStyle name="Normal 10 2 9 2 2 2" xfId="10070" xr:uid="{B50DFEFC-E3DA-4181-B24D-EE2C49831CFC}"/>
    <cellStyle name="Normal 10 2 9 2 3" xfId="7572" xr:uid="{295A85C9-8F46-49D5-9DFA-C37109D94FE2}"/>
    <cellStyle name="Normal 10 2 9 3" xfId="3825" xr:uid="{F47DADDD-1CB2-4D62-95B2-7E3B0F1704A8}"/>
    <cellStyle name="Normal 10 2 9 3 2" xfId="8821" xr:uid="{3BACED37-340B-46C8-A164-155BA794404D}"/>
    <cellStyle name="Normal 10 2 9 4" xfId="6323" xr:uid="{E20F3DCA-9C17-4EF2-81BC-E31FC97C73C3}"/>
    <cellStyle name="Normal 10 3" xfId="40" xr:uid="{5F7CB04F-1BE8-4753-9EA4-0ECFAD21EF13}"/>
    <cellStyle name="Normal 10 3 10" xfId="1661" xr:uid="{5DB74EA5-42A9-49DE-9125-10C22BBA7894}"/>
    <cellStyle name="Normal 10 3 10 2" xfId="4159" xr:uid="{56EC5791-624B-468C-BD36-CE98BFC71951}"/>
    <cellStyle name="Normal 10 3 10 2 2" xfId="9155" xr:uid="{3FCE3D64-C793-49B2-BEE7-76A50AF4A93D}"/>
    <cellStyle name="Normal 10 3 10 3" xfId="6657" xr:uid="{4029ACBC-85DF-42EF-AAB7-7946CC97963C}"/>
    <cellStyle name="Normal 10 3 11" xfId="2910" xr:uid="{6303348F-E35A-480C-9C8C-FC8FF990B874}"/>
    <cellStyle name="Normal 10 3 11 2" xfId="7906" xr:uid="{5013AF7D-2908-4FD8-A8F2-B9FF6AA8C9F0}"/>
    <cellStyle name="Normal 10 3 12" xfId="5408" xr:uid="{7527A096-C3BB-443F-8E45-2E8484E1C8E4}"/>
    <cellStyle name="Normal 10 3 13" xfId="410" xr:uid="{C7735403-7BD7-43E9-BF6C-7FC658B4FC26}"/>
    <cellStyle name="Normal 10 3 2" xfId="67" xr:uid="{042580D0-1159-4758-9163-ECCD4BA9851A}"/>
    <cellStyle name="Normal 10 3 2 2" xfId="202" xr:uid="{70E32517-9CB6-4540-A506-0FCD54745850}"/>
    <cellStyle name="Normal 10 3 2 2 2" xfId="822" xr:uid="{1F3611BA-84C0-4262-969E-B767D27F0299}"/>
    <cellStyle name="Normal 10 3 2 2 2 2" xfId="2073" xr:uid="{2CA2DD6D-3FED-4CCD-928F-41910FA533B5}"/>
    <cellStyle name="Normal 10 3 2 2 2 2 2" xfId="4571" xr:uid="{B9D060B1-2D7E-409D-9893-C7E0EE4AE237}"/>
    <cellStyle name="Normal 10 3 2 2 2 2 2 2" xfId="9567" xr:uid="{EAD1871A-6523-43A3-8BAF-CAE210FB7D22}"/>
    <cellStyle name="Normal 10 3 2 2 2 2 3" xfId="7069" xr:uid="{E08CD0B4-781C-4865-8541-EA7ED80D2DF1}"/>
    <cellStyle name="Normal 10 3 2 2 2 3" xfId="3322" xr:uid="{53830137-3D8A-4A29-B0F1-A4BD16BF1F58}"/>
    <cellStyle name="Normal 10 3 2 2 2 3 2" xfId="8318" xr:uid="{2446102C-BCD1-4B87-915F-7892DDA530A0}"/>
    <cellStyle name="Normal 10 3 2 2 2 4" xfId="5820" xr:uid="{679128BB-FA25-43EB-A8A9-AAC4FA6ECB5C}"/>
    <cellStyle name="Normal 10 3 2 2 3" xfId="1135" xr:uid="{DE55C1CC-BBB0-412F-B5B9-33A74B951278}"/>
    <cellStyle name="Normal 10 3 2 2 3 2" xfId="2385" xr:uid="{5F813415-9824-4641-8E59-E338299788ED}"/>
    <cellStyle name="Normal 10 3 2 2 3 2 2" xfId="4883" xr:uid="{C385D5F2-13F7-4862-B901-7A480D2E4568}"/>
    <cellStyle name="Normal 10 3 2 2 3 2 2 2" xfId="9879" xr:uid="{3C1596F3-F9DC-483D-A421-7DA2567F296F}"/>
    <cellStyle name="Normal 10 3 2 2 3 2 3" xfId="7381" xr:uid="{AE34D4D3-9724-4F91-89E7-9A5835E8E10A}"/>
    <cellStyle name="Normal 10 3 2 2 3 3" xfId="3634" xr:uid="{E38A1838-C7CC-479C-A1BD-4E5B7139749C}"/>
    <cellStyle name="Normal 10 3 2 2 3 3 2" xfId="8630" xr:uid="{F7FE0307-4327-49A9-93C9-0EF7FBB9BD28}"/>
    <cellStyle name="Normal 10 3 2 2 3 4" xfId="6132" xr:uid="{98BB6E4A-82C7-4CE5-BCFA-97C6BD417851}"/>
    <cellStyle name="Normal 10 3 2 2 4" xfId="1496" xr:uid="{729662B8-05DD-4D99-B632-4B92F53A7165}"/>
    <cellStyle name="Normal 10 3 2 2 4 2" xfId="2746" xr:uid="{45B08761-DED8-4781-A703-B22020FFAD9E}"/>
    <cellStyle name="Normal 10 3 2 2 4 2 2" xfId="5244" xr:uid="{9A725F22-B60E-45D0-AA7B-039327D61869}"/>
    <cellStyle name="Normal 10 3 2 2 4 2 2 2" xfId="10240" xr:uid="{15B11C84-EDDD-49CA-81DA-62D261AF6EB0}"/>
    <cellStyle name="Normal 10 3 2 2 4 2 3" xfId="7742" xr:uid="{BE325671-FC70-4CB9-A51A-62B120FC8F09}"/>
    <cellStyle name="Normal 10 3 2 2 4 3" xfId="3995" xr:uid="{4341ABC1-E00D-4A7D-946A-5BBBC194A4A8}"/>
    <cellStyle name="Normal 10 3 2 2 4 3 2" xfId="8991" xr:uid="{8EBEE300-5EB1-4710-A521-9D4084943C34}"/>
    <cellStyle name="Normal 10 3 2 2 4 4" xfId="6493" xr:uid="{1049E401-D063-4DC4-AD70-390593D65215}"/>
    <cellStyle name="Normal 10 3 2 2 5" xfId="1827" xr:uid="{75D37055-A4A8-46D0-B34A-42DE5F11D00F}"/>
    <cellStyle name="Normal 10 3 2 2 5 2" xfId="4325" xr:uid="{146F3D69-F025-4609-9E13-C5BFBF01478B}"/>
    <cellStyle name="Normal 10 3 2 2 5 2 2" xfId="9321" xr:uid="{073EA9A1-1E2D-4856-8386-291CF1699001}"/>
    <cellStyle name="Normal 10 3 2 2 5 3" xfId="6823" xr:uid="{A245D4A6-5FF2-4A58-B8B4-9DDB9B33E6A6}"/>
    <cellStyle name="Normal 10 3 2 2 6" xfId="3076" xr:uid="{8EF1C6C4-2CEC-49E6-89BC-B8AE5F2FC986}"/>
    <cellStyle name="Normal 10 3 2 2 6 2" xfId="8072" xr:uid="{82B1E129-96E8-48D6-BB26-9B2256575428}"/>
    <cellStyle name="Normal 10 3 2 2 7" xfId="5574" xr:uid="{4DEB1CEE-6302-46C3-AEA3-9DCD3B21A6C2}"/>
    <cellStyle name="Normal 10 3 2 2 8" xfId="576" xr:uid="{E60A8085-74DE-40A3-9DFC-CE8F9EAFC15D}"/>
    <cellStyle name="Normal 10 3 2 3" xfId="721" xr:uid="{9FB1125D-0555-4371-834A-2BCA441693BD}"/>
    <cellStyle name="Normal 10 3 2 3 2" xfId="1972" xr:uid="{82B60826-CE1B-4F10-92DA-D73490AEC172}"/>
    <cellStyle name="Normal 10 3 2 3 2 2" xfId="4470" xr:uid="{06839DED-1575-45A6-94D4-6AF55535DE21}"/>
    <cellStyle name="Normal 10 3 2 3 2 2 2" xfId="9466" xr:uid="{D3516BF8-94B4-4A3B-978E-57E8EA10719C}"/>
    <cellStyle name="Normal 10 3 2 3 2 3" xfId="6968" xr:uid="{D58E025C-0113-476A-9AE0-6AA6B5CFB7EF}"/>
    <cellStyle name="Normal 10 3 2 3 3" xfId="3221" xr:uid="{247FCCD5-2B2E-4359-8D69-C51921D8BE10}"/>
    <cellStyle name="Normal 10 3 2 3 3 2" xfId="8217" xr:uid="{1E38B27E-2E37-4D80-A971-DC4447BB2ED3}"/>
    <cellStyle name="Normal 10 3 2 3 4" xfId="5719" xr:uid="{D13CD4C9-9B71-428C-8618-449C5EB7E0BB}"/>
    <cellStyle name="Normal 10 3 2 4" xfId="1034" xr:uid="{9CED2D09-B625-4B4F-814A-96E1433376A1}"/>
    <cellStyle name="Normal 10 3 2 4 2" xfId="2284" xr:uid="{9C719923-5E5A-4D8D-BF75-38905FF2CB9D}"/>
    <cellStyle name="Normal 10 3 2 4 2 2" xfId="4782" xr:uid="{426C27B1-39B2-4518-8327-82AEB85903B2}"/>
    <cellStyle name="Normal 10 3 2 4 2 2 2" xfId="9778" xr:uid="{FC1F8882-ABB7-4D1B-9F93-0867D332F7DE}"/>
    <cellStyle name="Normal 10 3 2 4 2 3" xfId="7280" xr:uid="{AEDCFB23-2108-4AF2-B25C-34E39C38D196}"/>
    <cellStyle name="Normal 10 3 2 4 3" xfId="3533" xr:uid="{F3B909FC-C733-4A23-9EE4-CB4A4FCD0CEE}"/>
    <cellStyle name="Normal 10 3 2 4 3 2" xfId="8529" xr:uid="{16D0B1E7-F365-4AE3-BF3F-AE28282C20B4}"/>
    <cellStyle name="Normal 10 3 2 4 4" xfId="6031" xr:uid="{38836471-00A7-4E16-BC22-A9CEB91C7B6E}"/>
    <cellStyle name="Normal 10 3 2 5" xfId="1398" xr:uid="{E9CEB4BE-7B69-4123-9E67-F92ED03ACB7C}"/>
    <cellStyle name="Normal 10 3 2 5 2" xfId="2648" xr:uid="{57145418-C32E-4F65-8EB7-5D1C7936FEEA}"/>
    <cellStyle name="Normal 10 3 2 5 2 2" xfId="5146" xr:uid="{F43B8331-6155-4DA5-9B56-15E30B4B187F}"/>
    <cellStyle name="Normal 10 3 2 5 2 2 2" xfId="10142" xr:uid="{28EE9DF0-07A8-493D-A4A8-C07BA8899C17}"/>
    <cellStyle name="Normal 10 3 2 5 2 3" xfId="7644" xr:uid="{0519BD4A-FD14-4DCE-8E00-B8231E900919}"/>
    <cellStyle name="Normal 10 3 2 5 3" xfId="3897" xr:uid="{0310C963-C7E3-4839-859D-155BDFAFE590}"/>
    <cellStyle name="Normal 10 3 2 5 3 2" xfId="8893" xr:uid="{445DC548-71FD-4062-9509-D96211F1142D}"/>
    <cellStyle name="Normal 10 3 2 5 4" xfId="6395" xr:uid="{533671B6-1412-4EB9-AE6D-0730B1711FF8}"/>
    <cellStyle name="Normal 10 3 2 6" xfId="1729" xr:uid="{80D6ADEA-8150-4812-81ED-F1774CBED24D}"/>
    <cellStyle name="Normal 10 3 2 6 2" xfId="4227" xr:uid="{B3955FBD-3478-412D-93F8-DDFE98EC7123}"/>
    <cellStyle name="Normal 10 3 2 6 2 2" xfId="9223" xr:uid="{F028FAF8-021F-42EE-A102-9F7CFD8A28C7}"/>
    <cellStyle name="Normal 10 3 2 6 3" xfId="6725" xr:uid="{2408455D-794F-44C1-904A-3F3D3CEF9209}"/>
    <cellStyle name="Normal 10 3 2 7" xfId="2978" xr:uid="{275E65D4-4AEB-4BC6-A9F8-67A9E8BF6033}"/>
    <cellStyle name="Normal 10 3 2 7 2" xfId="7974" xr:uid="{6B4E1990-1FE8-46FF-B275-4C27B35ACA61}"/>
    <cellStyle name="Normal 10 3 2 8" xfId="5476" xr:uid="{3331C091-0D66-487F-B473-75FC3F86EB84}"/>
    <cellStyle name="Normal 10 3 2 9" xfId="478" xr:uid="{772C3136-3638-497F-B7A2-2675576CFCFA}"/>
    <cellStyle name="Normal 10 3 3" xfId="91" xr:uid="{6964FB52-A349-40BD-9287-799468386E59}"/>
    <cellStyle name="Normal 10 3 3 2" xfId="203" xr:uid="{B218D7B2-C73D-4B05-B77B-C660D93E61A6}"/>
    <cellStyle name="Normal 10 3 3 2 2" xfId="823" xr:uid="{7543C029-1EA7-4879-95CC-7E5D15B92489}"/>
    <cellStyle name="Normal 10 3 3 2 2 2" xfId="2074" xr:uid="{F2763E66-32DC-4BC3-B395-5A83F7DBE09A}"/>
    <cellStyle name="Normal 10 3 3 2 2 2 2" xfId="4572" xr:uid="{55EF027C-1892-4975-A3D4-5EEF77FD499A}"/>
    <cellStyle name="Normal 10 3 3 2 2 2 2 2" xfId="9568" xr:uid="{14C12BBE-2458-4D47-ABC7-9327DFE4FA69}"/>
    <cellStyle name="Normal 10 3 3 2 2 2 3" xfId="7070" xr:uid="{D69D9FF7-4838-48BC-B54D-B69C2CC9AABB}"/>
    <cellStyle name="Normal 10 3 3 2 2 3" xfId="3323" xr:uid="{19E591DB-656C-4573-B796-FC7A5B47ADEA}"/>
    <cellStyle name="Normal 10 3 3 2 2 3 2" xfId="8319" xr:uid="{A0FD2783-3D7C-45A9-ACBA-E7C114E19BE3}"/>
    <cellStyle name="Normal 10 3 3 2 2 4" xfId="5821" xr:uid="{71328422-0DDD-40E6-8DAF-E75B1B35EB47}"/>
    <cellStyle name="Normal 10 3 3 2 3" xfId="1136" xr:uid="{FBD41A29-96F7-424D-B250-61C9A87211F4}"/>
    <cellStyle name="Normal 10 3 3 2 3 2" xfId="2386" xr:uid="{B7301FBE-398C-4523-BC36-F6D664951181}"/>
    <cellStyle name="Normal 10 3 3 2 3 2 2" xfId="4884" xr:uid="{D7056E79-EBA6-4F09-BD12-89DAD7C949AA}"/>
    <cellStyle name="Normal 10 3 3 2 3 2 2 2" xfId="9880" xr:uid="{D0234934-18E7-4E1A-9DFD-A574CB85107A}"/>
    <cellStyle name="Normal 10 3 3 2 3 2 3" xfId="7382" xr:uid="{A63E7846-FA91-4DDA-B7E2-F8A34B77E0BE}"/>
    <cellStyle name="Normal 10 3 3 2 3 3" xfId="3635" xr:uid="{83C301AD-FCE3-4A85-A480-8ED8630F4DD3}"/>
    <cellStyle name="Normal 10 3 3 2 3 3 2" xfId="8631" xr:uid="{4E4617FD-568A-4C1A-8892-D74289E30170}"/>
    <cellStyle name="Normal 10 3 3 2 3 4" xfId="6133" xr:uid="{F9594428-1B12-4BF2-8E73-88949BE671B5}"/>
    <cellStyle name="Normal 10 3 3 2 4" xfId="1497" xr:uid="{640A7A43-55EC-4367-A09C-22F22BE3BED8}"/>
    <cellStyle name="Normal 10 3 3 2 4 2" xfId="2747" xr:uid="{B7749E40-178E-4209-9B4C-7E309B902591}"/>
    <cellStyle name="Normal 10 3 3 2 4 2 2" xfId="5245" xr:uid="{BCD57832-D2E2-4D66-8C77-0B72671BD7EF}"/>
    <cellStyle name="Normal 10 3 3 2 4 2 2 2" xfId="10241" xr:uid="{5B996DEA-D762-4507-87DC-B3FA19200B62}"/>
    <cellStyle name="Normal 10 3 3 2 4 2 3" xfId="7743" xr:uid="{77634316-56AB-4DC3-B983-D17B36AEA76F}"/>
    <cellStyle name="Normal 10 3 3 2 4 3" xfId="3996" xr:uid="{5C9E34AD-FA10-432E-BD53-ACB9F9484F3A}"/>
    <cellStyle name="Normal 10 3 3 2 4 3 2" xfId="8992" xr:uid="{D88CEB44-D915-4F08-AF1C-34720B248E7C}"/>
    <cellStyle name="Normal 10 3 3 2 4 4" xfId="6494" xr:uid="{2056B87E-EBB5-4CDB-B661-536F33E4C3BF}"/>
    <cellStyle name="Normal 10 3 3 2 5" xfId="1828" xr:uid="{624213C6-8DA4-4616-9A53-B992AAD8FE80}"/>
    <cellStyle name="Normal 10 3 3 2 5 2" xfId="4326" xr:uid="{BC8E6270-F8B2-42D9-9203-79280856DA01}"/>
    <cellStyle name="Normal 10 3 3 2 5 2 2" xfId="9322" xr:uid="{F03E43B2-57B9-4D0B-A581-11B69B6A8CB4}"/>
    <cellStyle name="Normal 10 3 3 2 5 3" xfId="6824" xr:uid="{2DF0B838-B6C7-46A5-A5B6-B0C89C295FDE}"/>
    <cellStyle name="Normal 10 3 3 2 6" xfId="3077" xr:uid="{626C5159-AF5F-4500-B00D-F4C9C7D6BE95}"/>
    <cellStyle name="Normal 10 3 3 2 6 2" xfId="8073" xr:uid="{062635D3-C668-40C8-83D8-C2B3FFBF3B3F}"/>
    <cellStyle name="Normal 10 3 3 2 7" xfId="5575" xr:uid="{FCDDF923-CECC-4E5E-9960-6F83569631D4}"/>
    <cellStyle name="Normal 10 3 3 2 8" xfId="577" xr:uid="{E811E953-32A9-44B9-BA5D-4CB9F5113829}"/>
    <cellStyle name="Normal 10 3 3 3" xfId="745" xr:uid="{27C39041-05A0-4B71-BD73-BA4F6289F785}"/>
    <cellStyle name="Normal 10 3 3 3 2" xfId="1996" xr:uid="{5BD6D3DE-BDEF-4985-8722-F43FB7F9B104}"/>
    <cellStyle name="Normal 10 3 3 3 2 2" xfId="4494" xr:uid="{BE62D14A-992B-45B6-A5F8-0A453F731C00}"/>
    <cellStyle name="Normal 10 3 3 3 2 2 2" xfId="9490" xr:uid="{8D0D6FE9-3796-4DB3-BB3C-50F6D3283522}"/>
    <cellStyle name="Normal 10 3 3 3 2 3" xfId="6992" xr:uid="{3D6A1C22-2DC0-422A-9F00-C501F9AF23A7}"/>
    <cellStyle name="Normal 10 3 3 3 3" xfId="3245" xr:uid="{88C5E7A1-4591-43D6-8BD0-216839AEC36D}"/>
    <cellStyle name="Normal 10 3 3 3 3 2" xfId="8241" xr:uid="{81806B4E-B1D8-43AE-A9C7-40165BF8D6B1}"/>
    <cellStyle name="Normal 10 3 3 3 4" xfId="5743" xr:uid="{2EF94FDF-457C-4703-AA48-0A3C94815B18}"/>
    <cellStyle name="Normal 10 3 3 4" xfId="1058" xr:uid="{91E45E88-87A1-4A1D-B84F-F4CDA1B1170D}"/>
    <cellStyle name="Normal 10 3 3 4 2" xfId="2308" xr:uid="{4519BFF5-8672-4035-8994-D2A7671A557E}"/>
    <cellStyle name="Normal 10 3 3 4 2 2" xfId="4806" xr:uid="{1FE38841-9F73-4F4E-B5F2-CC8B2B219045}"/>
    <cellStyle name="Normal 10 3 3 4 2 2 2" xfId="9802" xr:uid="{C7143312-AEEF-40AE-BAE5-2513A8C5F229}"/>
    <cellStyle name="Normal 10 3 3 4 2 3" xfId="7304" xr:uid="{1AB2190C-1ECA-42F1-96C2-6ED45AC75DC3}"/>
    <cellStyle name="Normal 10 3 3 4 3" xfId="3557" xr:uid="{0ED32D76-70FA-43B7-916C-620C80AA348F}"/>
    <cellStyle name="Normal 10 3 3 4 3 2" xfId="8553" xr:uid="{4F4FC13C-100C-487D-A050-BBFBC924F20B}"/>
    <cellStyle name="Normal 10 3 3 4 4" xfId="6055" xr:uid="{CDB976C9-A2C1-4662-9757-25D243EC31EA}"/>
    <cellStyle name="Normal 10 3 3 5" xfId="1399" xr:uid="{6E9BB2AE-2A15-4A7B-B176-97DA25BE48FC}"/>
    <cellStyle name="Normal 10 3 3 5 2" xfId="2649" xr:uid="{39F67B65-BE40-42A3-B7C9-49D92398D50B}"/>
    <cellStyle name="Normal 10 3 3 5 2 2" xfId="5147" xr:uid="{6C5D229D-B56C-4298-A0E9-B43F0BB5024B}"/>
    <cellStyle name="Normal 10 3 3 5 2 2 2" xfId="10143" xr:uid="{04B4DFF5-EF5E-4105-9FB6-1A256BB6BF2D}"/>
    <cellStyle name="Normal 10 3 3 5 2 3" xfId="7645" xr:uid="{01F87064-1598-4487-AACD-32A331C11260}"/>
    <cellStyle name="Normal 10 3 3 5 3" xfId="3898" xr:uid="{EAD00DD5-2ED2-4053-8D94-52733BF8B2E5}"/>
    <cellStyle name="Normal 10 3 3 5 3 2" xfId="8894" xr:uid="{F0494E9D-6416-4583-AEE9-46A962760AD9}"/>
    <cellStyle name="Normal 10 3 3 5 4" xfId="6396" xr:uid="{D2C6EB89-9A63-4194-BD8B-78029F2261A7}"/>
    <cellStyle name="Normal 10 3 3 6" xfId="1730" xr:uid="{FC4F2FAC-FDB4-4B98-8A17-3E5902D9834B}"/>
    <cellStyle name="Normal 10 3 3 6 2" xfId="4228" xr:uid="{A2DF6295-9FB1-46D2-90E6-292AC4B5B827}"/>
    <cellStyle name="Normal 10 3 3 6 2 2" xfId="9224" xr:uid="{0407252F-FA58-458D-8C83-092CAA37BF26}"/>
    <cellStyle name="Normal 10 3 3 6 3" xfId="6726" xr:uid="{B7C59D53-E3CE-4BCD-BAA5-62FB6605C095}"/>
    <cellStyle name="Normal 10 3 3 7" xfId="2979" xr:uid="{9D0D0239-06B3-4E3A-AFD9-01AC4CA577FC}"/>
    <cellStyle name="Normal 10 3 3 7 2" xfId="7975" xr:uid="{1E11717F-87A3-4261-A0A9-346E3FE66542}"/>
    <cellStyle name="Normal 10 3 3 8" xfId="5477" xr:uid="{029B91BA-51CD-4E42-A3D2-DED2F3EF22D7}"/>
    <cellStyle name="Normal 10 3 3 9" xfId="479" xr:uid="{79D2369B-4A5D-46D2-8890-5D3010556036}"/>
    <cellStyle name="Normal 10 3 4" xfId="204" xr:uid="{02A18D04-E61E-4740-A734-AE50D98AE735}"/>
    <cellStyle name="Normal 10 3 4 2" xfId="205" xr:uid="{C4F52B86-ED51-4C9F-936C-72DB8302EDDB}"/>
    <cellStyle name="Normal 10 3 4 2 2" xfId="825" xr:uid="{CFF9F252-C9E9-4371-88A9-C6942AC312D0}"/>
    <cellStyle name="Normal 10 3 4 2 2 2" xfId="2076" xr:uid="{7BC206F8-098D-4E73-8837-8F5E7345B115}"/>
    <cellStyle name="Normal 10 3 4 2 2 2 2" xfId="4574" xr:uid="{EFD2147F-1B47-4B14-BE6E-D4025BED04D1}"/>
    <cellStyle name="Normal 10 3 4 2 2 2 2 2" xfId="9570" xr:uid="{D655A19A-F559-48D2-A647-1F2833DC468C}"/>
    <cellStyle name="Normal 10 3 4 2 2 2 3" xfId="7072" xr:uid="{29AC8AC0-63E4-4ABB-8660-20D691C99D2A}"/>
    <cellStyle name="Normal 10 3 4 2 2 3" xfId="3325" xr:uid="{FB2B774B-2F21-4CB7-8754-D4E18F6EDF89}"/>
    <cellStyle name="Normal 10 3 4 2 2 3 2" xfId="8321" xr:uid="{82A79260-673F-4B2E-8ED3-0E0A11D81424}"/>
    <cellStyle name="Normal 10 3 4 2 2 4" xfId="5823" xr:uid="{0F7556F8-9038-452D-937E-A998F5B0F36E}"/>
    <cellStyle name="Normal 10 3 4 2 3" xfId="1138" xr:uid="{3C6B11FF-F4E3-4C94-98EB-B225246316A9}"/>
    <cellStyle name="Normal 10 3 4 2 3 2" xfId="2388" xr:uid="{F452C13A-EC05-4D30-8762-B09D2BFE24B9}"/>
    <cellStyle name="Normal 10 3 4 2 3 2 2" xfId="4886" xr:uid="{D5959661-7753-4D87-A179-F8B0B7193CD3}"/>
    <cellStyle name="Normal 10 3 4 2 3 2 2 2" xfId="9882" xr:uid="{CCFCCD95-E767-4A6B-AB2D-EE80419D22C1}"/>
    <cellStyle name="Normal 10 3 4 2 3 2 3" xfId="7384" xr:uid="{FA9BC5F9-D15E-4A74-B949-4065E85BE0CC}"/>
    <cellStyle name="Normal 10 3 4 2 3 3" xfId="3637" xr:uid="{5AF7C978-85BD-4663-AEE4-0C5025268342}"/>
    <cellStyle name="Normal 10 3 4 2 3 3 2" xfId="8633" xr:uid="{09D341B8-64A4-439B-B32F-6E94DBD8AF43}"/>
    <cellStyle name="Normal 10 3 4 2 3 4" xfId="6135" xr:uid="{89AAA4A3-5B86-4B46-BD67-0BAAFE4734BF}"/>
    <cellStyle name="Normal 10 3 4 2 4" xfId="1498" xr:uid="{C43E3289-68C6-4FC9-BB5A-801CC82D433D}"/>
    <cellStyle name="Normal 10 3 4 2 4 2" xfId="2748" xr:uid="{051362D0-7353-40DA-B59D-E50A362C27C2}"/>
    <cellStyle name="Normal 10 3 4 2 4 2 2" xfId="5246" xr:uid="{D195282D-0D21-4076-AF7D-684D85F0485B}"/>
    <cellStyle name="Normal 10 3 4 2 4 2 2 2" xfId="10242" xr:uid="{01C8D161-7E29-49ED-82FE-D08601E15E5E}"/>
    <cellStyle name="Normal 10 3 4 2 4 2 3" xfId="7744" xr:uid="{26B34D30-F52B-4FF1-BAD7-A21BE5ECAFA1}"/>
    <cellStyle name="Normal 10 3 4 2 4 3" xfId="3997" xr:uid="{FEE3DA1F-5F35-4CEA-A0EA-D8E04EE46720}"/>
    <cellStyle name="Normal 10 3 4 2 4 3 2" xfId="8993" xr:uid="{71CD1A1C-1E1D-4198-8BCD-5ED80A52618B}"/>
    <cellStyle name="Normal 10 3 4 2 4 4" xfId="6495" xr:uid="{A4869D5B-96D9-4677-B4DF-031B6DCE7293}"/>
    <cellStyle name="Normal 10 3 4 2 5" xfId="1829" xr:uid="{B9EF05E4-5224-4D2A-B168-4FBB91F5F2EC}"/>
    <cellStyle name="Normal 10 3 4 2 5 2" xfId="4327" xr:uid="{18863844-A37D-4223-93CD-A72C22D5ED53}"/>
    <cellStyle name="Normal 10 3 4 2 5 2 2" xfId="9323" xr:uid="{97C921B8-0E10-4269-9669-80BACE1CA614}"/>
    <cellStyle name="Normal 10 3 4 2 5 3" xfId="6825" xr:uid="{E3CB358B-8D5B-4EBA-90B7-365885E5BF2C}"/>
    <cellStyle name="Normal 10 3 4 2 6" xfId="3078" xr:uid="{E3390D07-4CCF-491C-AD14-EE196338D74E}"/>
    <cellStyle name="Normal 10 3 4 2 6 2" xfId="8074" xr:uid="{E2D2F957-B9FD-41BE-9DF8-CD365D545B93}"/>
    <cellStyle name="Normal 10 3 4 2 7" xfId="5576" xr:uid="{7EA9C762-1F07-4F6A-AA4B-17EBD1780F33}"/>
    <cellStyle name="Normal 10 3 4 2 8" xfId="578" xr:uid="{EA66CD8B-838C-4A01-B579-B0AECAF8BAEC}"/>
    <cellStyle name="Normal 10 3 4 3" xfId="824" xr:uid="{061204B7-CC53-42CA-9B30-C789A8FCC066}"/>
    <cellStyle name="Normal 10 3 4 3 2" xfId="2075" xr:uid="{08EA5DC3-7AC9-4EFD-B637-108579132FC9}"/>
    <cellStyle name="Normal 10 3 4 3 2 2" xfId="4573" xr:uid="{C3A0F897-907A-4CF7-859E-584D03F75F35}"/>
    <cellStyle name="Normal 10 3 4 3 2 2 2" xfId="9569" xr:uid="{FB2BF4FE-1E05-419F-AB3E-E95F10E7875E}"/>
    <cellStyle name="Normal 10 3 4 3 2 3" xfId="7071" xr:uid="{32A677CD-6C60-45E1-943F-949974891BD8}"/>
    <cellStyle name="Normal 10 3 4 3 3" xfId="3324" xr:uid="{1B204188-21C8-4F0C-813D-17FC095B72D5}"/>
    <cellStyle name="Normal 10 3 4 3 3 2" xfId="8320" xr:uid="{43D313AE-F956-4A49-8AD1-5E45A040BEF3}"/>
    <cellStyle name="Normal 10 3 4 3 4" xfId="5822" xr:uid="{F20D89B3-F9C3-468E-8624-FD2A4AEE607F}"/>
    <cellStyle name="Normal 10 3 4 4" xfId="1137" xr:uid="{B9C7FBBA-2ED0-4EDD-A94C-58C73B6DFB0E}"/>
    <cellStyle name="Normal 10 3 4 4 2" xfId="2387" xr:uid="{130C7ED4-5CCB-4C2A-9755-07D8A35AFB99}"/>
    <cellStyle name="Normal 10 3 4 4 2 2" xfId="4885" xr:uid="{13552E48-B45D-48AE-BBE5-450BC027A797}"/>
    <cellStyle name="Normal 10 3 4 4 2 2 2" xfId="9881" xr:uid="{40CEC199-E3CE-44EB-A1BC-57A12E3CB051}"/>
    <cellStyle name="Normal 10 3 4 4 2 3" xfId="7383" xr:uid="{6D646671-2BB8-4E47-A9A7-2FC1FBACE406}"/>
    <cellStyle name="Normal 10 3 4 4 3" xfId="3636" xr:uid="{4EA5AD78-C99B-4E8E-AD4C-140DE57A4E3B}"/>
    <cellStyle name="Normal 10 3 4 4 3 2" xfId="8632" xr:uid="{36BC54B3-8EA3-4AA3-8A54-2B29DA523C16}"/>
    <cellStyle name="Normal 10 3 4 4 4" xfId="6134" xr:uid="{336C3891-87D5-4527-B40D-39CDC26B1BDE}"/>
    <cellStyle name="Normal 10 3 4 5" xfId="1397" xr:uid="{092FCAA2-8E87-4A94-B65A-9925EFD9FE35}"/>
    <cellStyle name="Normal 10 3 4 5 2" xfId="2647" xr:uid="{AEE92FA5-B666-4111-BBBB-D524DFAC2543}"/>
    <cellStyle name="Normal 10 3 4 5 2 2" xfId="5145" xr:uid="{81F641C3-5147-4430-B23A-BB9D119986A9}"/>
    <cellStyle name="Normal 10 3 4 5 2 2 2" xfId="10141" xr:uid="{482C788D-B352-47A1-9759-0A4152985141}"/>
    <cellStyle name="Normal 10 3 4 5 2 3" xfId="7643" xr:uid="{6271C638-DD67-4173-BD71-43C9EFAB4C01}"/>
    <cellStyle name="Normal 10 3 4 5 3" xfId="3896" xr:uid="{D53AB573-98D1-437D-89C6-8432C5B23E03}"/>
    <cellStyle name="Normal 10 3 4 5 3 2" xfId="8892" xr:uid="{8D1D3505-A9C5-4F63-BE19-CC397C6003E7}"/>
    <cellStyle name="Normal 10 3 4 5 4" xfId="6394" xr:uid="{683A9389-32DF-4518-9B4A-C4D007DF8BCC}"/>
    <cellStyle name="Normal 10 3 4 6" xfId="1728" xr:uid="{7ED3DAC8-E619-4F66-BC5E-F9F7088B90FF}"/>
    <cellStyle name="Normal 10 3 4 6 2" xfId="4226" xr:uid="{68D22352-5630-4E27-A6E8-EBF0BD185F23}"/>
    <cellStyle name="Normal 10 3 4 6 2 2" xfId="9222" xr:uid="{FCF7EA80-2FA5-4953-9DD2-4F41A244AB79}"/>
    <cellStyle name="Normal 10 3 4 6 3" xfId="6724" xr:uid="{DA75D66A-A7E1-4F05-83B2-E1182A033B06}"/>
    <cellStyle name="Normal 10 3 4 7" xfId="2977" xr:uid="{6D919A5E-E6CC-4058-B872-E04C86C80F72}"/>
    <cellStyle name="Normal 10 3 4 7 2" xfId="7973" xr:uid="{1BE80F16-B4D3-4AC2-A021-4A4834133134}"/>
    <cellStyle name="Normal 10 3 4 8" xfId="5475" xr:uid="{55F1D6E1-C491-4F19-9C91-3B104F22B2BA}"/>
    <cellStyle name="Normal 10 3 4 9" xfId="477" xr:uid="{505328BD-6CAD-4810-A9A4-5BD5CF904600}"/>
    <cellStyle name="Normal 10 3 5" xfId="206" xr:uid="{C4ACD96F-798D-4768-8637-147A34A4732B}"/>
    <cellStyle name="Normal 10 3 5 2" xfId="826" xr:uid="{FBBBF81F-345D-4B84-96E0-265C6C0CDDD0}"/>
    <cellStyle name="Normal 10 3 5 2 2" xfId="2077" xr:uid="{1BC0C8BF-6162-4D3B-8005-C06F7CE83D5C}"/>
    <cellStyle name="Normal 10 3 5 2 2 2" xfId="4575" xr:uid="{C16BBC69-4BD6-466F-85E6-B1C5FF54F752}"/>
    <cellStyle name="Normal 10 3 5 2 2 2 2" xfId="9571" xr:uid="{3B2A17B5-2370-46BD-9CE8-98C4AFA0A355}"/>
    <cellStyle name="Normal 10 3 5 2 2 3" xfId="7073" xr:uid="{AD74FAB3-FC46-406E-BBB8-11DC94CF2917}"/>
    <cellStyle name="Normal 10 3 5 2 3" xfId="3326" xr:uid="{36E9FF22-D5B9-4484-8191-625B4BB9ADEF}"/>
    <cellStyle name="Normal 10 3 5 2 3 2" xfId="8322" xr:uid="{3D792A86-F1B3-4658-B61F-D1B5521EF51A}"/>
    <cellStyle name="Normal 10 3 5 2 4" xfId="5824" xr:uid="{82D1CB12-F511-4C53-8A03-AD6A2875C016}"/>
    <cellStyle name="Normal 10 3 5 3" xfId="1139" xr:uid="{D718D79B-6595-463D-8E70-D89E74E9ABA4}"/>
    <cellStyle name="Normal 10 3 5 3 2" xfId="2389" xr:uid="{AD35909C-A764-463F-BA37-1104F3902012}"/>
    <cellStyle name="Normal 10 3 5 3 2 2" xfId="4887" xr:uid="{75B6622D-6B54-46F9-8119-A1AE3AEB764E}"/>
    <cellStyle name="Normal 10 3 5 3 2 2 2" xfId="9883" xr:uid="{1853FBEA-4D49-4CB5-95CE-58F1EAA4F068}"/>
    <cellStyle name="Normal 10 3 5 3 2 3" xfId="7385" xr:uid="{D9CC0538-1097-4771-A9D7-B4AB9CF5148C}"/>
    <cellStyle name="Normal 10 3 5 3 3" xfId="3638" xr:uid="{E3E78468-BC76-47ED-8FA0-7E1EE6A89560}"/>
    <cellStyle name="Normal 10 3 5 3 3 2" xfId="8634" xr:uid="{10F92C5D-A62B-48AB-942C-261E054E953F}"/>
    <cellStyle name="Normal 10 3 5 3 4" xfId="6136" xr:uid="{B38CC70C-0766-48C9-93E1-19FCEBE27345}"/>
    <cellStyle name="Normal 10 3 5 4" xfId="1495" xr:uid="{20CDFD4A-98F1-49F2-9029-C76A90C1B05D}"/>
    <cellStyle name="Normal 10 3 5 4 2" xfId="2745" xr:uid="{B87DE5FB-FBCE-4A9C-8B7C-7A2AD2D2B707}"/>
    <cellStyle name="Normal 10 3 5 4 2 2" xfId="5243" xr:uid="{1593438B-9240-40D3-83A2-F53DE260C7A2}"/>
    <cellStyle name="Normal 10 3 5 4 2 2 2" xfId="10239" xr:uid="{AC2125DC-5E26-41BA-9788-6FE008A09E6C}"/>
    <cellStyle name="Normal 10 3 5 4 2 3" xfId="7741" xr:uid="{BC944911-40F1-4169-BFD4-0EDF06B5F1A7}"/>
    <cellStyle name="Normal 10 3 5 4 3" xfId="3994" xr:uid="{1B99AD51-590C-4CEA-ADF0-9730D54374E0}"/>
    <cellStyle name="Normal 10 3 5 4 3 2" xfId="8990" xr:uid="{F9228177-D431-4077-9956-E3D0C0093B21}"/>
    <cellStyle name="Normal 10 3 5 4 4" xfId="6492" xr:uid="{6A9EC047-F3DF-468A-979E-2264EF1072C1}"/>
    <cellStyle name="Normal 10 3 5 5" xfId="1826" xr:uid="{4ACDB549-022B-4B19-95B1-A864D7950C97}"/>
    <cellStyle name="Normal 10 3 5 5 2" xfId="4324" xr:uid="{179ACE33-600C-4554-903F-EA447DE3E952}"/>
    <cellStyle name="Normal 10 3 5 5 2 2" xfId="9320" xr:uid="{D859B741-4BAA-41E9-9B62-8F4F470E4372}"/>
    <cellStyle name="Normal 10 3 5 5 3" xfId="6822" xr:uid="{F60E68B2-B4D4-46B4-B8B7-5050F6D634EF}"/>
    <cellStyle name="Normal 10 3 5 6" xfId="3075" xr:uid="{1163BA34-ED65-4177-90B0-1FD52A255A66}"/>
    <cellStyle name="Normal 10 3 5 6 2" xfId="8071" xr:uid="{868135F7-767B-41A9-847C-2FD1424D3179}"/>
    <cellStyle name="Normal 10 3 5 7" xfId="5573" xr:uid="{A8700668-C885-440E-96D8-411040E236DE}"/>
    <cellStyle name="Normal 10 3 5 8" xfId="575" xr:uid="{2657CF8C-FA25-45EA-9539-95DB7BE9500A}"/>
    <cellStyle name="Normal 10 3 6" xfId="368" xr:uid="{29339070-5684-4A02-93C0-B6EAADD25D30}"/>
    <cellStyle name="Normal 10 3 6 2" xfId="1289" xr:uid="{01E7D193-D751-44EA-8286-15E245D45675}"/>
    <cellStyle name="Normal 10 3 6 2 2" xfId="2539" xr:uid="{E264E80F-56A0-479E-8239-CE40759C68F5}"/>
    <cellStyle name="Normal 10 3 6 2 2 2" xfId="5037" xr:uid="{005ECB35-C1A1-4789-8245-8C01B7F4BB5D}"/>
    <cellStyle name="Normal 10 3 6 2 2 2 2" xfId="10033" xr:uid="{662EEFE1-1DE4-4B82-9BA8-8AF3887BA155}"/>
    <cellStyle name="Normal 10 3 6 2 2 3" xfId="7535" xr:uid="{DCD7F5B3-5AA6-4218-BF64-E1A1F4547975}"/>
    <cellStyle name="Normal 10 3 6 2 3" xfId="3788" xr:uid="{7DE8482D-2AF2-48FA-95D6-93CF92D1CB7E}"/>
    <cellStyle name="Normal 10 3 6 2 3 2" xfId="8784" xr:uid="{9907979D-35D2-4B30-81F8-DD3FA962D7F5}"/>
    <cellStyle name="Normal 10 3 6 2 4" xfId="6286" xr:uid="{585A7F33-2F27-4913-849D-509F40FA2C1D}"/>
    <cellStyle name="Normal 10 3 6 3" xfId="2227" xr:uid="{BCE0B119-827D-4304-9E0F-CEF8ADAB4CF3}"/>
    <cellStyle name="Normal 10 3 6 3 2" xfId="4725" xr:uid="{E7514985-8771-49F5-93D6-B62F2CEED510}"/>
    <cellStyle name="Normal 10 3 6 3 2 2" xfId="9721" xr:uid="{E44648DD-40CA-42AE-AA88-C6D5E8A77CF1}"/>
    <cellStyle name="Normal 10 3 6 3 3" xfId="7223" xr:uid="{A318E39D-42C0-418D-B535-43310739B835}"/>
    <cellStyle name="Normal 10 3 6 4" xfId="3476" xr:uid="{296D5274-43DE-4A22-A6A3-B174C2F82575}"/>
    <cellStyle name="Normal 10 3 6 4 2" xfId="8472" xr:uid="{26D923B3-FAC4-4ED5-B48F-B09D6D2BB899}"/>
    <cellStyle name="Normal 10 3 6 5" xfId="5974" xr:uid="{03073CCB-4A25-4AEF-A945-0CB25DC35ADC}"/>
    <cellStyle name="Normal 10 3 6 6" xfId="977" xr:uid="{66B596C0-D2A5-4023-8D14-6BC291D6DC57}"/>
    <cellStyle name="Normal 10 3 7" xfId="696" xr:uid="{C8D32A83-7C53-41C9-B9D4-05FEEE4CB503}"/>
    <cellStyle name="Normal 10 3 7 2" xfId="1947" xr:uid="{7A0E64C1-75B6-4944-9E78-B5A42ADED3A5}"/>
    <cellStyle name="Normal 10 3 7 2 2" xfId="4445" xr:uid="{882045D8-D833-4907-A49F-6DD0D12E3FEA}"/>
    <cellStyle name="Normal 10 3 7 2 2 2" xfId="9441" xr:uid="{B4B727E7-90CB-4D5C-A24F-6D77756BCB0A}"/>
    <cellStyle name="Normal 10 3 7 2 3" xfId="6943" xr:uid="{63964FD8-2A25-4FA6-A224-BF2F0A8C41D2}"/>
    <cellStyle name="Normal 10 3 7 3" xfId="3196" xr:uid="{BFB1C84E-3E23-4509-BF96-7B08F1E16DCB}"/>
    <cellStyle name="Normal 10 3 7 3 2" xfId="8192" xr:uid="{13336F3D-70CD-43BF-94BF-422371BB9651}"/>
    <cellStyle name="Normal 10 3 7 4" xfId="5694" xr:uid="{EAF5382D-41DF-47AF-B82E-B3AEE4308801}"/>
    <cellStyle name="Normal 10 3 8" xfId="1009" xr:uid="{67D4F7A5-DD50-494B-98F0-AF2DD731FA47}"/>
    <cellStyle name="Normal 10 3 8 2" xfId="2259" xr:uid="{E864E631-B50C-4DB4-998E-A655A8E5F9BD}"/>
    <cellStyle name="Normal 10 3 8 2 2" xfId="4757" xr:uid="{7EE0CC3B-EF33-4A4A-8905-F9FD4CCCABBF}"/>
    <cellStyle name="Normal 10 3 8 2 2 2" xfId="9753" xr:uid="{B1AE1ACA-A331-4130-8078-A6ED8C7BA97A}"/>
    <cellStyle name="Normal 10 3 8 2 3" xfId="7255" xr:uid="{750FB8DD-FA06-4D9C-821D-AAA95D7DED9A}"/>
    <cellStyle name="Normal 10 3 8 3" xfId="3508" xr:uid="{24EFED42-7F0C-4FB7-92E1-885E16E36F18}"/>
    <cellStyle name="Normal 10 3 8 3 2" xfId="8504" xr:uid="{B3C26AB4-9E6E-4111-AEE9-D8365D5D2A33}"/>
    <cellStyle name="Normal 10 3 8 4" xfId="6006" xr:uid="{EFE2BA29-1A52-4DE3-9105-4FA515C2B740}"/>
    <cellStyle name="Normal 10 3 9" xfId="1330" xr:uid="{BFDAC150-C782-4965-9E57-0C88152CDFAD}"/>
    <cellStyle name="Normal 10 3 9 2" xfId="2580" xr:uid="{21872080-6EC0-48E2-A9A0-476EB35500F8}"/>
    <cellStyle name="Normal 10 3 9 2 2" xfId="5078" xr:uid="{E2BC259A-5B27-4B73-AA42-94BBE22D2CB7}"/>
    <cellStyle name="Normal 10 3 9 2 2 2" xfId="10074" xr:uid="{B8DDE148-E2C6-474B-83CA-B9198C2BB69F}"/>
    <cellStyle name="Normal 10 3 9 2 3" xfId="7576" xr:uid="{E3A1C44C-A898-4D35-A047-6966A7969511}"/>
    <cellStyle name="Normal 10 3 9 3" xfId="3829" xr:uid="{1CAC8C8A-AC1E-4079-8DC7-037C070B8AFE}"/>
    <cellStyle name="Normal 10 3 9 3 2" xfId="8825" xr:uid="{FD25F371-3C97-4EB7-8102-693CFAE0BDB2}"/>
    <cellStyle name="Normal 10 3 9 4" xfId="6327" xr:uid="{28D91E86-0757-42D9-9645-A2D43B8FCA0D}"/>
    <cellStyle name="Normal 10 4" xfId="65" xr:uid="{6C78466F-F65C-4A59-AF63-1525EA6F8471}"/>
    <cellStyle name="Normal 10 4 10" xfId="5411" xr:uid="{B42D9319-AA77-4486-B69E-65933203DCE2}"/>
    <cellStyle name="Normal 10 4 11" xfId="413" xr:uid="{69A6472D-A224-4445-BB6E-64685C543FAB}"/>
    <cellStyle name="Normal 10 4 2" xfId="207" xr:uid="{59166499-BFB8-463C-AA09-5781B2DA19F3}"/>
    <cellStyle name="Normal 10 4 2 10" xfId="417" xr:uid="{48CBD76F-4C2C-4431-B6B3-BA077EC6D11E}"/>
    <cellStyle name="Normal 10 4 2 2" xfId="208" xr:uid="{1BA73698-F853-4502-9FF1-69A1118A85B6}"/>
    <cellStyle name="Normal 10 4 2 2 2" xfId="209" xr:uid="{90102EBE-2BB9-4ACE-BA10-3181E10939C5}"/>
    <cellStyle name="Normal 10 4 2 2 2 2" xfId="829" xr:uid="{84D3CEA3-A963-4111-9877-5AD9B0F7E25F}"/>
    <cellStyle name="Normal 10 4 2 2 2 2 2" xfId="2080" xr:uid="{34BB5EF1-FA7B-4485-A6F0-80DDBAB7D6CC}"/>
    <cellStyle name="Normal 10 4 2 2 2 2 2 2" xfId="4578" xr:uid="{68A7D728-625D-436C-82AF-8A5F14FF97C3}"/>
    <cellStyle name="Normal 10 4 2 2 2 2 2 2 2" xfId="9574" xr:uid="{FA1CB9C6-AF2E-4284-8AD8-4278CBE748D1}"/>
    <cellStyle name="Normal 10 4 2 2 2 2 2 3" xfId="7076" xr:uid="{78766483-24F9-486D-BE81-A9F32D9E4AD1}"/>
    <cellStyle name="Normal 10 4 2 2 2 2 3" xfId="3329" xr:uid="{D7D8AB39-F099-42FF-96E9-881928A1B379}"/>
    <cellStyle name="Normal 10 4 2 2 2 2 3 2" xfId="8325" xr:uid="{BAFD7942-DB1B-4DE0-B215-4CD5DC667275}"/>
    <cellStyle name="Normal 10 4 2 2 2 2 4" xfId="5827" xr:uid="{81B29F4C-C023-418B-BC35-0CB0FD1FEFEE}"/>
    <cellStyle name="Normal 10 4 2 2 2 3" xfId="1142" xr:uid="{C1DA0044-BCD4-40D7-9CB7-D473AB91AF06}"/>
    <cellStyle name="Normal 10 4 2 2 2 3 2" xfId="2392" xr:uid="{5436D9D3-A360-4360-99CD-963CE8E34336}"/>
    <cellStyle name="Normal 10 4 2 2 2 3 2 2" xfId="4890" xr:uid="{C10FBD09-01F0-4E87-867E-D0EE17003E5F}"/>
    <cellStyle name="Normal 10 4 2 2 2 3 2 2 2" xfId="9886" xr:uid="{86A7F6E5-C930-4E62-B13A-C435CF5F48B5}"/>
    <cellStyle name="Normal 10 4 2 2 2 3 2 3" xfId="7388" xr:uid="{60937A36-AFBF-4774-A486-3A513A014C7A}"/>
    <cellStyle name="Normal 10 4 2 2 2 3 3" xfId="3641" xr:uid="{C46F8530-1B14-4F9A-9BAE-F55EA4A058E0}"/>
    <cellStyle name="Normal 10 4 2 2 2 3 3 2" xfId="8637" xr:uid="{5637FA2E-E581-4961-9D11-A9A79F5F70F6}"/>
    <cellStyle name="Normal 10 4 2 2 2 3 4" xfId="6139" xr:uid="{35D1663C-9E79-463C-A1EE-0546EA5E522E}"/>
    <cellStyle name="Normal 10 4 2 2 2 4" xfId="1501" xr:uid="{9C834311-E1C7-486E-A589-DC3DA22151FE}"/>
    <cellStyle name="Normal 10 4 2 2 2 4 2" xfId="2751" xr:uid="{470DCDBE-B40E-479F-8A42-73DD08254A5A}"/>
    <cellStyle name="Normal 10 4 2 2 2 4 2 2" xfId="5249" xr:uid="{34621F5E-10F9-4485-9B3B-552BC73DCEC1}"/>
    <cellStyle name="Normal 10 4 2 2 2 4 2 2 2" xfId="10245" xr:uid="{92C431E8-1275-40C0-8AC8-F1E5C4FDA544}"/>
    <cellStyle name="Normal 10 4 2 2 2 4 2 3" xfId="7747" xr:uid="{956F5A40-DB89-484F-AAD4-2FC5218F13EB}"/>
    <cellStyle name="Normal 10 4 2 2 2 4 3" xfId="4000" xr:uid="{E7B5EE09-125F-4110-82A1-0418C0B1B5A3}"/>
    <cellStyle name="Normal 10 4 2 2 2 4 3 2" xfId="8996" xr:uid="{256B76A9-B055-4043-9130-616210EDE2C2}"/>
    <cellStyle name="Normal 10 4 2 2 2 4 4" xfId="6498" xr:uid="{6130538A-9044-483E-8C51-D62E6AFC2981}"/>
    <cellStyle name="Normal 10 4 2 2 2 5" xfId="1832" xr:uid="{6F80CD2E-3EBA-40D5-B7CC-FBC0D4B7201B}"/>
    <cellStyle name="Normal 10 4 2 2 2 5 2" xfId="4330" xr:uid="{8B49A121-3F18-4FD5-A4A2-F155F33E1B36}"/>
    <cellStyle name="Normal 10 4 2 2 2 5 2 2" xfId="9326" xr:uid="{31F87F88-AE70-40A5-AD1C-D5E33743BFC5}"/>
    <cellStyle name="Normal 10 4 2 2 2 5 3" xfId="6828" xr:uid="{45A569C2-9367-433F-BCA7-45D2940D9870}"/>
    <cellStyle name="Normal 10 4 2 2 2 6" xfId="3081" xr:uid="{A59E5068-E384-4525-ADD2-34222AB1C883}"/>
    <cellStyle name="Normal 10 4 2 2 2 6 2" xfId="8077" xr:uid="{5400A71B-3987-4D52-84AD-19C8EC38E830}"/>
    <cellStyle name="Normal 10 4 2 2 2 7" xfId="5579" xr:uid="{CC0A2E8B-843C-42FA-AE9A-404EFCF056F1}"/>
    <cellStyle name="Normal 10 4 2 2 2 8" xfId="581" xr:uid="{F35D6611-326F-420E-938A-EEF7B89E6786}"/>
    <cellStyle name="Normal 10 4 2 2 3" xfId="828" xr:uid="{A66D1ED0-1D45-4F2B-9CCD-28B51C235FF0}"/>
    <cellStyle name="Normal 10 4 2 2 3 2" xfId="2079" xr:uid="{0FA59E19-6FBA-4885-A291-EF42890DFB20}"/>
    <cellStyle name="Normal 10 4 2 2 3 2 2" xfId="4577" xr:uid="{8CE38CFD-0FD1-4D30-B960-FC95D11E4456}"/>
    <cellStyle name="Normal 10 4 2 2 3 2 2 2" xfId="9573" xr:uid="{D04CA9C0-3CA9-44CC-B0FB-148DC6CFF41A}"/>
    <cellStyle name="Normal 10 4 2 2 3 2 3" xfId="7075" xr:uid="{36359C66-A030-4D43-B8BC-01B7AB3BC922}"/>
    <cellStyle name="Normal 10 4 2 2 3 3" xfId="3328" xr:uid="{F6287E81-CEAA-4B1D-8D7C-BF69456E2278}"/>
    <cellStyle name="Normal 10 4 2 2 3 3 2" xfId="8324" xr:uid="{1442A397-9D34-448C-A9B8-D84C4FC2CB14}"/>
    <cellStyle name="Normal 10 4 2 2 3 4" xfId="5826" xr:uid="{C42AD3D5-3EF9-4DEA-B273-F5E0D521555A}"/>
    <cellStyle name="Normal 10 4 2 2 4" xfId="1141" xr:uid="{940230A7-D4DF-40C6-AA53-4F5A97F58E2B}"/>
    <cellStyle name="Normal 10 4 2 2 4 2" xfId="2391" xr:uid="{6BFC9FDB-2C4E-42D0-9D3A-7A2C61476B96}"/>
    <cellStyle name="Normal 10 4 2 2 4 2 2" xfId="4889" xr:uid="{BF1A2182-3C5D-44DB-B9FF-481C38F2BC81}"/>
    <cellStyle name="Normal 10 4 2 2 4 2 2 2" xfId="9885" xr:uid="{6F74E6D2-547F-4039-9016-0CDDA73FC8D6}"/>
    <cellStyle name="Normal 10 4 2 2 4 2 3" xfId="7387" xr:uid="{E56FDE43-8AAF-4F78-B4CE-652B240913F6}"/>
    <cellStyle name="Normal 10 4 2 2 4 3" xfId="3640" xr:uid="{1CC11121-00DB-4548-97CE-BF7EA6CC692B}"/>
    <cellStyle name="Normal 10 4 2 2 4 3 2" xfId="8636" xr:uid="{81D9E6F3-8CBE-48AC-B7B2-7F90B6509928}"/>
    <cellStyle name="Normal 10 4 2 2 4 4" xfId="6138" xr:uid="{242A4B6A-2D9C-458F-816B-DD9619424732}"/>
    <cellStyle name="Normal 10 4 2 2 5" xfId="1341" xr:uid="{81E32EAD-D309-4E34-AEFF-39A768DC1108}"/>
    <cellStyle name="Normal 10 4 2 2 5 2" xfId="2591" xr:uid="{10BFC954-29F3-4591-8CBF-0A89DD47CB13}"/>
    <cellStyle name="Normal 10 4 2 2 5 2 2" xfId="5089" xr:uid="{6087BFF0-709B-4C4E-B3F7-CF7B793586CC}"/>
    <cellStyle name="Normal 10 4 2 2 5 2 2 2" xfId="10085" xr:uid="{39926A3E-3537-44FE-9BA0-1AD81E396FF5}"/>
    <cellStyle name="Normal 10 4 2 2 5 2 3" xfId="7587" xr:uid="{A40D6256-F612-417D-94DE-0272CF545865}"/>
    <cellStyle name="Normal 10 4 2 2 5 3" xfId="3840" xr:uid="{A6C619CC-070C-4E55-85CD-C869517CF815}"/>
    <cellStyle name="Normal 10 4 2 2 5 3 2" xfId="8836" xr:uid="{420811C1-2940-447F-929A-2C98910EB0A4}"/>
    <cellStyle name="Normal 10 4 2 2 5 4" xfId="6338" xr:uid="{99C44D2C-2F2D-4A4D-8FA0-D3FA9E4B0138}"/>
    <cellStyle name="Normal 10 4 2 2 6" xfId="1672" xr:uid="{196500A1-0EA0-41DE-A8E0-BDA0387328FA}"/>
    <cellStyle name="Normal 10 4 2 2 6 2" xfId="4170" xr:uid="{DC8D47FD-1E5E-4E4D-AEBB-EB4AF59FD756}"/>
    <cellStyle name="Normal 10 4 2 2 6 2 2" xfId="9166" xr:uid="{38F1647D-B441-45D5-B1F3-FD1741D792DD}"/>
    <cellStyle name="Normal 10 4 2 2 6 3" xfId="6668" xr:uid="{C54FB441-5973-4042-90AF-9E3169580D12}"/>
    <cellStyle name="Normal 10 4 2 2 7" xfId="2921" xr:uid="{CD56D973-557A-4985-AD97-EEDAB77F607D}"/>
    <cellStyle name="Normal 10 4 2 2 7 2" xfId="7917" xr:uid="{084CFF37-8EB2-4886-B1EA-608EE5CB7838}"/>
    <cellStyle name="Normal 10 4 2 2 8" xfId="5419" xr:uid="{8BCA4A39-C222-49A3-8770-2C7D9EE7C3FC}"/>
    <cellStyle name="Normal 10 4 2 2 9" xfId="421" xr:uid="{C6D1750A-8548-4699-81C4-CA1BFA688B38}"/>
    <cellStyle name="Normal 10 4 2 3" xfId="210" xr:uid="{A12FBBA0-4A94-46A9-8EB4-2E3CA3279917}"/>
    <cellStyle name="Normal 10 4 2 3 2" xfId="830" xr:uid="{37CD616B-51FC-464D-B873-287C3D38196E}"/>
    <cellStyle name="Normal 10 4 2 3 2 2" xfId="2081" xr:uid="{9A95FCDD-557B-4E00-90AA-0775A730AE26}"/>
    <cellStyle name="Normal 10 4 2 3 2 2 2" xfId="4579" xr:uid="{B4AF62EA-0A73-4A13-8291-60AEF9D6FB27}"/>
    <cellStyle name="Normal 10 4 2 3 2 2 2 2" xfId="9575" xr:uid="{80120374-E44E-4355-B0FD-E26BFD049C87}"/>
    <cellStyle name="Normal 10 4 2 3 2 2 3" xfId="7077" xr:uid="{B061B353-AA90-41F7-A0A6-C897DB6374FE}"/>
    <cellStyle name="Normal 10 4 2 3 2 3" xfId="3330" xr:uid="{DE37AC7B-F36D-44EB-8991-976AA0FF92A0}"/>
    <cellStyle name="Normal 10 4 2 3 2 3 2" xfId="8326" xr:uid="{9AFFB5D8-888C-4837-86E4-96247E1E785C}"/>
    <cellStyle name="Normal 10 4 2 3 2 4" xfId="5828" xr:uid="{BEC905AD-FFDD-46A5-8538-ED335A389687}"/>
    <cellStyle name="Normal 10 4 2 3 3" xfId="1143" xr:uid="{2EF774A7-8FB8-45DC-BCE0-A8F6EC1E970E}"/>
    <cellStyle name="Normal 10 4 2 3 3 2" xfId="2393" xr:uid="{1099EE5D-84CA-4E57-A99F-B3D98D7DB4D1}"/>
    <cellStyle name="Normal 10 4 2 3 3 2 2" xfId="4891" xr:uid="{E9A964FE-2247-4F05-AE6E-115632EE565B}"/>
    <cellStyle name="Normal 10 4 2 3 3 2 2 2" xfId="9887" xr:uid="{21DF08C5-C21F-4897-8A96-0C4BC2F8C11A}"/>
    <cellStyle name="Normal 10 4 2 3 3 2 3" xfId="7389" xr:uid="{84F5429D-9784-44E2-A03C-20E3A8B66431}"/>
    <cellStyle name="Normal 10 4 2 3 3 3" xfId="3642" xr:uid="{821829F1-1468-4158-9BFE-40ABEA6DDA69}"/>
    <cellStyle name="Normal 10 4 2 3 3 3 2" xfId="8638" xr:uid="{EF24E40E-1252-477C-9A28-057738CF89E3}"/>
    <cellStyle name="Normal 10 4 2 3 3 4" xfId="6140" xr:uid="{7E058300-1AD1-41A7-B475-83404A2B3E50}"/>
    <cellStyle name="Normal 10 4 2 3 4" xfId="1500" xr:uid="{DF7BC015-BB04-4556-99CF-A150A3576ED3}"/>
    <cellStyle name="Normal 10 4 2 3 4 2" xfId="2750" xr:uid="{20A10DE5-5835-4A50-A54C-6584967ABC36}"/>
    <cellStyle name="Normal 10 4 2 3 4 2 2" xfId="5248" xr:uid="{4956EE4B-F9EF-4E85-9466-8D7E335191C0}"/>
    <cellStyle name="Normal 10 4 2 3 4 2 2 2" xfId="10244" xr:uid="{163AE45D-FB07-4DD5-A63A-EC52EE56420A}"/>
    <cellStyle name="Normal 10 4 2 3 4 2 3" xfId="7746" xr:uid="{522AFAC2-4340-48A3-9D91-EA56A2F409C9}"/>
    <cellStyle name="Normal 10 4 2 3 4 3" xfId="3999" xr:uid="{195DE8E7-A7DF-4B99-9C07-6938569C6752}"/>
    <cellStyle name="Normal 10 4 2 3 4 3 2" xfId="8995" xr:uid="{72FDF7A3-3DC2-436A-BF1B-30CEAFE18495}"/>
    <cellStyle name="Normal 10 4 2 3 4 4" xfId="6497" xr:uid="{EF9221C2-7AA9-4C2B-8A10-529BE7667AAB}"/>
    <cellStyle name="Normal 10 4 2 3 5" xfId="1831" xr:uid="{337FF6DB-EA92-4E12-9F07-DDC1563677D7}"/>
    <cellStyle name="Normal 10 4 2 3 5 2" xfId="4329" xr:uid="{C53BAD86-DEE9-4ACD-A152-BB78A3D30D47}"/>
    <cellStyle name="Normal 10 4 2 3 5 2 2" xfId="9325" xr:uid="{CACE05C1-FDD3-4A72-8DC2-A985A3AA14B3}"/>
    <cellStyle name="Normal 10 4 2 3 5 3" xfId="6827" xr:uid="{F1403345-0F16-4B44-8DD0-9D4879D690A5}"/>
    <cellStyle name="Normal 10 4 2 3 6" xfId="3080" xr:uid="{C58FA6DF-A736-4E95-BFF8-3C8973FEE265}"/>
    <cellStyle name="Normal 10 4 2 3 6 2" xfId="8076" xr:uid="{EED462DF-F0FC-42C9-8E97-6F7312A2CA50}"/>
    <cellStyle name="Normal 10 4 2 3 7" xfId="5578" xr:uid="{E19D8C3C-305C-41FD-9397-D2059C02F144}"/>
    <cellStyle name="Normal 10 4 2 3 8" xfId="580" xr:uid="{A5B770DF-BDAE-4A03-8A30-867C59927918}"/>
    <cellStyle name="Normal 10 4 2 4" xfId="827" xr:uid="{254B61D8-E00D-446C-9386-063200F9CAA2}"/>
    <cellStyle name="Normal 10 4 2 4 2" xfId="2078" xr:uid="{386B2889-1681-4FBF-BEAC-AC4FD5B67E33}"/>
    <cellStyle name="Normal 10 4 2 4 2 2" xfId="4576" xr:uid="{078C68E1-69E1-44EC-BB6F-A5E04F565E15}"/>
    <cellStyle name="Normal 10 4 2 4 2 2 2" xfId="9572" xr:uid="{9627C42A-75A7-4016-A4AC-3203ABE0CBDD}"/>
    <cellStyle name="Normal 10 4 2 4 2 3" xfId="7074" xr:uid="{020A20EE-A191-493A-96F1-5E445F94C4CF}"/>
    <cellStyle name="Normal 10 4 2 4 3" xfId="3327" xr:uid="{3B2AFEEE-0744-4924-A518-74A1519D466D}"/>
    <cellStyle name="Normal 10 4 2 4 3 2" xfId="8323" xr:uid="{E038C1D2-E855-4370-BFB1-BB1B368B9C01}"/>
    <cellStyle name="Normal 10 4 2 4 4" xfId="5825" xr:uid="{F0D37F5F-9DA3-4DF4-8D79-9072B9E7E0BE}"/>
    <cellStyle name="Normal 10 4 2 5" xfId="1140" xr:uid="{6F272524-2CA9-413F-AEED-BA516FE6E1A8}"/>
    <cellStyle name="Normal 10 4 2 5 2" xfId="2390" xr:uid="{9EDE976E-CC3A-48DB-9556-1F27B7F6C309}"/>
    <cellStyle name="Normal 10 4 2 5 2 2" xfId="4888" xr:uid="{26C1803F-5F08-4F65-85D4-E006329B82B9}"/>
    <cellStyle name="Normal 10 4 2 5 2 2 2" xfId="9884" xr:uid="{B748B655-8AF7-4FF7-878F-4FF32CBF111B}"/>
    <cellStyle name="Normal 10 4 2 5 2 3" xfId="7386" xr:uid="{C8570246-2B87-418C-B2A4-561327DCE737}"/>
    <cellStyle name="Normal 10 4 2 5 3" xfId="3639" xr:uid="{4F555E12-ABF5-44FA-BDBC-83D99D1B682B}"/>
    <cellStyle name="Normal 10 4 2 5 3 2" xfId="8635" xr:uid="{8C474E74-CB09-4B29-A361-93A9BF9FFB66}"/>
    <cellStyle name="Normal 10 4 2 5 4" xfId="6137" xr:uid="{A36C3719-5D70-4917-A5D4-20C320E7E0BC}"/>
    <cellStyle name="Normal 10 4 2 6" xfId="1337" xr:uid="{D9B4210B-1672-4922-A4B0-D16DEA025485}"/>
    <cellStyle name="Normal 10 4 2 6 2" xfId="2587" xr:uid="{7BEE407E-02FB-426B-8615-11C4852ECE1F}"/>
    <cellStyle name="Normal 10 4 2 6 2 2" xfId="5085" xr:uid="{9CE3B53B-FF9C-4616-BD47-02FAF32A93EB}"/>
    <cellStyle name="Normal 10 4 2 6 2 2 2" xfId="10081" xr:uid="{E5148A4A-B810-48E3-AF9C-E999AAA0878A}"/>
    <cellStyle name="Normal 10 4 2 6 2 3" xfId="7583" xr:uid="{081B245C-418E-44EE-A348-A27D5A66C498}"/>
    <cellStyle name="Normal 10 4 2 6 3" xfId="3836" xr:uid="{F0802132-2A64-450B-8681-7332BD68BD3F}"/>
    <cellStyle name="Normal 10 4 2 6 3 2" xfId="8832" xr:uid="{F3C698B7-5560-426E-8A63-654324D6C82C}"/>
    <cellStyle name="Normal 10 4 2 6 4" xfId="6334" xr:uid="{407B1735-DB68-4770-90A8-914D669F91B9}"/>
    <cellStyle name="Normal 10 4 2 7" xfId="1668" xr:uid="{718ECBC5-CD03-4413-BC5F-410CCE8C1939}"/>
    <cellStyle name="Normal 10 4 2 7 2" xfId="4166" xr:uid="{447E2787-B083-42A0-ACAC-9462F57FADE9}"/>
    <cellStyle name="Normal 10 4 2 7 2 2" xfId="9162" xr:uid="{A8320BD3-DA6A-402D-A6A1-81D11E260215}"/>
    <cellStyle name="Normal 10 4 2 7 3" xfId="6664" xr:uid="{5ED5CC6F-8EE9-435D-B4DC-36290B32B736}"/>
    <cellStyle name="Normal 10 4 2 8" xfId="2917" xr:uid="{63B384CC-F8EA-4649-B502-0282947E6D9D}"/>
    <cellStyle name="Normal 10 4 2 8 2" xfId="7913" xr:uid="{1C05A54F-AB4B-45E4-8985-731F64425E4C}"/>
    <cellStyle name="Normal 10 4 2 9" xfId="5415" xr:uid="{9199D145-7C12-4B29-974C-6C9AE70FBAE1}"/>
    <cellStyle name="Normal 10 4 3" xfId="211" xr:uid="{BC66BBD7-7562-4043-8E35-45022F033AE3}"/>
    <cellStyle name="Normal 10 4 3 2" xfId="212" xr:uid="{937660DA-7F60-405A-A3A2-7E8AE23CDDFD}"/>
    <cellStyle name="Normal 10 4 3 2 2" xfId="832" xr:uid="{9ABA5E5E-517E-48CB-B660-ADC4824A5603}"/>
    <cellStyle name="Normal 10 4 3 2 2 2" xfId="2083" xr:uid="{ACEEE70B-415F-4243-B3B0-EE27B502BC64}"/>
    <cellStyle name="Normal 10 4 3 2 2 2 2" xfId="4581" xr:uid="{7175E4A8-7AF2-4E53-96CA-6087C59CEE26}"/>
    <cellStyle name="Normal 10 4 3 2 2 2 2 2" xfId="9577" xr:uid="{D3C21857-8901-475E-B3AC-F26B07911161}"/>
    <cellStyle name="Normal 10 4 3 2 2 2 3" xfId="7079" xr:uid="{0EDC0C06-99E3-4D93-874C-E546132B3630}"/>
    <cellStyle name="Normal 10 4 3 2 2 3" xfId="3332" xr:uid="{C0A713DF-26A1-480A-8967-9AF1075EC56E}"/>
    <cellStyle name="Normal 10 4 3 2 2 3 2" xfId="8328" xr:uid="{F504AF90-E66B-4371-B448-CBA0F45CCA4C}"/>
    <cellStyle name="Normal 10 4 3 2 2 4" xfId="5830" xr:uid="{6A12093B-64CF-43CB-BFC3-00E703586D33}"/>
    <cellStyle name="Normal 10 4 3 2 3" xfId="1145" xr:uid="{4D3D8585-801E-4D0C-A122-787DAC27BB84}"/>
    <cellStyle name="Normal 10 4 3 2 3 2" xfId="2395" xr:uid="{247C6551-3AC5-4C05-97F6-5210E16D38A7}"/>
    <cellStyle name="Normal 10 4 3 2 3 2 2" xfId="4893" xr:uid="{316E9A1C-3D76-4F03-A6BE-B91E3EE1ABEE}"/>
    <cellStyle name="Normal 10 4 3 2 3 2 2 2" xfId="9889" xr:uid="{5AB6A8FB-32A3-40B7-A331-34472EFD251E}"/>
    <cellStyle name="Normal 10 4 3 2 3 2 3" xfId="7391" xr:uid="{970DAB47-F4F7-45AB-8677-B3B0816E2E90}"/>
    <cellStyle name="Normal 10 4 3 2 3 3" xfId="3644" xr:uid="{28462A0D-4AC8-4FDC-B680-01C87D1F968C}"/>
    <cellStyle name="Normal 10 4 3 2 3 3 2" xfId="8640" xr:uid="{9E82A3E8-229A-4F8A-BF2D-1A9336B78F09}"/>
    <cellStyle name="Normal 10 4 3 2 3 4" xfId="6142" xr:uid="{4BAC1212-6D6C-4320-A090-049D8A88CA25}"/>
    <cellStyle name="Normal 10 4 3 2 4" xfId="1502" xr:uid="{888C1EF3-0521-4D4D-B350-EE2519209A91}"/>
    <cellStyle name="Normal 10 4 3 2 4 2" xfId="2752" xr:uid="{C7DB9D50-3B10-420B-BFD0-CDB25AB0F450}"/>
    <cellStyle name="Normal 10 4 3 2 4 2 2" xfId="5250" xr:uid="{CA237EF3-FE7A-4E3D-859D-9DA6C7CA9AF0}"/>
    <cellStyle name="Normal 10 4 3 2 4 2 2 2" xfId="10246" xr:uid="{F65BF4F5-3C86-4FC5-9050-30C3C331891A}"/>
    <cellStyle name="Normal 10 4 3 2 4 2 3" xfId="7748" xr:uid="{7538DF3E-10CD-49BC-84D3-CCE1C495A263}"/>
    <cellStyle name="Normal 10 4 3 2 4 3" xfId="4001" xr:uid="{D3974548-0505-47A3-9894-46699D478089}"/>
    <cellStyle name="Normal 10 4 3 2 4 3 2" xfId="8997" xr:uid="{8AD998F5-37C8-4594-8618-529D8F74ED61}"/>
    <cellStyle name="Normal 10 4 3 2 4 4" xfId="6499" xr:uid="{19D68BDD-EF1B-4DC4-8F70-B382551BD960}"/>
    <cellStyle name="Normal 10 4 3 2 5" xfId="1833" xr:uid="{42552C5A-EDB2-4F42-B5BE-64B9B268D064}"/>
    <cellStyle name="Normal 10 4 3 2 5 2" xfId="4331" xr:uid="{697E1E9C-A861-462E-935C-6E430410102D}"/>
    <cellStyle name="Normal 10 4 3 2 5 2 2" xfId="9327" xr:uid="{F572F083-58A5-42E6-BDC2-98ED2D6D3CD8}"/>
    <cellStyle name="Normal 10 4 3 2 5 3" xfId="6829" xr:uid="{9903F405-B2DC-4894-86FD-85A08587B6E0}"/>
    <cellStyle name="Normal 10 4 3 2 6" xfId="3082" xr:uid="{972112C8-7AB5-475B-8D56-48172DA039EE}"/>
    <cellStyle name="Normal 10 4 3 2 6 2" xfId="8078" xr:uid="{61A7AF18-3709-4C50-8FEC-EB1120B0E5DF}"/>
    <cellStyle name="Normal 10 4 3 2 7" xfId="5580" xr:uid="{9AA50477-46BB-4566-A161-7137C199E5FD}"/>
    <cellStyle name="Normal 10 4 3 2 8" xfId="582" xr:uid="{13C74E77-D80D-4A8D-A0A2-05D4DAEDCE84}"/>
    <cellStyle name="Normal 10 4 3 3" xfId="831" xr:uid="{FDE7E775-1F58-492C-B0A6-6B128D66FC86}"/>
    <cellStyle name="Normal 10 4 3 3 2" xfId="2082" xr:uid="{2589F665-315A-4A0E-BD3C-4290CE283391}"/>
    <cellStyle name="Normal 10 4 3 3 2 2" xfId="4580" xr:uid="{E0AC857D-30C2-4F9D-98AC-6046D73A73CE}"/>
    <cellStyle name="Normal 10 4 3 3 2 2 2" xfId="9576" xr:uid="{558DA8B4-4B1B-4B31-90B3-D7A2199D0B58}"/>
    <cellStyle name="Normal 10 4 3 3 2 3" xfId="7078" xr:uid="{1C30DCF1-B8A8-4FB2-955A-0A1832B9FB67}"/>
    <cellStyle name="Normal 10 4 3 3 3" xfId="3331" xr:uid="{0396B228-E514-44F0-AEFE-E3E64AB19E27}"/>
    <cellStyle name="Normal 10 4 3 3 3 2" xfId="8327" xr:uid="{56704D95-5D56-4BB7-AA38-0E7E67D2E90E}"/>
    <cellStyle name="Normal 10 4 3 3 4" xfId="5829" xr:uid="{D3EA3435-E85D-4DB9-8BC2-1104DDC91081}"/>
    <cellStyle name="Normal 10 4 3 4" xfId="1144" xr:uid="{A4597C85-18B8-414F-8707-19DF0D48AC83}"/>
    <cellStyle name="Normal 10 4 3 4 2" xfId="2394" xr:uid="{994C416F-77C9-40C6-9E00-66C402B5606F}"/>
    <cellStyle name="Normal 10 4 3 4 2 2" xfId="4892" xr:uid="{8259EC49-294F-4B74-B512-4717AF3D85DF}"/>
    <cellStyle name="Normal 10 4 3 4 2 2 2" xfId="9888" xr:uid="{E7D8E2AC-E6DD-4AAD-80B9-C3B96F1B31D4}"/>
    <cellStyle name="Normal 10 4 3 4 2 3" xfId="7390" xr:uid="{7DFB45A3-4675-45B7-A1AB-F388764788C8}"/>
    <cellStyle name="Normal 10 4 3 4 3" xfId="3643" xr:uid="{531C8006-5CB9-43AA-8F78-25736593132B}"/>
    <cellStyle name="Normal 10 4 3 4 3 2" xfId="8639" xr:uid="{0D7DA87D-9D59-46E6-BA51-1BB53A584300}"/>
    <cellStyle name="Normal 10 4 3 4 4" xfId="6141" xr:uid="{76C4237A-AB56-4D59-8FC0-4B89E99730E3}"/>
    <cellStyle name="Normal 10 4 3 5" xfId="1400" xr:uid="{9BF40B3C-B8A7-4E8F-B150-FC836D758E0B}"/>
    <cellStyle name="Normal 10 4 3 5 2" xfId="2650" xr:uid="{01716086-A865-47C3-BD7A-7B84F2EB47F6}"/>
    <cellStyle name="Normal 10 4 3 5 2 2" xfId="5148" xr:uid="{F007AC81-28A0-4247-8BE7-6AF3C87877FF}"/>
    <cellStyle name="Normal 10 4 3 5 2 2 2" xfId="10144" xr:uid="{7F765747-A11D-49EC-88BB-F6E980ED67B6}"/>
    <cellStyle name="Normal 10 4 3 5 2 3" xfId="7646" xr:uid="{8A9D6972-0720-492C-BE5A-C7213274C61D}"/>
    <cellStyle name="Normal 10 4 3 5 3" xfId="3899" xr:uid="{FCBBB9F8-BA12-4FCD-AD02-29D08816D6E6}"/>
    <cellStyle name="Normal 10 4 3 5 3 2" xfId="8895" xr:uid="{75A67AF0-F0C1-4578-A55F-0816E153872C}"/>
    <cellStyle name="Normal 10 4 3 5 4" xfId="6397" xr:uid="{03068372-D37D-4A80-9225-2CC3FC56D56F}"/>
    <cellStyle name="Normal 10 4 3 6" xfId="1731" xr:uid="{B48972F8-4769-4520-BE62-B2D7D40F748F}"/>
    <cellStyle name="Normal 10 4 3 6 2" xfId="4229" xr:uid="{06B7CC69-5A6C-41EA-BB7F-876F333320FE}"/>
    <cellStyle name="Normal 10 4 3 6 2 2" xfId="9225" xr:uid="{5BC2A630-3B04-44AD-B120-E6AA34119828}"/>
    <cellStyle name="Normal 10 4 3 6 3" xfId="6727" xr:uid="{B66C16A8-9AA4-49C4-ADEE-D35F8CB98A7E}"/>
    <cellStyle name="Normal 10 4 3 7" xfId="2980" xr:uid="{EA6C7B0C-4D4E-4D18-B0CC-3ADC17F730A5}"/>
    <cellStyle name="Normal 10 4 3 7 2" xfId="7976" xr:uid="{19D80239-C800-4001-98CA-1B86195F4B6B}"/>
    <cellStyle name="Normal 10 4 3 8" xfId="5478" xr:uid="{42594B27-8906-408A-94B2-E181A4B30BF9}"/>
    <cellStyle name="Normal 10 4 3 9" xfId="480" xr:uid="{0DDBF444-94BD-4768-8D53-3ED7167F7C37}"/>
    <cellStyle name="Normal 10 4 4" xfId="213" xr:uid="{DF46E967-CA35-4B06-A19D-69A846C0FA41}"/>
    <cellStyle name="Normal 10 4 4 2" xfId="833" xr:uid="{AE3CA8DF-4C3A-482F-8B73-322921FCFCE6}"/>
    <cellStyle name="Normal 10 4 4 2 2" xfId="2084" xr:uid="{A7876CB8-A5A6-4ED2-BE84-4E7B60D4ACEF}"/>
    <cellStyle name="Normal 10 4 4 2 2 2" xfId="4582" xr:uid="{94436D13-5009-4940-8A7A-03B8C0849422}"/>
    <cellStyle name="Normal 10 4 4 2 2 2 2" xfId="9578" xr:uid="{2C24613A-F328-476D-BE29-9977439C6B52}"/>
    <cellStyle name="Normal 10 4 4 2 2 3" xfId="7080" xr:uid="{E1470BC2-5A36-41F3-A696-77B3F7010A7A}"/>
    <cellStyle name="Normal 10 4 4 2 3" xfId="3333" xr:uid="{EE3D9606-1699-48CA-A4DB-E76C4C549F6F}"/>
    <cellStyle name="Normal 10 4 4 2 3 2" xfId="8329" xr:uid="{E814FEA3-E6B8-48FD-8785-EF0BDAE9FD62}"/>
    <cellStyle name="Normal 10 4 4 2 4" xfId="5831" xr:uid="{EAF2EE13-7CE3-49B7-A2C3-CA0B7DF91867}"/>
    <cellStyle name="Normal 10 4 4 3" xfId="1146" xr:uid="{5E1BA0B7-5E38-481C-BD6F-FBF04F1FE8D7}"/>
    <cellStyle name="Normal 10 4 4 3 2" xfId="2396" xr:uid="{784FD1D3-9D05-440F-9949-9E362BE07C44}"/>
    <cellStyle name="Normal 10 4 4 3 2 2" xfId="4894" xr:uid="{B5FCCBCE-792D-466E-BBFE-1DC0D408C7BC}"/>
    <cellStyle name="Normal 10 4 4 3 2 2 2" xfId="9890" xr:uid="{5A9695A6-A7FC-405C-90F3-A3F0A38E08A9}"/>
    <cellStyle name="Normal 10 4 4 3 2 3" xfId="7392" xr:uid="{681B904F-D162-4100-A849-ED07D4A27B99}"/>
    <cellStyle name="Normal 10 4 4 3 3" xfId="3645" xr:uid="{1663B00A-C9FF-482A-8D45-F527D33DA12B}"/>
    <cellStyle name="Normal 10 4 4 3 3 2" xfId="8641" xr:uid="{657E0C71-8EDE-4A7D-9929-21C56D7EFCE6}"/>
    <cellStyle name="Normal 10 4 4 3 4" xfId="6143" xr:uid="{567515BB-95F1-46B8-B819-62337BC09636}"/>
    <cellStyle name="Normal 10 4 4 4" xfId="1499" xr:uid="{D03DA24A-337F-4CA0-885A-F93DE4841975}"/>
    <cellStyle name="Normal 10 4 4 4 2" xfId="2749" xr:uid="{9CCA82D8-A934-4ADC-A4C4-3FEDEE59335A}"/>
    <cellStyle name="Normal 10 4 4 4 2 2" xfId="5247" xr:uid="{39F4C40C-471D-48BB-A21D-3464CA7E0E0E}"/>
    <cellStyle name="Normal 10 4 4 4 2 2 2" xfId="10243" xr:uid="{540613B3-2D33-4E04-80C8-0B182C914B12}"/>
    <cellStyle name="Normal 10 4 4 4 2 3" xfId="7745" xr:uid="{6CDD0126-9AD7-42FE-9711-42F80CB5A996}"/>
    <cellStyle name="Normal 10 4 4 4 3" xfId="3998" xr:uid="{E939EED9-BD3D-4AF6-AE82-18C61FEA3559}"/>
    <cellStyle name="Normal 10 4 4 4 3 2" xfId="8994" xr:uid="{0A2227B8-C8EA-4553-BB2E-07F29461CF4C}"/>
    <cellStyle name="Normal 10 4 4 4 4" xfId="6496" xr:uid="{23111F2D-C00A-41D3-818A-441EB473CE18}"/>
    <cellStyle name="Normal 10 4 4 5" xfId="1830" xr:uid="{93203144-6044-431B-A486-07760D317A9E}"/>
    <cellStyle name="Normal 10 4 4 5 2" xfId="4328" xr:uid="{BF9F332E-1C28-45BA-A88A-EF1F86958F7E}"/>
    <cellStyle name="Normal 10 4 4 5 2 2" xfId="9324" xr:uid="{30B402E7-FCD0-4F2F-8A96-DC05BE6483C0}"/>
    <cellStyle name="Normal 10 4 4 5 3" xfId="6826" xr:uid="{B68564DC-80DB-4D8E-9B79-08221EC22615}"/>
    <cellStyle name="Normal 10 4 4 6" xfId="3079" xr:uid="{8CD519CF-BEEC-4B34-A8CD-EC417A85FC9E}"/>
    <cellStyle name="Normal 10 4 4 6 2" xfId="8075" xr:uid="{AAF2FA81-F88B-4AC8-ACC6-C547D8851E7D}"/>
    <cellStyle name="Normal 10 4 4 7" xfId="5577" xr:uid="{7C37EF50-EF68-45D6-8A3D-402DF6BD602B}"/>
    <cellStyle name="Normal 10 4 4 8" xfId="579" xr:uid="{26B79053-3306-4EA4-964C-79D7AC2241AC}"/>
    <cellStyle name="Normal 10 4 5" xfId="719" xr:uid="{8F9E342B-F2C4-458D-8C33-346C4F2A22DD}"/>
    <cellStyle name="Normal 10 4 5 2" xfId="1970" xr:uid="{7F078C7A-970E-421C-9926-B72CC5B1C2CB}"/>
    <cellStyle name="Normal 10 4 5 2 2" xfId="4468" xr:uid="{04BA05BF-E707-420F-9B7B-FB4D1B33A5BB}"/>
    <cellStyle name="Normal 10 4 5 2 2 2" xfId="9464" xr:uid="{01ECF070-EAA9-4582-8B33-5B1EC6848FBE}"/>
    <cellStyle name="Normal 10 4 5 2 3" xfId="6966" xr:uid="{807AD40B-2134-40DE-AAA2-A27E7FC18018}"/>
    <cellStyle name="Normal 10 4 5 3" xfId="3219" xr:uid="{42F9C1B9-D3A1-4563-B770-7FA1EC3BC458}"/>
    <cellStyle name="Normal 10 4 5 3 2" xfId="8215" xr:uid="{8FD0C864-3B29-4220-97BD-7CFF95474E6D}"/>
    <cellStyle name="Normal 10 4 5 4" xfId="5717" xr:uid="{C7659E9D-F972-44DA-A148-341F935AF8F5}"/>
    <cellStyle name="Normal 10 4 6" xfId="1032" xr:uid="{6B1166A4-8C5F-4D89-B244-7B99A9518241}"/>
    <cellStyle name="Normal 10 4 6 2" xfId="2282" xr:uid="{64CD65BA-8F06-4169-AAA8-BAA9243ACB65}"/>
    <cellStyle name="Normal 10 4 6 2 2" xfId="4780" xr:uid="{6972797D-D952-4BD4-BD96-A98552DFFE79}"/>
    <cellStyle name="Normal 10 4 6 2 2 2" xfId="9776" xr:uid="{6A6659BF-1E10-4E63-B685-52017BB4B3A7}"/>
    <cellStyle name="Normal 10 4 6 2 3" xfId="7278" xr:uid="{65CBE488-A2E4-41B2-94F9-76B90E8C449E}"/>
    <cellStyle name="Normal 10 4 6 3" xfId="3531" xr:uid="{71FE2E83-741A-4C4D-BD69-28BC0E9AE26E}"/>
    <cellStyle name="Normal 10 4 6 3 2" xfId="8527" xr:uid="{FCFD3891-041A-4219-801F-569400AF51AF}"/>
    <cellStyle name="Normal 10 4 6 4" xfId="6029" xr:uid="{2332F8CB-EB4D-452A-9B02-1A8A5B2A8336}"/>
    <cellStyle name="Normal 10 4 7" xfId="1333" xr:uid="{90B494A0-1890-4A56-B6C9-2B8258613B59}"/>
    <cellStyle name="Normal 10 4 7 2" xfId="2583" xr:uid="{DE495FCD-B5A0-4BE7-9C46-4008A6E67F88}"/>
    <cellStyle name="Normal 10 4 7 2 2" xfId="5081" xr:uid="{E56432D3-E3D0-4C96-A927-77F71976198E}"/>
    <cellStyle name="Normal 10 4 7 2 2 2" xfId="10077" xr:uid="{24735067-83E2-41C5-82BB-88100248AA50}"/>
    <cellStyle name="Normal 10 4 7 2 3" xfId="7579" xr:uid="{67457646-185B-4F19-BB79-1C3E7FD269DD}"/>
    <cellStyle name="Normal 10 4 7 3" xfId="3832" xr:uid="{1C8EDC99-FDB7-4669-85E5-FD998F6E7E44}"/>
    <cellStyle name="Normal 10 4 7 3 2" xfId="8828" xr:uid="{CD7E6AB0-E9C7-42CB-B18C-9D667705A908}"/>
    <cellStyle name="Normal 10 4 7 4" xfId="6330" xr:uid="{2C2BF355-7DD9-4D0D-A835-9162F4948B15}"/>
    <cellStyle name="Normal 10 4 8" xfId="1664" xr:uid="{D3B4B133-18CA-4209-A4E3-4C50FBE9066D}"/>
    <cellStyle name="Normal 10 4 8 2" xfId="4162" xr:uid="{713A39B5-54D3-4DD9-A887-7DE554352DFE}"/>
    <cellStyle name="Normal 10 4 8 2 2" xfId="9158" xr:uid="{90B5605C-6F02-4CB2-A93B-257E28D98197}"/>
    <cellStyle name="Normal 10 4 8 3" xfId="6660" xr:uid="{A104552B-CFDF-4977-BF97-05AEE45BB93D}"/>
    <cellStyle name="Normal 10 4 9" xfId="2913" xr:uid="{08B40AA4-9F8C-4431-9F1D-2C910725089C}"/>
    <cellStyle name="Normal 10 4 9 2" xfId="7909" xr:uid="{C59A9FB1-CA94-414B-A1C3-61863D2AED72}"/>
    <cellStyle name="Normal 10 5" xfId="89" xr:uid="{6987162A-0CAC-475C-B59F-8A646F6919F9}"/>
    <cellStyle name="Normal 10 5 2" xfId="214" xr:uid="{27B8F8B4-627E-43AF-B6FA-C5F31CEEA579}"/>
    <cellStyle name="Normal 10 5 2 2" xfId="834" xr:uid="{CC33B38B-CF17-4C89-AB0E-BA0BD4C22A6E}"/>
    <cellStyle name="Normal 10 5 2 2 2" xfId="2085" xr:uid="{C43AFAE6-D91A-4F53-85A5-332DC0FBFED5}"/>
    <cellStyle name="Normal 10 5 2 2 2 2" xfId="4583" xr:uid="{EF61182B-B996-4DEC-8B88-1DFBA111E4E9}"/>
    <cellStyle name="Normal 10 5 2 2 2 2 2" xfId="9579" xr:uid="{72A739FA-BD6A-4402-B483-4C8C5C357960}"/>
    <cellStyle name="Normal 10 5 2 2 2 3" xfId="7081" xr:uid="{4F6D5FE8-B62A-462E-93CB-6366E8510736}"/>
    <cellStyle name="Normal 10 5 2 2 3" xfId="3334" xr:uid="{58381F71-A660-4377-B039-59596F7BC0B6}"/>
    <cellStyle name="Normal 10 5 2 2 3 2" xfId="8330" xr:uid="{1A1787A0-74CF-4DF4-966A-3276C2012787}"/>
    <cellStyle name="Normal 10 5 2 2 4" xfId="5832" xr:uid="{BE50B877-A680-4D37-9BF8-549D6881D067}"/>
    <cellStyle name="Normal 10 5 2 3" xfId="1147" xr:uid="{0E535607-1521-4EB6-94EB-12C20BE98EB0}"/>
    <cellStyle name="Normal 10 5 2 3 2" xfId="2397" xr:uid="{0213CBD6-EE7C-423B-99BC-319F1B3E60AA}"/>
    <cellStyle name="Normal 10 5 2 3 2 2" xfId="4895" xr:uid="{5F019DA6-B24C-4F55-A913-F945830C9264}"/>
    <cellStyle name="Normal 10 5 2 3 2 2 2" xfId="9891" xr:uid="{64D01F40-7EC7-4DE7-BE1B-C816214F0729}"/>
    <cellStyle name="Normal 10 5 2 3 2 3" xfId="7393" xr:uid="{608DF6DD-9277-493D-B0ED-13E59F8D872A}"/>
    <cellStyle name="Normal 10 5 2 3 3" xfId="3646" xr:uid="{4A6DC966-AFCF-4E3D-A3E7-DC5353865E7C}"/>
    <cellStyle name="Normal 10 5 2 3 3 2" xfId="8642" xr:uid="{BFB0FF70-95E6-403B-9648-982EFF3D0C48}"/>
    <cellStyle name="Normal 10 5 2 3 4" xfId="6144" xr:uid="{C2B47C25-71B8-47BE-93E2-564B1B75E50E}"/>
    <cellStyle name="Normal 10 5 2 4" xfId="1503" xr:uid="{9176F377-B821-4409-B923-969FE477FDDB}"/>
    <cellStyle name="Normal 10 5 2 4 2" xfId="2753" xr:uid="{699E580F-5EF7-4111-94DB-F49275CCF5CD}"/>
    <cellStyle name="Normal 10 5 2 4 2 2" xfId="5251" xr:uid="{1E1A4D6E-E438-49B7-83DC-23C53046CA2E}"/>
    <cellStyle name="Normal 10 5 2 4 2 2 2" xfId="10247" xr:uid="{4CC9FC7B-DE13-48DD-8459-7A69E456F3EC}"/>
    <cellStyle name="Normal 10 5 2 4 2 3" xfId="7749" xr:uid="{C9F55C1B-7C76-4C91-B0D5-048BA3B5AE11}"/>
    <cellStyle name="Normal 10 5 2 4 3" xfId="4002" xr:uid="{644CC2D6-4014-4479-AB67-6AAF308B7AA8}"/>
    <cellStyle name="Normal 10 5 2 4 3 2" xfId="8998" xr:uid="{A7693C82-B4F6-43FF-8FE9-FCFF3AEDE64E}"/>
    <cellStyle name="Normal 10 5 2 4 4" xfId="6500" xr:uid="{7D200876-B954-4E5A-BBF7-988C7ED40D99}"/>
    <cellStyle name="Normal 10 5 2 5" xfId="1834" xr:uid="{48CCD014-7C69-43B8-A849-7D5BA88207FE}"/>
    <cellStyle name="Normal 10 5 2 5 2" xfId="4332" xr:uid="{8548B98E-8D14-45B5-BCE0-E34FB38A85A6}"/>
    <cellStyle name="Normal 10 5 2 5 2 2" xfId="9328" xr:uid="{44A442A6-30B3-4B68-BE06-FC9D35DF1D94}"/>
    <cellStyle name="Normal 10 5 2 5 3" xfId="6830" xr:uid="{D3AA7261-366B-430F-9E1B-533F61A5DE36}"/>
    <cellStyle name="Normal 10 5 2 6" xfId="3083" xr:uid="{EAE1C701-C95B-4D24-BC32-21278BC81854}"/>
    <cellStyle name="Normal 10 5 2 6 2" xfId="8079" xr:uid="{BAAC53A9-DCA5-4C19-9AC5-3E9A7CA931C3}"/>
    <cellStyle name="Normal 10 5 2 7" xfId="5581" xr:uid="{DE7B41F1-71CC-44C8-8423-1CB1F343D76E}"/>
    <cellStyle name="Normal 10 5 2 8" xfId="583" xr:uid="{21822DE5-B521-4C7C-A985-60C8C888931B}"/>
    <cellStyle name="Normal 10 5 3" xfId="743" xr:uid="{3523AEC0-9065-4897-86FD-5A45C1D5B2B3}"/>
    <cellStyle name="Normal 10 5 3 2" xfId="1994" xr:uid="{717CE7AB-10B2-41BE-9E54-E2BF81A38493}"/>
    <cellStyle name="Normal 10 5 3 2 2" xfId="4492" xr:uid="{2C40035E-298A-4B9F-92DD-66F083AD4544}"/>
    <cellStyle name="Normal 10 5 3 2 2 2" xfId="9488" xr:uid="{14283B6E-EC2C-4F7E-A87F-219DB2BCE07A}"/>
    <cellStyle name="Normal 10 5 3 2 3" xfId="6990" xr:uid="{C03547B2-BA61-4D98-B4D6-CE091AC144F5}"/>
    <cellStyle name="Normal 10 5 3 3" xfId="3243" xr:uid="{C657F989-2DFD-42D0-92B5-657EC6723676}"/>
    <cellStyle name="Normal 10 5 3 3 2" xfId="8239" xr:uid="{957E5B00-46A9-414E-AC4D-1370FC34C552}"/>
    <cellStyle name="Normal 10 5 3 4" xfId="5741" xr:uid="{6DC42A5E-2341-4B0F-9787-C73D01E28F80}"/>
    <cellStyle name="Normal 10 5 4" xfId="1056" xr:uid="{EA87E5FC-1225-4513-A477-10441F3165E8}"/>
    <cellStyle name="Normal 10 5 4 2" xfId="2306" xr:uid="{90051E65-A0E0-4C86-89B0-8847835FB48B}"/>
    <cellStyle name="Normal 10 5 4 2 2" xfId="4804" xr:uid="{4CBA2F44-DD9E-4231-8088-DF5CFD635C6D}"/>
    <cellStyle name="Normal 10 5 4 2 2 2" xfId="9800" xr:uid="{E24CEF6E-9F2F-44CB-AACE-9874B0B3BEB2}"/>
    <cellStyle name="Normal 10 5 4 2 3" xfId="7302" xr:uid="{D49F82FC-1A91-4292-BE60-351CF4C4D9EB}"/>
    <cellStyle name="Normal 10 5 4 3" xfId="3555" xr:uid="{F05F10D4-F762-45E1-BDB0-3E3B9D5A46E1}"/>
    <cellStyle name="Normal 10 5 4 3 2" xfId="8551" xr:uid="{5B42F6DA-1CE5-4F73-AE76-DA98310F8339}"/>
    <cellStyle name="Normal 10 5 4 4" xfId="6053" xr:uid="{DB0533A8-9E96-4F2C-A830-1AEB4E2E8B75}"/>
    <cellStyle name="Normal 10 5 5" xfId="1401" xr:uid="{AB4CF731-AC7F-468D-9329-F2E3678AA47E}"/>
    <cellStyle name="Normal 10 5 5 2" xfId="2651" xr:uid="{D06A1732-872A-44AB-ADDF-74B16B0266AA}"/>
    <cellStyle name="Normal 10 5 5 2 2" xfId="5149" xr:uid="{C7D22A1C-78E2-4777-86A1-A74306225096}"/>
    <cellStyle name="Normal 10 5 5 2 2 2" xfId="10145" xr:uid="{FAD02260-E471-4350-99A3-F5B694733A25}"/>
    <cellStyle name="Normal 10 5 5 2 3" xfId="7647" xr:uid="{06583593-E6AB-4DE0-9B22-E0DB4477BE20}"/>
    <cellStyle name="Normal 10 5 5 3" xfId="3900" xr:uid="{2D0A1154-D1F4-49E0-8B37-997E4FE38664}"/>
    <cellStyle name="Normal 10 5 5 3 2" xfId="8896" xr:uid="{E37398B8-E43A-43AE-BA57-02C526850B34}"/>
    <cellStyle name="Normal 10 5 5 4" xfId="6398" xr:uid="{5A34DCE0-6E82-42F0-BA9D-94693BBA8C0D}"/>
    <cellStyle name="Normal 10 5 6" xfId="1732" xr:uid="{01997101-9CE7-443A-99BB-B2E0C74CAFC0}"/>
    <cellStyle name="Normal 10 5 6 2" xfId="4230" xr:uid="{E2566609-A65D-48FA-8D61-AA066878D3DD}"/>
    <cellStyle name="Normal 10 5 6 2 2" xfId="9226" xr:uid="{2E620CCF-8318-4F1B-82C3-99F938D97D8E}"/>
    <cellStyle name="Normal 10 5 6 3" xfId="6728" xr:uid="{331F3880-C99B-4AA6-9059-84436F9CE5B5}"/>
    <cellStyle name="Normal 10 5 7" xfId="2981" xr:uid="{6F50D576-E01F-4304-9A88-CA3B9ECF5BD3}"/>
    <cellStyle name="Normal 10 5 7 2" xfId="7977" xr:uid="{EB555D72-45D7-4C43-AC52-56D4651EB05C}"/>
    <cellStyle name="Normal 10 5 8" xfId="5479" xr:uid="{31ED627F-27D4-4EB6-A312-0BEDB04D5D2B}"/>
    <cellStyle name="Normal 10 5 9" xfId="481" xr:uid="{2D053E15-98EF-45F9-8A72-E6A77664876B}"/>
    <cellStyle name="Normal 10 6" xfId="215" xr:uid="{9D9D57E0-0AB2-4363-A6D1-B5A1C31FD5D5}"/>
    <cellStyle name="Normal 10 6 2" xfId="216" xr:uid="{5BBD744A-F6CA-480F-A24B-A0C507093E7A}"/>
    <cellStyle name="Normal 10 6 2 2" xfId="836" xr:uid="{DC900473-BE4C-40CC-808C-D9CF6AFE28FF}"/>
    <cellStyle name="Normal 10 6 2 2 2" xfId="2087" xr:uid="{635AC4FC-C342-4484-9034-B59721A9534C}"/>
    <cellStyle name="Normal 10 6 2 2 2 2" xfId="4585" xr:uid="{85E7624B-E50C-4299-9960-1899A6BEE59A}"/>
    <cellStyle name="Normal 10 6 2 2 2 2 2" xfId="9581" xr:uid="{9118CA34-2B51-49E4-8B01-6107BCD0D620}"/>
    <cellStyle name="Normal 10 6 2 2 2 3" xfId="7083" xr:uid="{58E94BFE-A726-46EC-AEBB-AED2F4D63F94}"/>
    <cellStyle name="Normal 10 6 2 2 3" xfId="3336" xr:uid="{22895F96-A88C-4D6E-9253-55E8208BC31C}"/>
    <cellStyle name="Normal 10 6 2 2 3 2" xfId="8332" xr:uid="{FBC10A31-33D5-4D70-91B0-D3ADA0451D8A}"/>
    <cellStyle name="Normal 10 6 2 2 4" xfId="5834" xr:uid="{51739BEE-4491-4DCE-A7C1-1B546CC10DE4}"/>
    <cellStyle name="Normal 10 6 2 3" xfId="1149" xr:uid="{A4768E49-7F3B-4331-95EA-3A01C5774584}"/>
    <cellStyle name="Normal 10 6 2 3 2" xfId="2399" xr:uid="{95D996DB-CE58-49FE-9F4C-0C0C5D1E2E96}"/>
    <cellStyle name="Normal 10 6 2 3 2 2" xfId="4897" xr:uid="{72B285F4-63C4-4ADC-B03C-D3526F6BCFC2}"/>
    <cellStyle name="Normal 10 6 2 3 2 2 2" xfId="9893" xr:uid="{C68A4757-850D-4BE6-8770-25DAEE928D9F}"/>
    <cellStyle name="Normal 10 6 2 3 2 3" xfId="7395" xr:uid="{4DE5C10D-7293-4CF4-91AE-0620E344A84A}"/>
    <cellStyle name="Normal 10 6 2 3 3" xfId="3648" xr:uid="{9502D567-48E9-416E-9A51-02ED03F57CD0}"/>
    <cellStyle name="Normal 10 6 2 3 3 2" xfId="8644" xr:uid="{C034960F-4FAB-4D8A-9696-B725151CDE88}"/>
    <cellStyle name="Normal 10 6 2 3 4" xfId="6146" xr:uid="{C230C8F2-8BC6-4E88-AC0A-8CD6EA5A21AF}"/>
    <cellStyle name="Normal 10 6 2 4" xfId="1504" xr:uid="{CA431601-1E94-4F0C-AF30-51F50AE571AD}"/>
    <cellStyle name="Normal 10 6 2 4 2" xfId="2754" xr:uid="{057CF2A0-1879-41D0-89AF-C160101B0FE5}"/>
    <cellStyle name="Normal 10 6 2 4 2 2" xfId="5252" xr:uid="{BCE4CA77-A0D4-48A2-B1DB-FD0823234E15}"/>
    <cellStyle name="Normal 10 6 2 4 2 2 2" xfId="10248" xr:uid="{DACC59F2-A8F4-4DD5-8F90-28DB6DC4DD66}"/>
    <cellStyle name="Normal 10 6 2 4 2 3" xfId="7750" xr:uid="{EECBCD52-4BB2-4CE6-B1E7-FF81E3514FA3}"/>
    <cellStyle name="Normal 10 6 2 4 3" xfId="4003" xr:uid="{6FC416CA-8F87-491A-BB19-FBE16C011E38}"/>
    <cellStyle name="Normal 10 6 2 4 3 2" xfId="8999" xr:uid="{F066E9CA-B788-4C6C-995F-55F35F381CC5}"/>
    <cellStyle name="Normal 10 6 2 4 4" xfId="6501" xr:uid="{CA960E90-DD51-4506-A9DD-31B0D0E4814D}"/>
    <cellStyle name="Normal 10 6 2 5" xfId="1835" xr:uid="{EB7C088F-F273-40BB-A52F-241BE202ABA9}"/>
    <cellStyle name="Normal 10 6 2 5 2" xfId="4333" xr:uid="{0A079915-0B97-4EA4-88FD-49177C03957B}"/>
    <cellStyle name="Normal 10 6 2 5 2 2" xfId="9329" xr:uid="{0645F22E-C38A-484B-97E4-C817F0A44E5C}"/>
    <cellStyle name="Normal 10 6 2 5 3" xfId="6831" xr:uid="{7AAC15FB-F2D1-436D-A5F4-E6CF4E8D3453}"/>
    <cellStyle name="Normal 10 6 2 6" xfId="3084" xr:uid="{1B68B745-55CF-4A63-86DD-785A6699CF77}"/>
    <cellStyle name="Normal 10 6 2 6 2" xfId="8080" xr:uid="{14E06D64-0DB9-4C0B-B211-6547357600CA}"/>
    <cellStyle name="Normal 10 6 2 7" xfId="5582" xr:uid="{80236EFE-04DC-4475-841B-C00066EF490B}"/>
    <cellStyle name="Normal 10 6 2 8" xfId="584" xr:uid="{12E09199-85CE-48FB-8393-0C7C0575F96F}"/>
    <cellStyle name="Normal 10 6 3" xfId="835" xr:uid="{CE412303-9E46-4641-BAE4-E413B223BFA5}"/>
    <cellStyle name="Normal 10 6 3 2" xfId="2086" xr:uid="{8E16AC2C-4175-4D99-B038-91A07C2F06E9}"/>
    <cellStyle name="Normal 10 6 3 2 2" xfId="4584" xr:uid="{C1C5C5FB-C0CF-4E35-8680-7930070CD616}"/>
    <cellStyle name="Normal 10 6 3 2 2 2" xfId="9580" xr:uid="{5C257C64-09EF-4594-BBB2-E48F77568A4A}"/>
    <cellStyle name="Normal 10 6 3 2 3" xfId="7082" xr:uid="{AAA2C191-8A89-4ACF-B10A-7F01F799A45E}"/>
    <cellStyle name="Normal 10 6 3 3" xfId="3335" xr:uid="{A2F604E4-DDC4-46E8-B751-5D3BF2EBAAD1}"/>
    <cellStyle name="Normal 10 6 3 3 2" xfId="8331" xr:uid="{9A30F9CB-5582-475D-9343-8639764F459A}"/>
    <cellStyle name="Normal 10 6 3 4" xfId="5833" xr:uid="{58D7884F-9FB1-47F3-83CB-70070B7AE3F7}"/>
    <cellStyle name="Normal 10 6 4" xfId="1148" xr:uid="{70F6EA57-2E71-49D5-8E9D-E926C7D53755}"/>
    <cellStyle name="Normal 10 6 4 2" xfId="2398" xr:uid="{CB041021-8274-4806-B022-DDD37A110D7C}"/>
    <cellStyle name="Normal 10 6 4 2 2" xfId="4896" xr:uid="{B6212D62-3FCD-4F05-AE69-FA76127FFEC8}"/>
    <cellStyle name="Normal 10 6 4 2 2 2" xfId="9892" xr:uid="{559A0A44-BC27-4E08-83AA-9D2E2C317CB5}"/>
    <cellStyle name="Normal 10 6 4 2 3" xfId="7394" xr:uid="{25D5741C-528F-4D66-A58F-C10793A740D6}"/>
    <cellStyle name="Normal 10 6 4 3" xfId="3647" xr:uid="{B8F676D3-9600-4CE4-9D0D-52ED9672F286}"/>
    <cellStyle name="Normal 10 6 4 3 2" xfId="8643" xr:uid="{FE90F90B-AE6C-4511-9DC4-1C6DD635E1D6}"/>
    <cellStyle name="Normal 10 6 4 4" xfId="6145" xr:uid="{1D2A01CA-7655-44E3-8313-2E72CCCD4781}"/>
    <cellStyle name="Normal 10 6 5" xfId="1393" xr:uid="{B5DC778B-2140-4BA1-9085-718555D975CA}"/>
    <cellStyle name="Normal 10 6 5 2" xfId="2643" xr:uid="{5B46ED5E-57F0-415E-AAAC-85E48E2D82F5}"/>
    <cellStyle name="Normal 10 6 5 2 2" xfId="5141" xr:uid="{8C9D9E73-81C8-4283-B099-999FCD98BAF4}"/>
    <cellStyle name="Normal 10 6 5 2 2 2" xfId="10137" xr:uid="{5A01B1C9-544D-40BB-A348-B677AABB2D9A}"/>
    <cellStyle name="Normal 10 6 5 2 3" xfId="7639" xr:uid="{0E3434CC-1AA8-4B35-AABA-6AC1E8A5D80B}"/>
    <cellStyle name="Normal 10 6 5 3" xfId="3892" xr:uid="{9E4A3638-AF1A-46FB-8165-38A94931296D}"/>
    <cellStyle name="Normal 10 6 5 3 2" xfId="8888" xr:uid="{E1CBE2F9-BCC1-4C5A-B39D-87D90A9D8175}"/>
    <cellStyle name="Normal 10 6 5 4" xfId="6390" xr:uid="{79B9B486-D072-4481-86BC-FF5AEEB7EE57}"/>
    <cellStyle name="Normal 10 6 6" xfId="1724" xr:uid="{A064287E-A7B7-409A-B831-CBC0F2A93C6C}"/>
    <cellStyle name="Normal 10 6 6 2" xfId="4222" xr:uid="{8DD6DC58-6F5D-442F-A4BF-001BD8838E02}"/>
    <cellStyle name="Normal 10 6 6 2 2" xfId="9218" xr:uid="{FCF10296-6C84-49A0-922D-6BFAB9A144DC}"/>
    <cellStyle name="Normal 10 6 6 3" xfId="6720" xr:uid="{D57F4921-0B5A-45F9-97E1-DBD32CB7BCCA}"/>
    <cellStyle name="Normal 10 6 7" xfId="2973" xr:uid="{7F3E32A8-CB3B-468E-AE8D-2D82E3D40B4A}"/>
    <cellStyle name="Normal 10 6 7 2" xfId="7969" xr:uid="{67A668B0-B3AD-4870-B6F6-66DCF0354624}"/>
    <cellStyle name="Normal 10 6 8" xfId="5471" xr:uid="{712ACD2C-5470-4E7F-948D-C11B8BE1F8BA}"/>
    <cellStyle name="Normal 10 6 9" xfId="473" xr:uid="{18C51590-1DA9-4E2D-9AC8-99B1AA42C4D0}"/>
    <cellStyle name="Normal 10 7" xfId="217" xr:uid="{4462C2C7-1651-4611-8388-B0FEEBCECE11}"/>
    <cellStyle name="Normal 10 7 2" xfId="837" xr:uid="{7019465B-220E-4F92-8D46-F5F18D1073A2}"/>
    <cellStyle name="Normal 10 7 2 2" xfId="2088" xr:uid="{1A69E66D-C8C2-410E-BC61-63FDFA73411C}"/>
    <cellStyle name="Normal 10 7 2 2 2" xfId="4586" xr:uid="{939765EC-4A74-444E-83E7-415E535C8C0B}"/>
    <cellStyle name="Normal 10 7 2 2 2 2" xfId="9582" xr:uid="{1CA838A5-855F-4D66-A47C-361E99EB3915}"/>
    <cellStyle name="Normal 10 7 2 2 3" xfId="7084" xr:uid="{10768435-DF84-4EB8-B6DF-8260DF0A24D6}"/>
    <cellStyle name="Normal 10 7 2 3" xfId="3337" xr:uid="{A08D8CA3-EA09-4E1B-ACBA-2AE66EB2F8FE}"/>
    <cellStyle name="Normal 10 7 2 3 2" xfId="8333" xr:uid="{5566F1DC-BC09-4D4B-B4A9-D3AD0D26D6F7}"/>
    <cellStyle name="Normal 10 7 2 4" xfId="5835" xr:uid="{8BA84B83-01FB-477B-BD10-CEE7190FED1B}"/>
    <cellStyle name="Normal 10 7 3" xfId="1150" xr:uid="{9F4618F3-58F4-4929-BFCE-9B23C7C63B72}"/>
    <cellStyle name="Normal 10 7 3 2" xfId="2400" xr:uid="{E0EEDC85-E72F-44F9-903E-847C1524DED7}"/>
    <cellStyle name="Normal 10 7 3 2 2" xfId="4898" xr:uid="{8DF41C70-5C3C-4798-A21D-34F94799D6AF}"/>
    <cellStyle name="Normal 10 7 3 2 2 2" xfId="9894" xr:uid="{E7260022-A911-4F33-98B7-931A1ED3D24D}"/>
    <cellStyle name="Normal 10 7 3 2 3" xfId="7396" xr:uid="{595A5F95-581C-441D-A7E7-5790398383F2}"/>
    <cellStyle name="Normal 10 7 3 3" xfId="3649" xr:uid="{67CBE517-5345-48CA-8608-CDE6640F789B}"/>
    <cellStyle name="Normal 10 7 3 3 2" xfId="8645" xr:uid="{1282C44C-6332-4B9C-AC4C-3B748BCDB04C}"/>
    <cellStyle name="Normal 10 7 3 4" xfId="6147" xr:uid="{5E75118F-5581-4D76-A930-BFAE888A66A2}"/>
    <cellStyle name="Normal 10 7 4" xfId="1490" xr:uid="{52D13D9A-A391-43AF-BC60-D76FD4D08D85}"/>
    <cellStyle name="Normal 10 7 4 2" xfId="2740" xr:uid="{D043D3F8-C4B6-4C2B-9CB0-4A66DB8067BE}"/>
    <cellStyle name="Normal 10 7 4 2 2" xfId="5238" xr:uid="{321BDCE9-DB3E-4289-86FF-F2F882A78273}"/>
    <cellStyle name="Normal 10 7 4 2 2 2" xfId="10234" xr:uid="{3276B9A0-541B-438E-B44F-0BE3E107C32B}"/>
    <cellStyle name="Normal 10 7 4 2 3" xfId="7736" xr:uid="{14C86E8F-9E8F-4EF2-8209-6AF3B9AEC273}"/>
    <cellStyle name="Normal 10 7 4 3" xfId="3989" xr:uid="{60895B17-9246-4508-AD4F-86F46C1F848B}"/>
    <cellStyle name="Normal 10 7 4 3 2" xfId="8985" xr:uid="{19BDEBC8-C596-4634-9829-733C7508D92D}"/>
    <cellStyle name="Normal 10 7 4 4" xfId="6487" xr:uid="{64B4CC64-74B6-48F3-A833-5C721601EF57}"/>
    <cellStyle name="Normal 10 7 5" xfId="1821" xr:uid="{3E3587C1-180C-495D-82E5-43C5B02B653B}"/>
    <cellStyle name="Normal 10 7 5 2" xfId="4319" xr:uid="{69F63931-EA6F-42FA-A838-8008FDCC5172}"/>
    <cellStyle name="Normal 10 7 5 2 2" xfId="9315" xr:uid="{443C5350-98D8-483E-BC9E-452D98AE3277}"/>
    <cellStyle name="Normal 10 7 5 3" xfId="6817" xr:uid="{FBB888BB-C0D2-4ED9-AE75-14074BCFA728}"/>
    <cellStyle name="Normal 10 7 6" xfId="3070" xr:uid="{40A51463-C924-4BE4-B274-B05F118DB08D}"/>
    <cellStyle name="Normal 10 7 6 2" xfId="8066" xr:uid="{3ADDC0AE-C870-4BEC-82A3-10367C6B167F}"/>
    <cellStyle name="Normal 10 7 7" xfId="5568" xr:uid="{7412981A-128B-4561-849B-BB300A3D0164}"/>
    <cellStyle name="Normal 10 7 8" xfId="570" xr:uid="{086D6FF9-0929-4D75-8FFE-B97EEFDAE921}"/>
    <cellStyle name="Normal 10 8" xfId="366" xr:uid="{DEC7F96C-6DB9-48E3-BC5F-5061F995407A}"/>
    <cellStyle name="Normal 10 8 2" xfId="1287" xr:uid="{E4487A53-0604-4F83-AF3D-B22EE12EFC5A}"/>
    <cellStyle name="Normal 10 8 2 2" xfId="2537" xr:uid="{97DC47BD-D3CE-4E99-B9CA-B8349DC2AB9D}"/>
    <cellStyle name="Normal 10 8 2 2 2" xfId="5035" xr:uid="{45238BCF-1CDE-43C8-BB4F-C698357A7334}"/>
    <cellStyle name="Normal 10 8 2 2 2 2" xfId="10031" xr:uid="{F7A7E742-26BA-4BAA-9D6C-CE264BA40032}"/>
    <cellStyle name="Normal 10 8 2 2 3" xfId="7533" xr:uid="{A593B145-B195-4EE1-89B7-2247799D298E}"/>
    <cellStyle name="Normal 10 8 2 3" xfId="3786" xr:uid="{F3F43968-C61D-4DD3-8010-F5C399047280}"/>
    <cellStyle name="Normal 10 8 2 3 2" xfId="8782" xr:uid="{9774E2AD-EE4B-4E64-8EC8-9804A65185E9}"/>
    <cellStyle name="Normal 10 8 2 4" xfId="6284" xr:uid="{42314F13-ACD4-465D-91EF-5E2DA70D18B8}"/>
    <cellStyle name="Normal 10 8 3" xfId="2225" xr:uid="{38D51B81-C0B5-43F6-ACCB-3871C06614A8}"/>
    <cellStyle name="Normal 10 8 3 2" xfId="4723" xr:uid="{CAD3CA2B-81A0-4CDB-AFE3-CEE7BC63B70D}"/>
    <cellStyle name="Normal 10 8 3 2 2" xfId="9719" xr:uid="{B495C71F-05C7-4EFC-8FF1-EB0254F7CBA2}"/>
    <cellStyle name="Normal 10 8 3 3" xfId="7221" xr:uid="{B656400B-450E-4F8C-896F-345003B89DD0}"/>
    <cellStyle name="Normal 10 8 4" xfId="3474" xr:uid="{5D446C81-8D5B-47B8-8BB6-345C5F154D7B}"/>
    <cellStyle name="Normal 10 8 4 2" xfId="8470" xr:uid="{D9B82F91-0E50-41F1-B3AF-665CEB486251}"/>
    <cellStyle name="Normal 10 8 5" xfId="5972" xr:uid="{E044908E-2B61-4D48-BCA8-71DD70E493EB}"/>
    <cellStyle name="Normal 10 8 6" xfId="975" xr:uid="{252C1024-BA08-44F6-89A6-30E047D20512}"/>
    <cellStyle name="Normal 10 9" xfId="694" xr:uid="{E500E921-E5B3-4161-A245-83EE85CFCD59}"/>
    <cellStyle name="Normal 10 9 2" xfId="1945" xr:uid="{ECE9881E-1D44-4A19-B389-DFD59D73A107}"/>
    <cellStyle name="Normal 10 9 2 2" xfId="4443" xr:uid="{21B5C2C1-F6AB-445A-9B35-08B4E9911D74}"/>
    <cellStyle name="Normal 10 9 2 2 2" xfId="9439" xr:uid="{0A8212C8-CF47-4BFE-9D8B-14B4BF31B526}"/>
    <cellStyle name="Normal 10 9 2 3" xfId="6941" xr:uid="{1B875112-DA70-477D-A6FD-E7F9478F02DF}"/>
    <cellStyle name="Normal 10 9 3" xfId="3194" xr:uid="{A1B71416-8927-42DB-833B-E557A9287E0E}"/>
    <cellStyle name="Normal 10 9 3 2" xfId="8190" xr:uid="{D316F6B9-FD97-4ACD-A7A7-8664E08E620D}"/>
    <cellStyle name="Normal 10 9 4" xfId="5692" xr:uid="{1DB2C1C8-7F90-4755-8F6A-4096B2DD4F8D}"/>
    <cellStyle name="Normal 11" xfId="41" xr:uid="{07955733-4F27-4BF0-A29C-38B3C69A5CF1}"/>
    <cellStyle name="Normal 11 10" xfId="1654" xr:uid="{698807D8-89D0-4AEE-98F7-C5115218CD9A}"/>
    <cellStyle name="Normal 11 10 2" xfId="4152" xr:uid="{D4967DA6-3951-472E-AF24-1842AC73D26B}"/>
    <cellStyle name="Normal 11 10 2 2" xfId="9148" xr:uid="{D1F1C099-E6E4-43B5-AA8A-515DDF935D27}"/>
    <cellStyle name="Normal 11 10 3" xfId="6650" xr:uid="{B8D1C2FF-A531-4B70-A89B-CD4D7AE03D6E}"/>
    <cellStyle name="Normal 11 11" xfId="2903" xr:uid="{21C561BC-F73C-4DAF-8044-F4998BCFBA30}"/>
    <cellStyle name="Normal 11 11 2" xfId="7899" xr:uid="{641CD3DE-CF3D-41B1-91C6-ADC2BF97A922}"/>
    <cellStyle name="Normal 11 12" xfId="5401" xr:uid="{5D341890-DEA9-4011-88BF-B5284BC7C5CA}"/>
    <cellStyle name="Normal 11 13" xfId="403" xr:uid="{70D52122-F685-4567-AB36-3ADE9453ACE5}"/>
    <cellStyle name="Normal 11 2" xfId="68" xr:uid="{8143D502-AFBE-429E-90EC-8BCDD9F4789D}"/>
    <cellStyle name="Normal 11 2 2" xfId="218" xr:uid="{EBA165D7-508C-4F80-84A9-6A46419B5ED1}"/>
    <cellStyle name="Normal 11 2 2 2" xfId="838" xr:uid="{9D03B9FB-4A8C-4C9C-852D-8FF799FC6622}"/>
    <cellStyle name="Normal 11 2 2 2 2" xfId="2089" xr:uid="{F6EED141-5C21-42C0-B9DF-45C2311CAF15}"/>
    <cellStyle name="Normal 11 2 2 2 2 2" xfId="4587" xr:uid="{56201BC6-E5C3-4129-8F05-4F09A4F52AF8}"/>
    <cellStyle name="Normal 11 2 2 2 2 2 2" xfId="9583" xr:uid="{A5A48167-4A2B-467C-BBE4-C4CF9208AC28}"/>
    <cellStyle name="Normal 11 2 2 2 2 3" xfId="7085" xr:uid="{6E24B81B-898A-4827-A0B0-7EC3DC171C7C}"/>
    <cellStyle name="Normal 11 2 2 2 3" xfId="3338" xr:uid="{264EB8B5-9941-40D2-B0B3-96135739B2AE}"/>
    <cellStyle name="Normal 11 2 2 2 3 2" xfId="8334" xr:uid="{00C44F4C-32C1-4A79-8C51-59C0715048F6}"/>
    <cellStyle name="Normal 11 2 2 2 4" xfId="5836" xr:uid="{41257A89-E920-4172-B170-E930B2B13A81}"/>
    <cellStyle name="Normal 11 2 2 3" xfId="1151" xr:uid="{8CDEB328-CE10-4248-9062-6CBA6F8FAE2D}"/>
    <cellStyle name="Normal 11 2 2 3 2" xfId="2401" xr:uid="{027AF128-90DC-4213-ABF5-B7A0BDF8A2CB}"/>
    <cellStyle name="Normal 11 2 2 3 2 2" xfId="4899" xr:uid="{F1519451-92E7-4EF8-AEA5-123191B75E30}"/>
    <cellStyle name="Normal 11 2 2 3 2 2 2" xfId="9895" xr:uid="{210582A5-CA42-446F-9727-274A7D469AD4}"/>
    <cellStyle name="Normal 11 2 2 3 2 3" xfId="7397" xr:uid="{2B14B76F-231D-4BE6-B477-BEE39E96D456}"/>
    <cellStyle name="Normal 11 2 2 3 3" xfId="3650" xr:uid="{4021B47E-E0A9-4CB2-B3BA-CE1CC45FEE26}"/>
    <cellStyle name="Normal 11 2 2 3 3 2" xfId="8646" xr:uid="{FBEBCA91-1A2D-49CF-BB12-181099B650EF}"/>
    <cellStyle name="Normal 11 2 2 3 4" xfId="6148" xr:uid="{AE5B1B80-43D5-457D-B7DE-59781302DAF6}"/>
    <cellStyle name="Normal 11 2 2 4" xfId="1506" xr:uid="{B8A52595-54E1-47A1-805B-7128C9508D0E}"/>
    <cellStyle name="Normal 11 2 2 4 2" xfId="2756" xr:uid="{019309B6-4A15-453E-BA23-8925951B380D}"/>
    <cellStyle name="Normal 11 2 2 4 2 2" xfId="5254" xr:uid="{5B81CB20-446C-426B-A296-18C3A7BB96F8}"/>
    <cellStyle name="Normal 11 2 2 4 2 2 2" xfId="10250" xr:uid="{88DC7AC1-DD97-4C87-B9B0-26BEBC89B887}"/>
    <cellStyle name="Normal 11 2 2 4 2 3" xfId="7752" xr:uid="{5FDC5046-4F8B-4B59-A7E4-735D89F5BDF8}"/>
    <cellStyle name="Normal 11 2 2 4 3" xfId="4005" xr:uid="{AB48E594-CA3B-4986-B29B-BBECF1001569}"/>
    <cellStyle name="Normal 11 2 2 4 3 2" xfId="9001" xr:uid="{14F74482-0A7B-4667-ADD5-242C8AC4CF9D}"/>
    <cellStyle name="Normal 11 2 2 4 4" xfId="6503" xr:uid="{F2CDB090-6344-433A-9D7E-1F6FC401D616}"/>
    <cellStyle name="Normal 11 2 2 5" xfId="1837" xr:uid="{BDECE987-1C66-4761-85D8-52ABE5103085}"/>
    <cellStyle name="Normal 11 2 2 5 2" xfId="4335" xr:uid="{8CCC07A4-34AF-45A5-8289-DF2C5C0AF177}"/>
    <cellStyle name="Normal 11 2 2 5 2 2" xfId="9331" xr:uid="{E646E0B7-23FC-4815-90F5-6578ED1333C0}"/>
    <cellStyle name="Normal 11 2 2 5 3" xfId="6833" xr:uid="{21989467-39FC-48B5-B0D5-E75D182AA817}"/>
    <cellStyle name="Normal 11 2 2 6" xfId="3086" xr:uid="{DBC4E912-2820-4462-A34B-5A307E0E8D40}"/>
    <cellStyle name="Normal 11 2 2 6 2" xfId="8082" xr:uid="{2755C8CD-4ADC-4405-9EE4-920E82673CB7}"/>
    <cellStyle name="Normal 11 2 2 7" xfId="5584" xr:uid="{2A090A17-590A-43A2-B27D-EF43B2A0D7C6}"/>
    <cellStyle name="Normal 11 2 2 8" xfId="586" xr:uid="{8B3BAEA2-082A-4C79-B09E-CAE621ECC6F4}"/>
    <cellStyle name="Normal 11 2 3" xfId="722" xr:uid="{2E31B86B-FACB-4DAD-91E5-430A9B9BA141}"/>
    <cellStyle name="Normal 11 2 3 2" xfId="1973" xr:uid="{BD981947-0375-4E4A-914A-666D0444BCCC}"/>
    <cellStyle name="Normal 11 2 3 2 2" xfId="4471" xr:uid="{C2CED6A7-30BF-49D4-99EC-68AC74B13EF4}"/>
    <cellStyle name="Normal 11 2 3 2 2 2" xfId="9467" xr:uid="{374F5D3B-2EF1-4AA6-96E1-DB422AD6E659}"/>
    <cellStyle name="Normal 11 2 3 2 3" xfId="6969" xr:uid="{2436BC95-0107-4958-A7F6-13A26AA041C9}"/>
    <cellStyle name="Normal 11 2 3 3" xfId="3222" xr:uid="{5AE6EB1A-CBD8-4244-B9B1-7A80C5C16CDB}"/>
    <cellStyle name="Normal 11 2 3 3 2" xfId="8218" xr:uid="{7D08EEFE-9A7D-48D8-94B7-76F1D41F1761}"/>
    <cellStyle name="Normal 11 2 3 4" xfId="5720" xr:uid="{5046B219-D672-4AC2-881E-7C6B1E86AD3E}"/>
    <cellStyle name="Normal 11 2 4" xfId="1035" xr:uid="{7423C470-2410-47DE-9A63-610CAD561472}"/>
    <cellStyle name="Normal 11 2 4 2" xfId="2285" xr:uid="{9A674ECB-8B42-4AB2-9F35-94D690BAF98A}"/>
    <cellStyle name="Normal 11 2 4 2 2" xfId="4783" xr:uid="{4BB9975C-A3DD-4CE3-AF60-7B541556A417}"/>
    <cellStyle name="Normal 11 2 4 2 2 2" xfId="9779" xr:uid="{F4EF4FE9-49E2-46E0-9BC1-A43191BD9B9B}"/>
    <cellStyle name="Normal 11 2 4 2 3" xfId="7281" xr:uid="{CCB001FD-27EF-4CCE-A2CC-343B0AB96F7B}"/>
    <cellStyle name="Normal 11 2 4 3" xfId="3534" xr:uid="{69EC33A5-C9EB-4931-8C7B-B0F338FF7960}"/>
    <cellStyle name="Normal 11 2 4 3 2" xfId="8530" xr:uid="{83C6B216-9720-485E-8DAD-FE0CC5415749}"/>
    <cellStyle name="Normal 11 2 4 4" xfId="6032" xr:uid="{FF789EFD-A1DA-4BC7-B91B-FD467BB3181E}"/>
    <cellStyle name="Normal 11 2 5" xfId="1403" xr:uid="{F479EB04-3D74-4DE3-8D3F-89944F287EC6}"/>
    <cellStyle name="Normal 11 2 5 2" xfId="2653" xr:uid="{D75BC4EC-FAAB-4B31-AC5B-379544F23B3A}"/>
    <cellStyle name="Normal 11 2 5 2 2" xfId="5151" xr:uid="{02CB3567-41D7-4B5D-898F-EA70A833AEA5}"/>
    <cellStyle name="Normal 11 2 5 2 2 2" xfId="10147" xr:uid="{2505FE3B-539A-48C3-87FC-0A1EC0E8284F}"/>
    <cellStyle name="Normal 11 2 5 2 3" xfId="7649" xr:uid="{9E8C5E6B-3C32-4753-8AFE-4FFC1B0F36AF}"/>
    <cellStyle name="Normal 11 2 5 3" xfId="3902" xr:uid="{FEB4931A-E832-4893-8BCB-052811EDEE1C}"/>
    <cellStyle name="Normal 11 2 5 3 2" xfId="8898" xr:uid="{1A44C9F4-2A38-4D08-8641-6CEEE401BD62}"/>
    <cellStyle name="Normal 11 2 5 4" xfId="6400" xr:uid="{1C5DDF81-E145-4B1D-B45A-AA1292FF77E1}"/>
    <cellStyle name="Normal 11 2 6" xfId="1734" xr:uid="{C6F75BC0-D035-4AF1-8509-C6A87445FF42}"/>
    <cellStyle name="Normal 11 2 6 2" xfId="4232" xr:uid="{47A1113F-2D95-4D7A-86CB-2323DD0470A2}"/>
    <cellStyle name="Normal 11 2 6 2 2" xfId="9228" xr:uid="{E4F19D73-84D5-443E-B9A2-CDBDE9EE2DE8}"/>
    <cellStyle name="Normal 11 2 6 3" xfId="6730" xr:uid="{2432892E-6A69-4EF7-9002-996991A5008A}"/>
    <cellStyle name="Normal 11 2 7" xfId="2983" xr:uid="{C0F241B0-FEA5-416B-A193-9AE26304768B}"/>
    <cellStyle name="Normal 11 2 7 2" xfId="7979" xr:uid="{D34158FB-3CA7-440E-B49E-CABA8B85CCAB}"/>
    <cellStyle name="Normal 11 2 8" xfId="5481" xr:uid="{E2FC4B00-219F-464D-AE85-1B0E56427D32}"/>
    <cellStyle name="Normal 11 2 9" xfId="483" xr:uid="{29444126-4DCD-4214-A17B-581D016D9DB8}"/>
    <cellStyle name="Normal 11 3" xfId="92" xr:uid="{8E9D0702-E088-4C62-BDAA-E2171A98CA7B}"/>
    <cellStyle name="Normal 11 3 2" xfId="219" xr:uid="{82D91892-2938-4CC1-948D-1487E84A80B0}"/>
    <cellStyle name="Normal 11 3 2 2" xfId="839" xr:uid="{79C9A38A-D305-4B7C-AB33-6EF6C3EA0202}"/>
    <cellStyle name="Normal 11 3 2 2 2" xfId="2090" xr:uid="{BA066C9B-FDBB-4373-8C67-AD39F4A87E5D}"/>
    <cellStyle name="Normal 11 3 2 2 2 2" xfId="4588" xr:uid="{C08F3EE4-0171-4AEA-BC4E-A92362A78910}"/>
    <cellStyle name="Normal 11 3 2 2 2 2 2" xfId="9584" xr:uid="{ACF8BC26-04A9-4C54-B752-F997EBC61409}"/>
    <cellStyle name="Normal 11 3 2 2 2 3" xfId="7086" xr:uid="{6861F784-3B99-4FAA-B087-0D0B4BCE04C5}"/>
    <cellStyle name="Normal 11 3 2 2 3" xfId="3339" xr:uid="{84B2D988-F197-4CD8-A4DD-F5DEAE3E6FFD}"/>
    <cellStyle name="Normal 11 3 2 2 3 2" xfId="8335" xr:uid="{26FF1D27-8560-48DD-B453-929969D10CA3}"/>
    <cellStyle name="Normal 11 3 2 2 4" xfId="5837" xr:uid="{ABD083CB-118A-4844-9BA5-2BF4865AB606}"/>
    <cellStyle name="Normal 11 3 2 3" xfId="1152" xr:uid="{2AED57D6-1F5E-47D3-989E-DCB3659ACCB6}"/>
    <cellStyle name="Normal 11 3 2 3 2" xfId="2402" xr:uid="{7A67AE7B-645F-4AB4-89ED-7E03F721A8D6}"/>
    <cellStyle name="Normal 11 3 2 3 2 2" xfId="4900" xr:uid="{FED7133C-071F-44D7-B095-835383FEBBF1}"/>
    <cellStyle name="Normal 11 3 2 3 2 2 2" xfId="9896" xr:uid="{E8E5D369-DE68-4909-83D8-70D44F8175D8}"/>
    <cellStyle name="Normal 11 3 2 3 2 3" xfId="7398" xr:uid="{6B014CB8-A035-4F80-9CD2-D999E5A43D96}"/>
    <cellStyle name="Normal 11 3 2 3 3" xfId="3651" xr:uid="{0941FAA7-C8C2-4CBB-B394-A9EEAE238780}"/>
    <cellStyle name="Normal 11 3 2 3 3 2" xfId="8647" xr:uid="{3D67DDF0-3276-4AFB-B513-17FF251F2546}"/>
    <cellStyle name="Normal 11 3 2 3 4" xfId="6149" xr:uid="{60F0A92B-0B8F-4788-8E45-CA90B9BEC325}"/>
    <cellStyle name="Normal 11 3 2 4" xfId="1507" xr:uid="{482480BC-70E0-42AD-9B78-D5618078EAA5}"/>
    <cellStyle name="Normal 11 3 2 4 2" xfId="2757" xr:uid="{33A2C459-7FEF-45FB-932C-8AF6F63B80D7}"/>
    <cellStyle name="Normal 11 3 2 4 2 2" xfId="5255" xr:uid="{25A28D13-3397-4066-ADBF-D28DD2B70DA9}"/>
    <cellStyle name="Normal 11 3 2 4 2 2 2" xfId="10251" xr:uid="{EC6EDCC7-36C5-4F18-9835-2ECA6A38E02C}"/>
    <cellStyle name="Normal 11 3 2 4 2 3" xfId="7753" xr:uid="{CA154442-9811-4C0A-A945-A735F5DE7ED9}"/>
    <cellStyle name="Normal 11 3 2 4 3" xfId="4006" xr:uid="{C2A3960F-F32A-4C57-9B72-4667A3C83E07}"/>
    <cellStyle name="Normal 11 3 2 4 3 2" xfId="9002" xr:uid="{2C9FF6A0-DB2C-44F7-BE3A-444DB64B3CF0}"/>
    <cellStyle name="Normal 11 3 2 4 4" xfId="6504" xr:uid="{4C2BFFE1-D9C0-4AAB-9870-92F69B3B1A1C}"/>
    <cellStyle name="Normal 11 3 2 5" xfId="1838" xr:uid="{4CEC5F91-DE9F-4505-AAC4-F3BC14D4A382}"/>
    <cellStyle name="Normal 11 3 2 5 2" xfId="4336" xr:uid="{2A62CE93-AD90-4743-B7BB-85CE9A9C89FA}"/>
    <cellStyle name="Normal 11 3 2 5 2 2" xfId="9332" xr:uid="{CA3CE1E1-9937-469C-ACDA-95622368B356}"/>
    <cellStyle name="Normal 11 3 2 5 3" xfId="6834" xr:uid="{99F082DC-80A1-4605-AAA3-423FBD684B57}"/>
    <cellStyle name="Normal 11 3 2 6" xfId="3087" xr:uid="{5A6F9575-5704-492E-95D2-090D350B22BA}"/>
    <cellStyle name="Normal 11 3 2 6 2" xfId="8083" xr:uid="{51768660-7920-45A4-96D8-6ADBA4DDDD63}"/>
    <cellStyle name="Normal 11 3 2 7" xfId="5585" xr:uid="{6DAB6C4F-D9D2-494A-B54C-4FA1D00D280C}"/>
    <cellStyle name="Normal 11 3 2 8" xfId="587" xr:uid="{58B0B774-B6A9-45BB-92EC-6637D68BAB92}"/>
    <cellStyle name="Normal 11 3 3" xfId="746" xr:uid="{6638F1F5-0E59-4FD1-B7B7-0A2C5DD0A325}"/>
    <cellStyle name="Normal 11 3 3 2" xfId="1997" xr:uid="{8D951113-7811-423D-9563-0117B9B9216A}"/>
    <cellStyle name="Normal 11 3 3 2 2" xfId="4495" xr:uid="{FD416C52-6A42-4F15-9374-FC6730CD4B52}"/>
    <cellStyle name="Normal 11 3 3 2 2 2" xfId="9491" xr:uid="{6985E232-B324-4610-8F72-C4FB6B67A864}"/>
    <cellStyle name="Normal 11 3 3 2 3" xfId="6993" xr:uid="{1E39402D-9FFD-4909-BF2D-E527CF97A454}"/>
    <cellStyle name="Normal 11 3 3 3" xfId="3246" xr:uid="{2029C612-4762-415A-8060-247E33E30FD9}"/>
    <cellStyle name="Normal 11 3 3 3 2" xfId="8242" xr:uid="{44978C39-B3D9-45C3-9845-932B97A6EB1E}"/>
    <cellStyle name="Normal 11 3 3 4" xfId="5744" xr:uid="{CA00E26F-BEF3-4288-B991-0BD2C1D0B0EA}"/>
    <cellStyle name="Normal 11 3 4" xfId="1059" xr:uid="{F7A6D755-C454-4CF4-9B05-249DF62A87D6}"/>
    <cellStyle name="Normal 11 3 4 2" xfId="2309" xr:uid="{39F06049-C9B4-4F52-AB3E-282C03C25F69}"/>
    <cellStyle name="Normal 11 3 4 2 2" xfId="4807" xr:uid="{FA42BB64-7A49-439D-BB4B-D25481301D6E}"/>
    <cellStyle name="Normal 11 3 4 2 2 2" xfId="9803" xr:uid="{2C3373C4-8D4D-43A5-B843-AD41FBBA73A4}"/>
    <cellStyle name="Normal 11 3 4 2 3" xfId="7305" xr:uid="{C9FE8E55-20E8-4A35-84DB-62925DD1714E}"/>
    <cellStyle name="Normal 11 3 4 3" xfId="3558" xr:uid="{BBDD971E-316E-4AD9-9A4C-3B0F7A3CF9FC}"/>
    <cellStyle name="Normal 11 3 4 3 2" xfId="8554" xr:uid="{7C619381-9A4B-47D2-85F8-1DC0B553A9AF}"/>
    <cellStyle name="Normal 11 3 4 4" xfId="6056" xr:uid="{C4900AD0-81CD-4238-A91A-F907F5B9D695}"/>
    <cellStyle name="Normal 11 3 5" xfId="1404" xr:uid="{A41DD83F-B802-4C81-9D86-671AFD19D473}"/>
    <cellStyle name="Normal 11 3 5 2" xfId="2654" xr:uid="{6DF7B46A-7772-40BF-A532-249F13E62B53}"/>
    <cellStyle name="Normal 11 3 5 2 2" xfId="5152" xr:uid="{20F90787-2754-4D88-B7EF-DF29099C838F}"/>
    <cellStyle name="Normal 11 3 5 2 2 2" xfId="10148" xr:uid="{9BC07A7D-80D3-4C21-882F-E75FC505F66E}"/>
    <cellStyle name="Normal 11 3 5 2 3" xfId="7650" xr:uid="{9F9B006D-37E9-45C7-8D17-AF11A3F71A40}"/>
    <cellStyle name="Normal 11 3 5 3" xfId="3903" xr:uid="{5A793C1C-28B0-4BAF-A4EC-64239BD6BA95}"/>
    <cellStyle name="Normal 11 3 5 3 2" xfId="8899" xr:uid="{E16C0798-D449-41A8-8695-F594A9BC8D9B}"/>
    <cellStyle name="Normal 11 3 5 4" xfId="6401" xr:uid="{9C4E3C8B-B64C-4A3E-985C-427744816033}"/>
    <cellStyle name="Normal 11 3 6" xfId="1735" xr:uid="{899AA973-F3C8-45DE-8F37-EA7F8F52CF1B}"/>
    <cellStyle name="Normal 11 3 6 2" xfId="4233" xr:uid="{AC63FC5E-B856-4177-AB77-EBF3A073329B}"/>
    <cellStyle name="Normal 11 3 6 2 2" xfId="9229" xr:uid="{AA751975-2B78-4495-8BDA-CD908C903522}"/>
    <cellStyle name="Normal 11 3 6 3" xfId="6731" xr:uid="{015741D8-DF5D-49F6-A9C1-984AD25612A4}"/>
    <cellStyle name="Normal 11 3 7" xfId="2984" xr:uid="{3D7591B2-E498-4182-92B2-4FB1FBAC49ED}"/>
    <cellStyle name="Normal 11 3 7 2" xfId="7980" xr:uid="{3E67B63A-B442-44EE-BDF4-3DBC77A8B897}"/>
    <cellStyle name="Normal 11 3 8" xfId="5482" xr:uid="{7BEF0C29-95C1-4EC3-9654-2CE53E0684A0}"/>
    <cellStyle name="Normal 11 3 9" xfId="484" xr:uid="{819C8CAA-86BF-42A0-9456-C2E4EA1D6419}"/>
    <cellStyle name="Normal 11 4" xfId="220" xr:uid="{271D0F78-4E08-4316-B6ED-B2E2D294E268}"/>
    <cellStyle name="Normal 11 4 2" xfId="221" xr:uid="{43A105BD-C92E-41FE-8D8A-F463CE128AB6}"/>
    <cellStyle name="Normal 11 4 2 2" xfId="841" xr:uid="{5DBF757F-EF20-4A05-866B-28143DC1DAC3}"/>
    <cellStyle name="Normal 11 4 2 2 2" xfId="2092" xr:uid="{117C153E-B72F-457D-A923-41BB7E63EF06}"/>
    <cellStyle name="Normal 11 4 2 2 2 2" xfId="4590" xr:uid="{963FF3AE-9AA6-431D-87B0-AB3ABA5AFB55}"/>
    <cellStyle name="Normal 11 4 2 2 2 2 2" xfId="9586" xr:uid="{DC5A1475-D5A9-4D5A-9712-46A4579C5B7E}"/>
    <cellStyle name="Normal 11 4 2 2 2 3" xfId="7088" xr:uid="{5BB0C6C1-7B6D-44AB-B071-210B9676A445}"/>
    <cellStyle name="Normal 11 4 2 2 3" xfId="3341" xr:uid="{B0DD877A-3174-4568-8695-07C20A2F276B}"/>
    <cellStyle name="Normal 11 4 2 2 3 2" xfId="8337" xr:uid="{FB2636A1-0F54-48B4-913C-8F14080846C5}"/>
    <cellStyle name="Normal 11 4 2 2 4" xfId="5839" xr:uid="{5538A3D1-ABFE-4AE2-AC65-6B56A2D99A4A}"/>
    <cellStyle name="Normal 11 4 2 3" xfId="1154" xr:uid="{1CC59572-DF68-4D54-BA37-405BD328BB2D}"/>
    <cellStyle name="Normal 11 4 2 3 2" xfId="2404" xr:uid="{E5801327-9A82-4F99-BEDE-64A92B8C6852}"/>
    <cellStyle name="Normal 11 4 2 3 2 2" xfId="4902" xr:uid="{995AB30E-D5FB-4915-B8C1-0C6959974E5E}"/>
    <cellStyle name="Normal 11 4 2 3 2 2 2" xfId="9898" xr:uid="{865C52D1-FD09-4812-96D8-F321FE5C11A9}"/>
    <cellStyle name="Normal 11 4 2 3 2 3" xfId="7400" xr:uid="{EDC4DD30-47E9-4084-A3D2-280B6F1ACA18}"/>
    <cellStyle name="Normal 11 4 2 3 3" xfId="3653" xr:uid="{B5BBD20E-ADD0-40F1-A9C2-8522663AF143}"/>
    <cellStyle name="Normal 11 4 2 3 3 2" xfId="8649" xr:uid="{03707B63-96E4-4BFD-8250-2EFA61D85A25}"/>
    <cellStyle name="Normal 11 4 2 3 4" xfId="6151" xr:uid="{C40AAA7D-3273-4B80-8A80-CCA996528842}"/>
    <cellStyle name="Normal 11 4 2 4" xfId="1508" xr:uid="{A0077D45-8F66-426F-8BCC-7F4EAFD212CD}"/>
    <cellStyle name="Normal 11 4 2 4 2" xfId="2758" xr:uid="{2B0FAF49-CD86-444C-AE2E-C7549156B65E}"/>
    <cellStyle name="Normal 11 4 2 4 2 2" xfId="5256" xr:uid="{8418A3E1-B849-40B8-AC11-CD07A13C19C0}"/>
    <cellStyle name="Normal 11 4 2 4 2 2 2" xfId="10252" xr:uid="{3B907E51-8D7E-4EA5-A464-96A4B953E7AF}"/>
    <cellStyle name="Normal 11 4 2 4 2 3" xfId="7754" xr:uid="{4392EF16-868A-4338-ABB4-390DC6AD1F6D}"/>
    <cellStyle name="Normal 11 4 2 4 3" xfId="4007" xr:uid="{3EA3A55E-5006-4231-ADDA-11FD10DA43E3}"/>
    <cellStyle name="Normal 11 4 2 4 3 2" xfId="9003" xr:uid="{CD04DC59-39DD-4B96-8DC3-F17516640309}"/>
    <cellStyle name="Normal 11 4 2 4 4" xfId="6505" xr:uid="{2A6CA54D-DFD5-43F6-8737-131C32A2D8E0}"/>
    <cellStyle name="Normal 11 4 2 5" xfId="1839" xr:uid="{F865079E-3979-402C-98D0-D5F1889F511F}"/>
    <cellStyle name="Normal 11 4 2 5 2" xfId="4337" xr:uid="{F9AE0B21-5A4D-4216-A1A9-C9B0E3644FB9}"/>
    <cellStyle name="Normal 11 4 2 5 2 2" xfId="9333" xr:uid="{8F3E6B58-71DE-49EE-8671-0201592368BC}"/>
    <cellStyle name="Normal 11 4 2 5 3" xfId="6835" xr:uid="{F6C418A1-C6A2-4047-83B3-7254738E5B6F}"/>
    <cellStyle name="Normal 11 4 2 6" xfId="3088" xr:uid="{D7446576-06DC-415A-A9AE-F2E2D48757DE}"/>
    <cellStyle name="Normal 11 4 2 6 2" xfId="8084" xr:uid="{94082163-23D8-419B-8028-3533F5217051}"/>
    <cellStyle name="Normal 11 4 2 7" xfId="5586" xr:uid="{82046BF3-D1CA-4472-9BD8-33CF96CC0003}"/>
    <cellStyle name="Normal 11 4 2 8" xfId="588" xr:uid="{2E489683-413A-42C2-8E93-71DE585C678D}"/>
    <cellStyle name="Normal 11 4 3" xfId="840" xr:uid="{8F5140A4-890D-4DA9-A542-30DE7DC60EFA}"/>
    <cellStyle name="Normal 11 4 3 2" xfId="2091" xr:uid="{0FB63D1A-2D5C-4DD6-80A3-4E37FE079AA6}"/>
    <cellStyle name="Normal 11 4 3 2 2" xfId="4589" xr:uid="{AC0E9A66-968F-4A12-B67E-55BD9E05BD46}"/>
    <cellStyle name="Normal 11 4 3 2 2 2" xfId="9585" xr:uid="{D6489B27-7ACA-45E6-B688-ACAD86F62FBD}"/>
    <cellStyle name="Normal 11 4 3 2 3" xfId="7087" xr:uid="{74135CA8-90D5-48D7-BE1F-385B3311B39B}"/>
    <cellStyle name="Normal 11 4 3 3" xfId="3340" xr:uid="{E69AA147-CDCE-499B-91C3-E49D36C2F872}"/>
    <cellStyle name="Normal 11 4 3 3 2" xfId="8336" xr:uid="{A36C6926-4E7F-41C3-B81C-79484A5D3D99}"/>
    <cellStyle name="Normal 11 4 3 4" xfId="5838" xr:uid="{13F69802-3FFA-498A-BF12-E26DB67A4B47}"/>
    <cellStyle name="Normal 11 4 4" xfId="1153" xr:uid="{89FC2F98-5D10-43F8-B92A-E57B50E2B131}"/>
    <cellStyle name="Normal 11 4 4 2" xfId="2403" xr:uid="{CF0CC015-8ADA-4370-A933-2527680D7222}"/>
    <cellStyle name="Normal 11 4 4 2 2" xfId="4901" xr:uid="{FA46E151-E753-4306-AD7F-58EDA085FC98}"/>
    <cellStyle name="Normal 11 4 4 2 2 2" xfId="9897" xr:uid="{EF2511AF-5331-400A-8F3B-EFD94BB967BA}"/>
    <cellStyle name="Normal 11 4 4 2 3" xfId="7399" xr:uid="{3362D572-840B-440F-AD99-129ED5DE1D1F}"/>
    <cellStyle name="Normal 11 4 4 3" xfId="3652" xr:uid="{D6965FCE-E598-4A99-984D-33F11224B3BD}"/>
    <cellStyle name="Normal 11 4 4 3 2" xfId="8648" xr:uid="{D13441EB-CA85-45A7-A15F-FC678F70A1C2}"/>
    <cellStyle name="Normal 11 4 4 4" xfId="6150" xr:uid="{448D6361-7E56-400A-B1E9-2442C5E289D1}"/>
    <cellStyle name="Normal 11 4 5" xfId="1402" xr:uid="{0ABA9D1D-993B-4DA6-91F6-DD4183AFB395}"/>
    <cellStyle name="Normal 11 4 5 2" xfId="2652" xr:uid="{07EB5925-B3F9-4F90-A02A-540C227C14A2}"/>
    <cellStyle name="Normal 11 4 5 2 2" xfId="5150" xr:uid="{898CCE03-56FC-4BE2-8292-31D3611341B1}"/>
    <cellStyle name="Normal 11 4 5 2 2 2" xfId="10146" xr:uid="{101D1B63-F0E4-4199-A5EC-EDCA54E510A2}"/>
    <cellStyle name="Normal 11 4 5 2 3" xfId="7648" xr:uid="{DA9EACF7-313F-45F5-BD17-256467C544A5}"/>
    <cellStyle name="Normal 11 4 5 3" xfId="3901" xr:uid="{42957DD3-189D-431C-852C-ED248B104EC7}"/>
    <cellStyle name="Normal 11 4 5 3 2" xfId="8897" xr:uid="{3A16ACA8-F543-495C-BBB4-1CAE6770AFE5}"/>
    <cellStyle name="Normal 11 4 5 4" xfId="6399" xr:uid="{0DD93C7D-5794-468D-B81C-E5AE95FE9307}"/>
    <cellStyle name="Normal 11 4 6" xfId="1733" xr:uid="{FD083652-54B7-45D8-B74E-854896782D77}"/>
    <cellStyle name="Normal 11 4 6 2" xfId="4231" xr:uid="{46D23629-C3FF-4232-A0F4-D87A7E589E40}"/>
    <cellStyle name="Normal 11 4 6 2 2" xfId="9227" xr:uid="{6BD607AF-2494-4ED1-9FB9-F409D20BF092}"/>
    <cellStyle name="Normal 11 4 6 3" xfId="6729" xr:uid="{9E0076D7-96D6-4914-A3F8-51C786F73629}"/>
    <cellStyle name="Normal 11 4 7" xfId="2982" xr:uid="{FA746655-45E0-4261-AAF7-43D966D8468B}"/>
    <cellStyle name="Normal 11 4 7 2" xfId="7978" xr:uid="{8B504222-DF15-46D9-B0D5-CEABCD28B25A}"/>
    <cellStyle name="Normal 11 4 8" xfId="5480" xr:uid="{8E36BDB2-C500-41A9-BB1E-D683CF8F53B7}"/>
    <cellStyle name="Normal 11 4 9" xfId="482" xr:uid="{8B020327-25F6-48B2-AD65-70E2380B3F1D}"/>
    <cellStyle name="Normal 11 5" xfId="222" xr:uid="{A358AA4B-EEF2-4467-932E-C90FFF0EBA2F}"/>
    <cellStyle name="Normal 11 5 2" xfId="842" xr:uid="{05B668EF-A5B8-4CE0-9439-C2FCEFFD37F0}"/>
    <cellStyle name="Normal 11 5 2 2" xfId="2093" xr:uid="{06E2548F-23F3-4950-8AE6-BA74B4C3F7C7}"/>
    <cellStyle name="Normal 11 5 2 2 2" xfId="4591" xr:uid="{23EB9E4D-8D82-409C-9614-FC34CD54BF3C}"/>
    <cellStyle name="Normal 11 5 2 2 2 2" xfId="9587" xr:uid="{0E4B29A3-F17B-43F2-A055-9D2BC72FB569}"/>
    <cellStyle name="Normal 11 5 2 2 3" xfId="7089" xr:uid="{B87B2A59-38E1-4DF0-AED9-293F2505B882}"/>
    <cellStyle name="Normal 11 5 2 3" xfId="3342" xr:uid="{6ADA58A4-C42A-414E-BCED-8F776BE18295}"/>
    <cellStyle name="Normal 11 5 2 3 2" xfId="8338" xr:uid="{449790C5-690B-43A4-BB0B-AAB79579D035}"/>
    <cellStyle name="Normal 11 5 2 4" xfId="5840" xr:uid="{ED37D4BF-717A-4961-9F8A-6FB2C27BEBBB}"/>
    <cellStyle name="Normal 11 5 3" xfId="1155" xr:uid="{1983713D-43EC-4AE6-B81D-CD8461B0EA26}"/>
    <cellStyle name="Normal 11 5 3 2" xfId="2405" xr:uid="{63796810-AD35-402C-BE71-927F5EA691DA}"/>
    <cellStyle name="Normal 11 5 3 2 2" xfId="4903" xr:uid="{934356EA-213C-4712-ADB2-0445C23B4A79}"/>
    <cellStyle name="Normal 11 5 3 2 2 2" xfId="9899" xr:uid="{73D3C8AB-F3FC-4775-8744-1062661E230F}"/>
    <cellStyle name="Normal 11 5 3 2 3" xfId="7401" xr:uid="{C989BE54-57C8-4212-BF3F-AB24AF07BF7E}"/>
    <cellStyle name="Normal 11 5 3 3" xfId="3654" xr:uid="{1D800D0D-AC0A-4B3E-B336-297D7C3E41F6}"/>
    <cellStyle name="Normal 11 5 3 3 2" xfId="8650" xr:uid="{26B929CF-3214-4160-A22F-58C085A6F3ED}"/>
    <cellStyle name="Normal 11 5 3 4" xfId="6152" xr:uid="{6A0B6C40-554C-424D-BF21-522C95A93E47}"/>
    <cellStyle name="Normal 11 5 4" xfId="1505" xr:uid="{A5E72323-AF75-4265-B3AA-2DFDB658ECA4}"/>
    <cellStyle name="Normal 11 5 4 2" xfId="2755" xr:uid="{FA233A10-95A4-4C1F-BB42-7B5B64B4E85D}"/>
    <cellStyle name="Normal 11 5 4 2 2" xfId="5253" xr:uid="{AD232FA7-8E47-4BE2-AAE1-476CF2D0948D}"/>
    <cellStyle name="Normal 11 5 4 2 2 2" xfId="10249" xr:uid="{47BF1729-A60C-4789-BEDA-31E8D682D83D}"/>
    <cellStyle name="Normal 11 5 4 2 3" xfId="7751" xr:uid="{7E534B20-D14E-430C-B2F7-981FC59AD549}"/>
    <cellStyle name="Normal 11 5 4 3" xfId="4004" xr:uid="{5C0E178D-030C-472D-8178-DBC4509ED948}"/>
    <cellStyle name="Normal 11 5 4 3 2" xfId="9000" xr:uid="{639D9D86-681D-4768-8F02-56DB4D197D6D}"/>
    <cellStyle name="Normal 11 5 4 4" xfId="6502" xr:uid="{6BFB9EFA-A90C-49FE-9358-452705EC88F7}"/>
    <cellStyle name="Normal 11 5 5" xfId="1836" xr:uid="{58D120D7-16E8-44F0-82CB-71144E7761F5}"/>
    <cellStyle name="Normal 11 5 5 2" xfId="4334" xr:uid="{E07C7C8B-129F-4637-BD46-63E4C98BB72D}"/>
    <cellStyle name="Normal 11 5 5 2 2" xfId="9330" xr:uid="{48157AE6-82C4-48C5-9E44-1E2824CB9B25}"/>
    <cellStyle name="Normal 11 5 5 3" xfId="6832" xr:uid="{0BE78F15-F5FC-475F-B44B-B2CB60946114}"/>
    <cellStyle name="Normal 11 5 6" xfId="3085" xr:uid="{5357549F-E7B0-45D6-8530-8F21A043662F}"/>
    <cellStyle name="Normal 11 5 6 2" xfId="8081" xr:uid="{4C075339-19C5-4E6F-BED4-672DBEE27027}"/>
    <cellStyle name="Normal 11 5 7" xfId="5583" xr:uid="{03552515-4FD5-44FF-9C47-8F536179ED43}"/>
    <cellStyle name="Normal 11 5 8" xfId="585" xr:uid="{5EDC15ED-F008-4D94-8210-C612447544A2}"/>
    <cellStyle name="Normal 11 6" xfId="369" xr:uid="{2DE2824F-1E11-497D-91CA-EC33312E06CA}"/>
    <cellStyle name="Normal 11 6 2" xfId="1290" xr:uid="{CA09D29F-D95A-43D0-B639-2D5830734BDC}"/>
    <cellStyle name="Normal 11 6 2 2" xfId="2540" xr:uid="{53C49FEA-2D03-4C21-BB59-32419179F5A2}"/>
    <cellStyle name="Normal 11 6 2 2 2" xfId="5038" xr:uid="{A39A3358-1AFD-4D57-BABF-78BEFACF78C0}"/>
    <cellStyle name="Normal 11 6 2 2 2 2" xfId="10034" xr:uid="{C8969D82-D2F3-478B-9F03-4B3205C08975}"/>
    <cellStyle name="Normal 11 6 2 2 3" xfId="7536" xr:uid="{E2EE0532-5929-473C-8EDD-484523EBCD8B}"/>
    <cellStyle name="Normal 11 6 2 3" xfId="3789" xr:uid="{CC189AB8-78A2-46E9-A653-E4DB530E5675}"/>
    <cellStyle name="Normal 11 6 2 3 2" xfId="8785" xr:uid="{E6AEB439-8A37-45D7-9487-2155BE9F66BC}"/>
    <cellStyle name="Normal 11 6 2 4" xfId="6287" xr:uid="{B9534009-7A9A-40C8-8B5C-A453E3A8F72B}"/>
    <cellStyle name="Normal 11 6 3" xfId="2228" xr:uid="{74C826BC-8005-4E9F-A20E-770274BC81EE}"/>
    <cellStyle name="Normal 11 6 3 2" xfId="4726" xr:uid="{D84FFD4B-3249-41D2-96B1-AF2B6313E748}"/>
    <cellStyle name="Normal 11 6 3 2 2" xfId="9722" xr:uid="{4128BAE5-B848-4F52-8C96-07A959123023}"/>
    <cellStyle name="Normal 11 6 3 3" xfId="7224" xr:uid="{58C47E9E-3B33-4705-9144-1A7133CB54CE}"/>
    <cellStyle name="Normal 11 6 4" xfId="3477" xr:uid="{19F03786-2475-4712-9C6F-FDACCDA981D7}"/>
    <cellStyle name="Normal 11 6 4 2" xfId="8473" xr:uid="{AA554AC0-B810-4BD9-9704-B3AFE2F9CDA0}"/>
    <cellStyle name="Normal 11 6 5" xfId="5975" xr:uid="{A31BE0AE-967A-428C-9B88-0C457A220D65}"/>
    <cellStyle name="Normal 11 6 6" xfId="978" xr:uid="{1D949A87-78B7-4CA6-B137-EA83F2C63092}"/>
    <cellStyle name="Normal 11 7" xfId="697" xr:uid="{3BB9305F-3152-4A8A-80D3-F0B8D9F7488F}"/>
    <cellStyle name="Normal 11 7 2" xfId="1948" xr:uid="{B3812DA9-0569-4AD9-9BBF-F8E346EA846B}"/>
    <cellStyle name="Normal 11 7 2 2" xfId="4446" xr:uid="{0C37ED82-A19D-4817-AE7E-4F4316891A13}"/>
    <cellStyle name="Normal 11 7 2 2 2" xfId="9442" xr:uid="{08ECA55E-1A80-47AD-8FA0-B9AB2549ACF9}"/>
    <cellStyle name="Normal 11 7 2 3" xfId="6944" xr:uid="{CF5D3C42-FFE5-4ABC-96A7-4E13E4E79703}"/>
    <cellStyle name="Normal 11 7 3" xfId="3197" xr:uid="{341FD058-8754-4EF7-922F-0F2EC61AAAA4}"/>
    <cellStyle name="Normal 11 7 3 2" xfId="8193" xr:uid="{A0457B8E-2A59-45C6-847C-08ED8CF8E2CC}"/>
    <cellStyle name="Normal 11 7 4" xfId="5695" xr:uid="{1F3AB958-0370-4129-9BA9-658DA945422F}"/>
    <cellStyle name="Normal 11 8" xfId="1010" xr:uid="{69C20CB2-DE0E-4135-943B-ABC93094B3D6}"/>
    <cellStyle name="Normal 11 8 2" xfId="2260" xr:uid="{270DF616-42FD-4CB3-A6BD-BA13B577A2D1}"/>
    <cellStyle name="Normal 11 8 2 2" xfId="4758" xr:uid="{81FBB98A-41BA-40C4-A199-66AC3ADF30EF}"/>
    <cellStyle name="Normal 11 8 2 2 2" xfId="9754" xr:uid="{19F69469-05A1-4903-86F8-464E0F57C4CB}"/>
    <cellStyle name="Normal 11 8 2 3" xfId="7256" xr:uid="{657B6C8A-2514-4FF5-A89A-C2B712164246}"/>
    <cellStyle name="Normal 11 8 3" xfId="3509" xr:uid="{B79204A5-ED84-46FE-BC69-1B424E963B9B}"/>
    <cellStyle name="Normal 11 8 3 2" xfId="8505" xr:uid="{2182F4F1-317E-47CB-80E3-9CC13BCCC0AA}"/>
    <cellStyle name="Normal 11 8 4" xfId="6007" xr:uid="{B5151799-8802-4096-AB1A-473257971B8C}"/>
    <cellStyle name="Normal 11 9" xfId="1323" xr:uid="{FB9ECA0A-6361-4CA5-B2DF-5D16458CE84D}"/>
    <cellStyle name="Normal 11 9 2" xfId="2573" xr:uid="{A4D1ABD2-418C-44A6-880B-EB94951337D7}"/>
    <cellStyle name="Normal 11 9 2 2" xfId="5071" xr:uid="{895E68F5-7BF9-48BF-A0D3-5014E31AF08A}"/>
    <cellStyle name="Normal 11 9 2 2 2" xfId="10067" xr:uid="{AF632AC1-F7B8-4FBF-8C29-CFD80EF22AB7}"/>
    <cellStyle name="Normal 11 9 2 3" xfId="7569" xr:uid="{76C489B3-7638-4867-8080-710E0EB0B76F}"/>
    <cellStyle name="Normal 11 9 3" xfId="3822" xr:uid="{15E7572D-AAC7-4260-A082-175718A37936}"/>
    <cellStyle name="Normal 11 9 3 2" xfId="8818" xr:uid="{04268124-D0BB-43EA-B448-4470C453D4AB}"/>
    <cellStyle name="Normal 11 9 4" xfId="6320" xr:uid="{0D731787-39FB-4B67-80CD-CF423A3749C5}"/>
    <cellStyle name="Normal 12" xfId="42" xr:uid="{F4921A28-99B8-4881-96B9-6892E9F3DC32}"/>
    <cellStyle name="Normal 12 10" xfId="1658" xr:uid="{64EEC431-70CB-4139-A2AF-9789CBDB3796}"/>
    <cellStyle name="Normal 12 10 2" xfId="4156" xr:uid="{6CEEE5BE-4B2A-4D33-94F0-5FD5B820387A}"/>
    <cellStyle name="Normal 12 10 2 2" xfId="9152" xr:uid="{5C6C52E4-139E-4117-80A1-161F766DE71A}"/>
    <cellStyle name="Normal 12 10 3" xfId="6654" xr:uid="{496BD80F-12D6-4A39-8191-FF12B512ED0A}"/>
    <cellStyle name="Normal 12 11" xfId="2907" xr:uid="{FD259A95-8EFD-40C9-88E6-B8E3B4C79A38}"/>
    <cellStyle name="Normal 12 11 2" xfId="7903" xr:uid="{F6A78CF7-26AF-43BF-97AC-63C30E576C0B}"/>
    <cellStyle name="Normal 12 12" xfId="5405" xr:uid="{5C5C0F47-4C31-4AB6-8D0F-D563F5DE927C}"/>
    <cellStyle name="Normal 12 13" xfId="407" xr:uid="{43FC7403-79B4-497F-AB89-AB1B5F3B5A6E}"/>
    <cellStyle name="Normal 12 2" xfId="69" xr:uid="{21B5A356-DFF2-4F52-BC9B-6ED26AD2CFC3}"/>
    <cellStyle name="Normal 12 2 2" xfId="223" xr:uid="{9D61CF5C-2546-4B5A-93CF-16254D374959}"/>
    <cellStyle name="Normal 12 2 2 2" xfId="843" xr:uid="{380A303D-2D73-486A-ABE9-0005948726C7}"/>
    <cellStyle name="Normal 12 2 2 2 2" xfId="2094" xr:uid="{CB2F3D6D-436A-44E0-BD2D-89FE54D614E1}"/>
    <cellStyle name="Normal 12 2 2 2 2 2" xfId="4592" xr:uid="{E6D270A2-0D0D-4106-9707-9694D1FC22DA}"/>
    <cellStyle name="Normal 12 2 2 2 2 2 2" xfId="9588" xr:uid="{880ECE4E-3EA0-4B3D-9A9F-A1CE7912A9F5}"/>
    <cellStyle name="Normal 12 2 2 2 2 3" xfId="7090" xr:uid="{375E6F71-357A-4CBC-B9A8-C3C4A0E89EB9}"/>
    <cellStyle name="Normal 12 2 2 2 3" xfId="3343" xr:uid="{0A069848-FD10-4A15-A589-C45352A7A938}"/>
    <cellStyle name="Normal 12 2 2 2 3 2" xfId="8339" xr:uid="{D82608B4-E267-4726-B8C4-B99EC2B22247}"/>
    <cellStyle name="Normal 12 2 2 2 4" xfId="5841" xr:uid="{03FDC4B2-26D9-45BF-B133-F42B9544383F}"/>
    <cellStyle name="Normal 12 2 2 3" xfId="1156" xr:uid="{13A9800F-BFFD-43FA-96B7-90667F0F7A96}"/>
    <cellStyle name="Normal 12 2 2 3 2" xfId="2406" xr:uid="{C4729D54-D0A4-4783-AA05-916E207C5D07}"/>
    <cellStyle name="Normal 12 2 2 3 2 2" xfId="4904" xr:uid="{7B347B39-A5F1-40BF-87D4-F374429E6DC7}"/>
    <cellStyle name="Normal 12 2 2 3 2 2 2" xfId="9900" xr:uid="{8E095B6F-E213-461A-A12C-25AC5D47EF58}"/>
    <cellStyle name="Normal 12 2 2 3 2 3" xfId="7402" xr:uid="{7FD59481-B6E8-4851-9F12-8C8C70A94DC7}"/>
    <cellStyle name="Normal 12 2 2 3 3" xfId="3655" xr:uid="{6EBD3095-469E-4AA6-9313-9676ADC056A2}"/>
    <cellStyle name="Normal 12 2 2 3 3 2" xfId="8651" xr:uid="{5C045A9D-7C6D-4C13-90AA-E5C57455DAE9}"/>
    <cellStyle name="Normal 12 2 2 3 4" xfId="6153" xr:uid="{58C46728-BD5E-4FC1-9EBD-BCB4F1C4169D}"/>
    <cellStyle name="Normal 12 2 2 4" xfId="1510" xr:uid="{979F0D9C-4183-4DFC-8CAA-A57BAF9A2DF5}"/>
    <cellStyle name="Normal 12 2 2 4 2" xfId="2760" xr:uid="{36B95838-7302-4108-830C-BB1BD2F6F002}"/>
    <cellStyle name="Normal 12 2 2 4 2 2" xfId="5258" xr:uid="{68200449-C8AF-40B5-9139-FFC579A78C8D}"/>
    <cellStyle name="Normal 12 2 2 4 2 2 2" xfId="10254" xr:uid="{DBE7BBD3-7324-4E00-912B-8A2ADEF18D0D}"/>
    <cellStyle name="Normal 12 2 2 4 2 3" xfId="7756" xr:uid="{3BACFC9B-A56F-435A-9AB1-A972505CBF00}"/>
    <cellStyle name="Normal 12 2 2 4 3" xfId="4009" xr:uid="{B3849D2F-1F0C-40E2-BA86-C5D191E1748F}"/>
    <cellStyle name="Normal 12 2 2 4 3 2" xfId="9005" xr:uid="{D3B161CF-895C-422F-B571-09A97A81B0BB}"/>
    <cellStyle name="Normal 12 2 2 4 4" xfId="6507" xr:uid="{914FC73B-AEA8-412E-8636-B432885B4361}"/>
    <cellStyle name="Normal 12 2 2 5" xfId="1841" xr:uid="{745D46BA-B9F0-4163-9827-380D94B8EB6D}"/>
    <cellStyle name="Normal 12 2 2 5 2" xfId="4339" xr:uid="{3A901BC4-C966-46FA-8C54-F621BAC24749}"/>
    <cellStyle name="Normal 12 2 2 5 2 2" xfId="9335" xr:uid="{EA50D188-830F-4BAB-9ADE-B99A547C3A5D}"/>
    <cellStyle name="Normal 12 2 2 5 3" xfId="6837" xr:uid="{9DA252E8-EBB8-4242-9114-1B2724CAACE5}"/>
    <cellStyle name="Normal 12 2 2 6" xfId="3090" xr:uid="{8C8DDD8B-3559-4BD9-9FBD-36438EBE9BB2}"/>
    <cellStyle name="Normal 12 2 2 6 2" xfId="8086" xr:uid="{56E38915-C9EA-4A56-937D-3275FE2AAD36}"/>
    <cellStyle name="Normal 12 2 2 7" xfId="5588" xr:uid="{D8BA8FAA-75DD-416C-B7A2-1353772AA6E2}"/>
    <cellStyle name="Normal 12 2 2 8" xfId="590" xr:uid="{DA01F452-66B7-485D-B406-A0A1E8662B10}"/>
    <cellStyle name="Normal 12 2 3" xfId="723" xr:uid="{055815DD-9191-4D4C-89D5-93B9A274DBCC}"/>
    <cellStyle name="Normal 12 2 3 2" xfId="1974" xr:uid="{53BB0069-158B-4AE9-89B7-C1D14C844290}"/>
    <cellStyle name="Normal 12 2 3 2 2" xfId="4472" xr:uid="{6ED788B6-FEC0-4E2A-A673-20ECD16F26A5}"/>
    <cellStyle name="Normal 12 2 3 2 2 2" xfId="9468" xr:uid="{BBFC62A3-F097-437B-B477-CE0AB57601EA}"/>
    <cellStyle name="Normal 12 2 3 2 3" xfId="6970" xr:uid="{5F49E7CD-CB2E-4602-BFD5-2C4A10545E8C}"/>
    <cellStyle name="Normal 12 2 3 3" xfId="3223" xr:uid="{E7002215-CE89-4F36-8F33-90A2DABF4FA6}"/>
    <cellStyle name="Normal 12 2 3 3 2" xfId="8219" xr:uid="{A8A4580C-29AD-4CD0-A5F8-6496D7021C30}"/>
    <cellStyle name="Normal 12 2 3 4" xfId="5721" xr:uid="{AB80D9CB-5FE4-422D-AEF1-816EAB8C840D}"/>
    <cellStyle name="Normal 12 2 4" xfId="1036" xr:uid="{7DEF5A24-C8F3-4B98-8002-4EA9B08DAD25}"/>
    <cellStyle name="Normal 12 2 4 2" xfId="2286" xr:uid="{DB9E3A75-796B-46A6-A343-FB983C2E45EA}"/>
    <cellStyle name="Normal 12 2 4 2 2" xfId="4784" xr:uid="{C7425167-3D4B-4491-9A16-14F6D1D5442D}"/>
    <cellStyle name="Normal 12 2 4 2 2 2" xfId="9780" xr:uid="{57DCBD2E-EF84-4904-AA73-9C03AFA71914}"/>
    <cellStyle name="Normal 12 2 4 2 3" xfId="7282" xr:uid="{445B36BA-4787-4F1D-AC7E-4C14DC5FEE1D}"/>
    <cellStyle name="Normal 12 2 4 3" xfId="3535" xr:uid="{FBE76103-A79D-49E5-902C-6D35420B05DC}"/>
    <cellStyle name="Normal 12 2 4 3 2" xfId="8531" xr:uid="{C906C83C-C505-4D62-A38D-9579A7296AB4}"/>
    <cellStyle name="Normal 12 2 4 4" xfId="6033" xr:uid="{79F02D0A-CF4B-4A88-AA96-86761F22C000}"/>
    <cellStyle name="Normal 12 2 5" xfId="1406" xr:uid="{71A1D521-BA8D-428F-9779-C608B1F2FDBB}"/>
    <cellStyle name="Normal 12 2 5 2" xfId="2656" xr:uid="{2823B879-AF95-4F64-BB21-9FE65DA514CE}"/>
    <cellStyle name="Normal 12 2 5 2 2" xfId="5154" xr:uid="{28EB92B7-ACAC-4D75-BB74-6233D8A34248}"/>
    <cellStyle name="Normal 12 2 5 2 2 2" xfId="10150" xr:uid="{F88FB0E4-24F6-49CA-8B76-C9FFEB0E9270}"/>
    <cellStyle name="Normal 12 2 5 2 3" xfId="7652" xr:uid="{849C824E-884D-406B-A208-5788133833D2}"/>
    <cellStyle name="Normal 12 2 5 3" xfId="3905" xr:uid="{FB3ABE9B-2E0F-484B-9CFE-864A04274858}"/>
    <cellStyle name="Normal 12 2 5 3 2" xfId="8901" xr:uid="{FB685C44-64D1-4DBD-A897-F81911681CCD}"/>
    <cellStyle name="Normal 12 2 5 4" xfId="6403" xr:uid="{991AB39B-67BF-415B-A808-8D4135A298E6}"/>
    <cellStyle name="Normal 12 2 6" xfId="1737" xr:uid="{92A44421-70BB-4149-9A00-A3AC0BFA5E91}"/>
    <cellStyle name="Normal 12 2 6 2" xfId="4235" xr:uid="{B662076B-5CE1-4391-A839-A38C14F30329}"/>
    <cellStyle name="Normal 12 2 6 2 2" xfId="9231" xr:uid="{54AC7767-E892-4F26-94C9-E3367FB2AAA3}"/>
    <cellStyle name="Normal 12 2 6 3" xfId="6733" xr:uid="{2C8C8BA8-7B72-4774-81D0-AC12EFDF3293}"/>
    <cellStyle name="Normal 12 2 7" xfId="2986" xr:uid="{B8AA1E07-8582-41FF-8FF1-87212EC32064}"/>
    <cellStyle name="Normal 12 2 7 2" xfId="7982" xr:uid="{2BD56D52-2968-4017-A021-178E103BFBD8}"/>
    <cellStyle name="Normal 12 2 8" xfId="5484" xr:uid="{AB8E54FD-BF53-4DB5-8E59-226FF3BBEB08}"/>
    <cellStyle name="Normal 12 2 9" xfId="486" xr:uid="{0D663C51-295D-4A32-982B-BBC90AD13533}"/>
    <cellStyle name="Normal 12 3" xfId="93" xr:uid="{ACD2708E-A6A3-43B9-9151-CCE5155CA484}"/>
    <cellStyle name="Normal 12 3 2" xfId="224" xr:uid="{7FDF2B4A-F158-441D-94FE-9A587DAB3741}"/>
    <cellStyle name="Normal 12 3 2 2" xfId="844" xr:uid="{F4496914-C628-4B07-8D0D-0EB47791E5C6}"/>
    <cellStyle name="Normal 12 3 2 2 2" xfId="2095" xr:uid="{708B9C6E-19DA-4DAA-83BD-15B4B41889E9}"/>
    <cellStyle name="Normal 12 3 2 2 2 2" xfId="4593" xr:uid="{4AE1DE91-5A30-40EE-962D-C27E2475F530}"/>
    <cellStyle name="Normal 12 3 2 2 2 2 2" xfId="9589" xr:uid="{303DA897-9318-4D68-BC14-895EC51AA41D}"/>
    <cellStyle name="Normal 12 3 2 2 2 3" xfId="7091" xr:uid="{B4EC7BDD-9803-48DC-A7E5-7A6F75900D84}"/>
    <cellStyle name="Normal 12 3 2 2 3" xfId="3344" xr:uid="{F88740B0-570F-4A75-B70C-832C81A9D12E}"/>
    <cellStyle name="Normal 12 3 2 2 3 2" xfId="8340" xr:uid="{95FDEF18-7EF3-4318-BE1D-5AA2200683CE}"/>
    <cellStyle name="Normal 12 3 2 2 4" xfId="5842" xr:uid="{64DA1556-DA26-4FFD-A52A-CF93615C48EC}"/>
    <cellStyle name="Normal 12 3 2 3" xfId="1157" xr:uid="{56BE64AE-DDCB-4037-8B7A-F3F2A6D864B9}"/>
    <cellStyle name="Normal 12 3 2 3 2" xfId="2407" xr:uid="{6AE2596D-2D42-480F-AE57-3AC5DCDD9488}"/>
    <cellStyle name="Normal 12 3 2 3 2 2" xfId="4905" xr:uid="{2DB914F5-6DC9-43A0-9EC5-251F13E14644}"/>
    <cellStyle name="Normal 12 3 2 3 2 2 2" xfId="9901" xr:uid="{754714C0-6BB1-4EF8-AA46-4E58A595BD8D}"/>
    <cellStyle name="Normal 12 3 2 3 2 3" xfId="7403" xr:uid="{64B723AD-DD9E-4A63-AB7D-5463A0CA5B7E}"/>
    <cellStyle name="Normal 12 3 2 3 3" xfId="3656" xr:uid="{6C300982-1044-41C9-AC13-A9DFFD82B4F1}"/>
    <cellStyle name="Normal 12 3 2 3 3 2" xfId="8652" xr:uid="{98F820E4-6772-474C-B15E-B08DD1D9D81E}"/>
    <cellStyle name="Normal 12 3 2 3 4" xfId="6154" xr:uid="{CBF2B916-95D5-4324-9612-EFA98055B80A}"/>
    <cellStyle name="Normal 12 3 2 4" xfId="1511" xr:uid="{457EB9CF-3238-4E00-946D-030A9CB6B49F}"/>
    <cellStyle name="Normal 12 3 2 4 2" xfId="2761" xr:uid="{86A69891-08DD-4073-B864-65F3DC54FA2A}"/>
    <cellStyle name="Normal 12 3 2 4 2 2" xfId="5259" xr:uid="{71024F2A-FB55-40BD-A12C-BEB59EC01FD4}"/>
    <cellStyle name="Normal 12 3 2 4 2 2 2" xfId="10255" xr:uid="{7F408344-569A-4254-BC22-22C75EC85E36}"/>
    <cellStyle name="Normal 12 3 2 4 2 3" xfId="7757" xr:uid="{3678B648-066B-4129-A803-D2F24C5DC406}"/>
    <cellStyle name="Normal 12 3 2 4 3" xfId="4010" xr:uid="{2960964D-3EF4-4B76-9A8A-05A037C259BE}"/>
    <cellStyle name="Normal 12 3 2 4 3 2" xfId="9006" xr:uid="{5FACCB9E-0BDE-4468-98A4-04CF7249BF2B}"/>
    <cellStyle name="Normal 12 3 2 4 4" xfId="6508" xr:uid="{6E51E1ED-7BAD-4F3A-9D32-E607DB37DB66}"/>
    <cellStyle name="Normal 12 3 2 5" xfId="1842" xr:uid="{4A1E43F9-40E0-4438-8A6F-9FD421C3BC63}"/>
    <cellStyle name="Normal 12 3 2 5 2" xfId="4340" xr:uid="{DD7EDBB2-1CB1-49FE-8C44-456C4709406B}"/>
    <cellStyle name="Normal 12 3 2 5 2 2" xfId="9336" xr:uid="{01C363A4-E82C-4BA0-9056-D978424EBE1C}"/>
    <cellStyle name="Normal 12 3 2 5 3" xfId="6838" xr:uid="{0B6C0243-3462-4A1B-A560-1D4D8867704A}"/>
    <cellStyle name="Normal 12 3 2 6" xfId="3091" xr:uid="{EB3C80E9-4533-475F-9C0B-E1F7A082904D}"/>
    <cellStyle name="Normal 12 3 2 6 2" xfId="8087" xr:uid="{5AEE9AD4-6B00-4447-946B-15348E0E38D3}"/>
    <cellStyle name="Normal 12 3 2 7" xfId="5589" xr:uid="{DA6883AF-DFCC-49F5-ADCC-BC34EB30C3F6}"/>
    <cellStyle name="Normal 12 3 2 8" xfId="591" xr:uid="{9B21AF8D-5CE2-421E-A7A4-CAC631A1CC17}"/>
    <cellStyle name="Normal 12 3 3" xfId="747" xr:uid="{27CBC59A-27B0-49A0-A72B-3A9016BDD279}"/>
    <cellStyle name="Normal 12 3 3 2" xfId="1998" xr:uid="{88678488-F733-4884-830A-1E31608C6301}"/>
    <cellStyle name="Normal 12 3 3 2 2" xfId="4496" xr:uid="{35790A12-D7EE-487C-9FC1-6383F7CC45AC}"/>
    <cellStyle name="Normal 12 3 3 2 2 2" xfId="9492" xr:uid="{F0141E28-0BE2-4678-A157-B3C0F7C4FAE7}"/>
    <cellStyle name="Normal 12 3 3 2 3" xfId="6994" xr:uid="{3BF3387E-CC59-434E-B22B-192311B1BB34}"/>
    <cellStyle name="Normal 12 3 3 3" xfId="3247" xr:uid="{B42F694D-9404-4A4E-BF78-E7C47547EFC9}"/>
    <cellStyle name="Normal 12 3 3 3 2" xfId="8243" xr:uid="{BF2734DA-0189-4FDD-A31A-CECD18E8C623}"/>
    <cellStyle name="Normal 12 3 3 4" xfId="5745" xr:uid="{A26577EF-E3A3-4A18-AC28-A4C0497CA092}"/>
    <cellStyle name="Normal 12 3 4" xfId="1060" xr:uid="{D121A9DD-6291-4D4F-9838-AE07E74942E0}"/>
    <cellStyle name="Normal 12 3 4 2" xfId="2310" xr:uid="{DAD52A99-642A-479C-B947-83852FADED4F}"/>
    <cellStyle name="Normal 12 3 4 2 2" xfId="4808" xr:uid="{FE7F2C66-8762-4715-BEAE-5286DA7C946E}"/>
    <cellStyle name="Normal 12 3 4 2 2 2" xfId="9804" xr:uid="{5C12AEFA-BA38-43C2-AF93-BDD5D724DE4D}"/>
    <cellStyle name="Normal 12 3 4 2 3" xfId="7306" xr:uid="{1BE4CDFD-146A-47CB-BD64-C22C850C9A08}"/>
    <cellStyle name="Normal 12 3 4 3" xfId="3559" xr:uid="{E615E73B-156D-421D-A817-122E21B43432}"/>
    <cellStyle name="Normal 12 3 4 3 2" xfId="8555" xr:uid="{F511CECE-EFAF-4F83-8371-2AD96493DE42}"/>
    <cellStyle name="Normal 12 3 4 4" xfId="6057" xr:uid="{24B272D7-7C1A-4CE3-8A24-72324C89A98F}"/>
    <cellStyle name="Normal 12 3 5" xfId="1407" xr:uid="{ABE635C9-F157-4B59-93AF-E7343FB8B752}"/>
    <cellStyle name="Normal 12 3 5 2" xfId="2657" xr:uid="{AD01D510-B5CB-41F4-B4A3-B967EDE14632}"/>
    <cellStyle name="Normal 12 3 5 2 2" xfId="5155" xr:uid="{5BD44E83-837B-4FDC-A4B2-A6E326692424}"/>
    <cellStyle name="Normal 12 3 5 2 2 2" xfId="10151" xr:uid="{08331774-84DF-47C8-9F11-7E1A153A2695}"/>
    <cellStyle name="Normal 12 3 5 2 3" xfId="7653" xr:uid="{8C713406-F674-4938-81B5-9CD5731E573C}"/>
    <cellStyle name="Normal 12 3 5 3" xfId="3906" xr:uid="{CB1F6E32-0CBC-4F5D-9BC0-D4DE8ED69123}"/>
    <cellStyle name="Normal 12 3 5 3 2" xfId="8902" xr:uid="{F5BB66EE-1053-4B24-BD6F-3AD9A7CA8376}"/>
    <cellStyle name="Normal 12 3 5 4" xfId="6404" xr:uid="{5142D5E8-F554-400D-89ED-1BC6F4FC06A9}"/>
    <cellStyle name="Normal 12 3 6" xfId="1738" xr:uid="{47F64F8B-4707-42E1-BE1B-11CEDF880FCA}"/>
    <cellStyle name="Normal 12 3 6 2" xfId="4236" xr:uid="{F53962C6-081E-492A-8859-80B4CDDFCE4B}"/>
    <cellStyle name="Normal 12 3 6 2 2" xfId="9232" xr:uid="{829D98B8-DEBF-4742-B0B2-C765536FB122}"/>
    <cellStyle name="Normal 12 3 6 3" xfId="6734" xr:uid="{54F7AF88-C9C6-439B-822D-4F360BA1CC8A}"/>
    <cellStyle name="Normal 12 3 7" xfId="2987" xr:uid="{4E2A066D-EC7A-44F9-92D8-1B7F00007F44}"/>
    <cellStyle name="Normal 12 3 7 2" xfId="7983" xr:uid="{CFACF952-3F19-443B-A2E6-B18D27441263}"/>
    <cellStyle name="Normal 12 3 8" xfId="5485" xr:uid="{571F7325-AE78-4BC9-8ACE-7048B941A865}"/>
    <cellStyle name="Normal 12 3 9" xfId="487" xr:uid="{0E6FB1B8-1060-4864-98AF-4DAC128A6EB1}"/>
    <cellStyle name="Normal 12 4" xfId="225" xr:uid="{5274CA32-380A-4DE9-9C55-8D3E1DC42CE0}"/>
    <cellStyle name="Normal 12 4 2" xfId="226" xr:uid="{CB130C1D-79D6-43EC-889F-66A02EC73402}"/>
    <cellStyle name="Normal 12 4 2 2" xfId="846" xr:uid="{5C83F2FC-F63B-4BEF-88ED-DB548ABC1940}"/>
    <cellStyle name="Normal 12 4 2 2 2" xfId="2097" xr:uid="{6FA9B740-3B94-48BB-A917-7DB4A4691D41}"/>
    <cellStyle name="Normal 12 4 2 2 2 2" xfId="4595" xr:uid="{5ABF50FB-E3BA-4C10-82C8-33BDFC7F4EE2}"/>
    <cellStyle name="Normal 12 4 2 2 2 2 2" xfId="9591" xr:uid="{EED34486-1606-4C14-B2DF-C2475DBD8E93}"/>
    <cellStyle name="Normal 12 4 2 2 2 3" xfId="7093" xr:uid="{13363F75-F26B-428B-A79D-B3216564F803}"/>
    <cellStyle name="Normal 12 4 2 2 3" xfId="3346" xr:uid="{EBDEEAAC-8796-4200-9E53-6AFC80E1E191}"/>
    <cellStyle name="Normal 12 4 2 2 3 2" xfId="8342" xr:uid="{E55E1EE5-4273-45BE-B4EB-D95B850907C9}"/>
    <cellStyle name="Normal 12 4 2 2 4" xfId="5844" xr:uid="{AE6631C1-E4E1-4A4C-8CD9-8871DC2FCB2F}"/>
    <cellStyle name="Normal 12 4 2 3" xfId="1159" xr:uid="{A6E8D1EE-BD68-4DA2-B57D-4C569F35BD55}"/>
    <cellStyle name="Normal 12 4 2 3 2" xfId="2409" xr:uid="{19F268F4-22AB-44DB-B09A-022F96E43C4C}"/>
    <cellStyle name="Normal 12 4 2 3 2 2" xfId="4907" xr:uid="{DD551398-6BEC-4A37-9771-C7B70D84798B}"/>
    <cellStyle name="Normal 12 4 2 3 2 2 2" xfId="9903" xr:uid="{5EE9FA5B-FD8C-4EBB-838D-209FDA2696CA}"/>
    <cellStyle name="Normal 12 4 2 3 2 3" xfId="7405" xr:uid="{B30DC206-D6F3-440B-9DEB-2AD5D534E26A}"/>
    <cellStyle name="Normal 12 4 2 3 3" xfId="3658" xr:uid="{C9FE0542-ABEE-41CB-8FB6-03D860DAA10B}"/>
    <cellStyle name="Normal 12 4 2 3 3 2" xfId="8654" xr:uid="{C6D7E723-114D-467B-883C-F95BF45B9566}"/>
    <cellStyle name="Normal 12 4 2 3 4" xfId="6156" xr:uid="{440774A8-ED0C-4113-9ADB-E4B093C20DEB}"/>
    <cellStyle name="Normal 12 4 2 4" xfId="1512" xr:uid="{115B9931-49C4-4F43-8746-50D5F0D37F37}"/>
    <cellStyle name="Normal 12 4 2 4 2" xfId="2762" xr:uid="{6A02B99D-BE34-4ED1-BE0D-9EE3B88CF48F}"/>
    <cellStyle name="Normal 12 4 2 4 2 2" xfId="5260" xr:uid="{67D015C2-6678-46D7-9FCD-B8E0EF1DB439}"/>
    <cellStyle name="Normal 12 4 2 4 2 2 2" xfId="10256" xr:uid="{FBBDDB18-CD7E-40BB-A894-31B596E51E88}"/>
    <cellStyle name="Normal 12 4 2 4 2 3" xfId="7758" xr:uid="{BED73D7E-AF6A-4AAC-8BD3-2D135542E91D}"/>
    <cellStyle name="Normal 12 4 2 4 3" xfId="4011" xr:uid="{82BC8100-C492-4479-8C7D-63BE6D0F93E6}"/>
    <cellStyle name="Normal 12 4 2 4 3 2" xfId="9007" xr:uid="{6B3CB334-122B-46B1-B7DC-B6504DBF1199}"/>
    <cellStyle name="Normal 12 4 2 4 4" xfId="6509" xr:uid="{C2C4D935-34AA-467E-9B74-5667CC2C288B}"/>
    <cellStyle name="Normal 12 4 2 5" xfId="1843" xr:uid="{D7C7E6AC-50FB-4646-8C82-07C9E677733E}"/>
    <cellStyle name="Normal 12 4 2 5 2" xfId="4341" xr:uid="{18C29D8C-68A6-4950-BE8F-2A08B484B85B}"/>
    <cellStyle name="Normal 12 4 2 5 2 2" xfId="9337" xr:uid="{B425526C-EEBB-4F5B-8207-C37C43CE552B}"/>
    <cellStyle name="Normal 12 4 2 5 3" xfId="6839" xr:uid="{1DE61E5C-D3BB-44D7-A7DE-828F2892E543}"/>
    <cellStyle name="Normal 12 4 2 6" xfId="3092" xr:uid="{CCBF0C33-18EF-4329-B755-02D409D3E916}"/>
    <cellStyle name="Normal 12 4 2 6 2" xfId="8088" xr:uid="{27B7D526-AA0C-448F-A692-1CFD21E10584}"/>
    <cellStyle name="Normal 12 4 2 7" xfId="5590" xr:uid="{61305A22-CD4C-4EF1-85F8-531A3A777F74}"/>
    <cellStyle name="Normal 12 4 2 8" xfId="592" xr:uid="{6AD95F94-7B8D-4DFD-9C05-2C187A7231E6}"/>
    <cellStyle name="Normal 12 4 3" xfId="845" xr:uid="{24C3524F-5CB8-45C5-A0AE-212BE1D5AB60}"/>
    <cellStyle name="Normal 12 4 3 2" xfId="2096" xr:uid="{D344EA5F-12C0-409A-9600-1EAB1060654C}"/>
    <cellStyle name="Normal 12 4 3 2 2" xfId="4594" xr:uid="{AAC007D2-59B2-4C7C-BA90-4E720DB33D7D}"/>
    <cellStyle name="Normal 12 4 3 2 2 2" xfId="9590" xr:uid="{734736A8-809E-4C22-9776-B5C55C74D748}"/>
    <cellStyle name="Normal 12 4 3 2 3" xfId="7092" xr:uid="{3B18AC91-CC09-45F0-9BA8-89D5CE7D2163}"/>
    <cellStyle name="Normal 12 4 3 3" xfId="3345" xr:uid="{4AD629AF-957A-4BDE-BC66-328FBCE89E16}"/>
    <cellStyle name="Normal 12 4 3 3 2" xfId="8341" xr:uid="{AB35990D-63F5-4E45-A559-BD0EEC907F6A}"/>
    <cellStyle name="Normal 12 4 3 4" xfId="5843" xr:uid="{41B94036-9ADA-444E-BA8C-5E28D8C23171}"/>
    <cellStyle name="Normal 12 4 4" xfId="1158" xr:uid="{76F90468-2446-408C-8204-596F5951AF4E}"/>
    <cellStyle name="Normal 12 4 4 2" xfId="2408" xr:uid="{2C307FCA-1FF0-446A-AFC5-AB8697282CA9}"/>
    <cellStyle name="Normal 12 4 4 2 2" xfId="4906" xr:uid="{7CFDA8DD-83D7-4433-BE8C-4FDF35F3B037}"/>
    <cellStyle name="Normal 12 4 4 2 2 2" xfId="9902" xr:uid="{CCBE1E11-B9FC-4C98-BEEF-E95E2510E881}"/>
    <cellStyle name="Normal 12 4 4 2 3" xfId="7404" xr:uid="{551E8031-86B8-499B-9766-5798EAA6579A}"/>
    <cellStyle name="Normal 12 4 4 3" xfId="3657" xr:uid="{94F2E40F-4248-4812-BD45-DA3EEB4C7942}"/>
    <cellStyle name="Normal 12 4 4 3 2" xfId="8653" xr:uid="{8F78A65C-AB9B-40E1-AF01-FD0D6D8373EF}"/>
    <cellStyle name="Normal 12 4 4 4" xfId="6155" xr:uid="{B0B9DD7F-2B6B-4327-B291-5514D667B27B}"/>
    <cellStyle name="Normal 12 4 5" xfId="1405" xr:uid="{073EDCA8-75B7-4F60-8F2E-CE453B25F8BC}"/>
    <cellStyle name="Normal 12 4 5 2" xfId="2655" xr:uid="{6798E7DE-A961-4377-A3C4-99D894F6BC22}"/>
    <cellStyle name="Normal 12 4 5 2 2" xfId="5153" xr:uid="{D57101DD-F651-4F28-BD22-C661063B9602}"/>
    <cellStyle name="Normal 12 4 5 2 2 2" xfId="10149" xr:uid="{F86EC7F0-8424-499D-BC69-80B690B6D2B7}"/>
    <cellStyle name="Normal 12 4 5 2 3" xfId="7651" xr:uid="{E47ACFE5-A832-40E4-B397-888387D0C949}"/>
    <cellStyle name="Normal 12 4 5 3" xfId="3904" xr:uid="{456839B4-B0B5-4AF9-8E94-37BAF277CD80}"/>
    <cellStyle name="Normal 12 4 5 3 2" xfId="8900" xr:uid="{FC710029-0FE6-41D7-AD9E-421C7DF9710D}"/>
    <cellStyle name="Normal 12 4 5 4" xfId="6402" xr:uid="{C51A2538-5F8C-4811-866E-CD5AB458D3BD}"/>
    <cellStyle name="Normal 12 4 6" xfId="1736" xr:uid="{B6F7E9C7-662D-49B9-8484-89E1E73B8495}"/>
    <cellStyle name="Normal 12 4 6 2" xfId="4234" xr:uid="{BF60C27C-CF92-48A6-8F25-6C8555F77094}"/>
    <cellStyle name="Normal 12 4 6 2 2" xfId="9230" xr:uid="{543E2D87-E4C4-464B-A164-04F61232AE78}"/>
    <cellStyle name="Normal 12 4 6 3" xfId="6732" xr:uid="{AA4BCF70-B99C-43D4-98B5-29133E4F49B0}"/>
    <cellStyle name="Normal 12 4 7" xfId="2985" xr:uid="{83C6CF48-05AF-48BF-8B65-470D82015A73}"/>
    <cellStyle name="Normal 12 4 7 2" xfId="7981" xr:uid="{0AD4CE9C-D1A3-4730-8F34-D0C5368E1898}"/>
    <cellStyle name="Normal 12 4 8" xfId="5483" xr:uid="{B3BE222F-432F-4A88-A23C-378F1322D6C0}"/>
    <cellStyle name="Normal 12 4 9" xfId="485" xr:uid="{5B205C29-4FE5-4DE1-B637-C60228E6D86D}"/>
    <cellStyle name="Normal 12 5" xfId="227" xr:uid="{7063B121-5A4F-40EE-B231-DFD57D07B9A2}"/>
    <cellStyle name="Normal 12 5 2" xfId="847" xr:uid="{2B5F4C26-9C92-4600-AE69-2222B282F391}"/>
    <cellStyle name="Normal 12 5 2 2" xfId="2098" xr:uid="{D6D22338-6F51-4E66-89AA-D01ECC2BAAB2}"/>
    <cellStyle name="Normal 12 5 2 2 2" xfId="4596" xr:uid="{13D7264E-89F6-4FB6-B270-23D916F715FB}"/>
    <cellStyle name="Normal 12 5 2 2 2 2" xfId="9592" xr:uid="{34453563-EAC6-411D-A013-CA0E5446F893}"/>
    <cellStyle name="Normal 12 5 2 2 3" xfId="7094" xr:uid="{F8DE02CD-C275-4AAB-8686-2E1D02FB7E6A}"/>
    <cellStyle name="Normal 12 5 2 3" xfId="3347" xr:uid="{576C4F17-EF70-44EB-A0A8-24CC523507DB}"/>
    <cellStyle name="Normal 12 5 2 3 2" xfId="8343" xr:uid="{867DA7CA-4968-4DF0-8B70-DC52769D30AD}"/>
    <cellStyle name="Normal 12 5 2 4" xfId="5845" xr:uid="{FBF7C27C-327F-49DE-A6E0-42E2F1135C4F}"/>
    <cellStyle name="Normal 12 5 3" xfId="1160" xr:uid="{10F83BF2-C0AF-442B-9C2D-A826120175B4}"/>
    <cellStyle name="Normal 12 5 3 2" xfId="2410" xr:uid="{F9D8FB0A-EEAF-4A77-A914-41D5163EC5C6}"/>
    <cellStyle name="Normal 12 5 3 2 2" xfId="4908" xr:uid="{51B32F6E-D1E0-4942-9D97-B86810804168}"/>
    <cellStyle name="Normal 12 5 3 2 2 2" xfId="9904" xr:uid="{39FE079F-E7BD-4EFE-8367-BDC9E9FA8C22}"/>
    <cellStyle name="Normal 12 5 3 2 3" xfId="7406" xr:uid="{64BC6579-38DE-41FB-9C75-2167184E968A}"/>
    <cellStyle name="Normal 12 5 3 3" xfId="3659" xr:uid="{53213EAE-6929-430F-A2B4-3CFDEB753FBA}"/>
    <cellStyle name="Normal 12 5 3 3 2" xfId="8655" xr:uid="{3500B7F8-7C4A-413B-9AE0-89A487C3B840}"/>
    <cellStyle name="Normal 12 5 3 4" xfId="6157" xr:uid="{C2608EA2-9944-4E3F-A050-02B0A8FB1530}"/>
    <cellStyle name="Normal 12 5 4" xfId="1509" xr:uid="{7DFB871B-7D6D-4BE7-B110-3AE33E3F14EA}"/>
    <cellStyle name="Normal 12 5 4 2" xfId="2759" xr:uid="{85C71FC2-5961-4C5B-9F0C-B0C982BA8656}"/>
    <cellStyle name="Normal 12 5 4 2 2" xfId="5257" xr:uid="{BA62F66E-63C3-46DC-B6DE-A83ED3DAAFDF}"/>
    <cellStyle name="Normal 12 5 4 2 2 2" xfId="10253" xr:uid="{67EB3C0A-CB42-46B7-9383-BA1A0359A86B}"/>
    <cellStyle name="Normal 12 5 4 2 3" xfId="7755" xr:uid="{61EDA546-BFA1-4AF9-B743-88EECD4EE0A3}"/>
    <cellStyle name="Normal 12 5 4 3" xfId="4008" xr:uid="{F253F10A-8FCA-4EE2-9973-3063309A87A7}"/>
    <cellStyle name="Normal 12 5 4 3 2" xfId="9004" xr:uid="{29526D7B-0EA6-49A6-90AC-048DC93A5080}"/>
    <cellStyle name="Normal 12 5 4 4" xfId="6506" xr:uid="{12A572F9-3DCF-4A05-8A52-665124383882}"/>
    <cellStyle name="Normal 12 5 5" xfId="1840" xr:uid="{104ECE98-1263-40AE-8908-A600D41C7497}"/>
    <cellStyle name="Normal 12 5 5 2" xfId="4338" xr:uid="{EF98401C-4A2B-443B-BF1E-85BB9D04DC21}"/>
    <cellStyle name="Normal 12 5 5 2 2" xfId="9334" xr:uid="{629CBA1B-B0EF-4256-B8BF-401D5EE17CD6}"/>
    <cellStyle name="Normal 12 5 5 3" xfId="6836" xr:uid="{A289933E-9D69-44CF-8085-BEF867E934D6}"/>
    <cellStyle name="Normal 12 5 6" xfId="3089" xr:uid="{97C04C79-63DB-4091-9D9D-9A4CA5835425}"/>
    <cellStyle name="Normal 12 5 6 2" xfId="8085" xr:uid="{9295AAA0-AC0E-4AA8-BAAF-928A3528D692}"/>
    <cellStyle name="Normal 12 5 7" xfId="5587" xr:uid="{E3AA517E-371D-4F29-B955-F6F36346ED4D}"/>
    <cellStyle name="Normal 12 5 8" xfId="589" xr:uid="{A1594453-073E-45FF-83AC-5081F65F3200}"/>
    <cellStyle name="Normal 12 6" xfId="370" xr:uid="{760D9B88-1FD0-45C7-AF41-0B5EFD1575B4}"/>
    <cellStyle name="Normal 12 6 2" xfId="1291" xr:uid="{39ECFD26-35AD-4CBA-9C77-881B8010D2ED}"/>
    <cellStyle name="Normal 12 6 2 2" xfId="2541" xr:uid="{3C2F3B92-8FA8-4BFB-B551-9D12DCE5FCC8}"/>
    <cellStyle name="Normal 12 6 2 2 2" xfId="5039" xr:uid="{07E24B67-F4BC-47E4-BE02-64C792722F7D}"/>
    <cellStyle name="Normal 12 6 2 2 2 2" xfId="10035" xr:uid="{FE2E71C9-2319-477E-B341-06D78539351F}"/>
    <cellStyle name="Normal 12 6 2 2 3" xfId="7537" xr:uid="{212FD10D-B55B-4DBE-B948-D52ADFE50175}"/>
    <cellStyle name="Normal 12 6 2 3" xfId="3790" xr:uid="{C2C3175E-AD25-4814-9990-1C69D02916E9}"/>
    <cellStyle name="Normal 12 6 2 3 2" xfId="8786" xr:uid="{C97D4457-1FBD-42D1-A509-8B658EE56A4A}"/>
    <cellStyle name="Normal 12 6 2 4" xfId="6288" xr:uid="{79CE1794-D783-40D9-9406-0331E1FC35A9}"/>
    <cellStyle name="Normal 12 6 3" xfId="2229" xr:uid="{76D40EBA-0A4B-49DB-8ED7-2CC9275AF4F8}"/>
    <cellStyle name="Normal 12 6 3 2" xfId="4727" xr:uid="{3FC4FA2B-3F7F-4D20-BF98-C90F68D5907C}"/>
    <cellStyle name="Normal 12 6 3 2 2" xfId="9723" xr:uid="{7215D993-E655-4F5F-B3F7-ED87C8F64753}"/>
    <cellStyle name="Normal 12 6 3 3" xfId="7225" xr:uid="{12EFC9AE-14DC-44C0-B787-31852CC3469D}"/>
    <cellStyle name="Normal 12 6 4" xfId="3478" xr:uid="{563D8D0A-00CC-4C72-BA48-2081DD394D04}"/>
    <cellStyle name="Normal 12 6 4 2" xfId="8474" xr:uid="{57E7D420-00B5-4367-811C-C55D085FDB9F}"/>
    <cellStyle name="Normal 12 6 5" xfId="5976" xr:uid="{E1C12647-BC4B-4FBB-826B-812411896E8F}"/>
    <cellStyle name="Normal 12 6 6" xfId="979" xr:uid="{E29385AB-0363-408A-A91C-B27BFB659FD4}"/>
    <cellStyle name="Normal 12 7" xfId="698" xr:uid="{D0F520C1-9D65-4F7F-A051-2243AF7D2398}"/>
    <cellStyle name="Normal 12 7 2" xfId="1949" xr:uid="{CBABA9C6-E571-446D-BFD8-FE33151C7E1A}"/>
    <cellStyle name="Normal 12 7 2 2" xfId="4447" xr:uid="{923DFCA0-C26C-48AC-8C50-76D6D8E172FE}"/>
    <cellStyle name="Normal 12 7 2 2 2" xfId="9443" xr:uid="{0413A154-A1AF-42B5-AC1C-0B328CC3C04A}"/>
    <cellStyle name="Normal 12 7 2 3" xfId="6945" xr:uid="{40F59213-9C26-4628-BC5C-13C458A7E877}"/>
    <cellStyle name="Normal 12 7 3" xfId="3198" xr:uid="{FF1E7435-945E-4B8F-98B3-1B691AF841D3}"/>
    <cellStyle name="Normal 12 7 3 2" xfId="8194" xr:uid="{320F47A9-7886-4B83-A1CD-9B49E5F5025D}"/>
    <cellStyle name="Normal 12 7 4" xfId="5696" xr:uid="{928994E9-0FA3-4C60-A049-5CAC539FE2A7}"/>
    <cellStyle name="Normal 12 8" xfId="1011" xr:uid="{66FBD8EE-78F8-41E3-9CAA-D77CCA818293}"/>
    <cellStyle name="Normal 12 8 2" xfId="2261" xr:uid="{ED0317CA-EB51-4708-8781-C2A410B452F8}"/>
    <cellStyle name="Normal 12 8 2 2" xfId="4759" xr:uid="{7A5B260C-6380-4EF3-B947-791881B07D4F}"/>
    <cellStyle name="Normal 12 8 2 2 2" xfId="9755" xr:uid="{9A8DC2B5-25D2-461D-A10E-DA333ABC6C2E}"/>
    <cellStyle name="Normal 12 8 2 3" xfId="7257" xr:uid="{BB649EB4-F6FB-4759-B0AC-BC691FA06051}"/>
    <cellStyle name="Normal 12 8 3" xfId="3510" xr:uid="{C5452564-7763-4E4A-8F2E-BA29B038CFF3}"/>
    <cellStyle name="Normal 12 8 3 2" xfId="8506" xr:uid="{B9D835C4-792D-4557-89E5-747CD1565C79}"/>
    <cellStyle name="Normal 12 8 4" xfId="6008" xr:uid="{F48C848E-D55C-42F7-BA41-0654560E8B49}"/>
    <cellStyle name="Normal 12 9" xfId="1327" xr:uid="{FC62A9AC-07E3-444E-A02D-642B00F987AA}"/>
    <cellStyle name="Normal 12 9 2" xfId="2577" xr:uid="{94C48C75-0B37-408C-AC20-3BC6C6640306}"/>
    <cellStyle name="Normal 12 9 2 2" xfId="5075" xr:uid="{738C9DF6-273E-4066-9A12-D80D3E6491EB}"/>
    <cellStyle name="Normal 12 9 2 2 2" xfId="10071" xr:uid="{6372B966-3CA5-43F1-A944-ACE39025689A}"/>
    <cellStyle name="Normal 12 9 2 3" xfId="7573" xr:uid="{6D711A26-06B5-4E88-8E7B-7F4F603FA66F}"/>
    <cellStyle name="Normal 12 9 3" xfId="3826" xr:uid="{D03F8271-5553-4EBE-A172-918CD793014D}"/>
    <cellStyle name="Normal 12 9 3 2" xfId="8822" xr:uid="{4B5A6729-946D-45DB-9834-1199B54F9B9D}"/>
    <cellStyle name="Normal 12 9 4" xfId="6324" xr:uid="{AB2F5ED9-5AAD-4953-A71F-22E8DD0F946A}"/>
    <cellStyle name="Normal 13" xfId="43" xr:uid="{053486E5-7DDB-48EE-82F0-F97BB4FB1DC4}"/>
    <cellStyle name="Normal 13 10" xfId="1662" xr:uid="{C15C35D8-9C23-4069-ADD9-5BBA46D71C24}"/>
    <cellStyle name="Normal 13 10 2" xfId="4160" xr:uid="{9E416FB2-3596-4CA8-A845-B424E41F2A93}"/>
    <cellStyle name="Normal 13 10 2 2" xfId="9156" xr:uid="{6E45AF89-3BA8-4A9C-BCCF-DE222AD39B19}"/>
    <cellStyle name="Normal 13 10 3" xfId="6658" xr:uid="{53E04D3E-3589-41BB-ADCD-21567CE327B2}"/>
    <cellStyle name="Normal 13 11" xfId="2911" xr:uid="{7F3A9366-3BF0-404C-A17C-077ADFCC8C19}"/>
    <cellStyle name="Normal 13 11 2" xfId="7907" xr:uid="{4FFA4CCA-080B-4220-97DD-6DB5D6382E65}"/>
    <cellStyle name="Normal 13 12" xfId="5409" xr:uid="{D2214AF5-59E1-4309-AEB2-37329B61A773}"/>
    <cellStyle name="Normal 13 13" xfId="411" xr:uid="{C985E4BA-5203-463A-86B1-929A627D8E13}"/>
    <cellStyle name="Normal 13 2" xfId="70" xr:uid="{49F61CE0-5996-43DC-B8AB-0AA9C82F8A9C}"/>
    <cellStyle name="Normal 13 2 10" xfId="5413" xr:uid="{12CBF2E8-D177-47B3-B26D-514DE90FF018}"/>
    <cellStyle name="Normal 13 2 11" xfId="415" xr:uid="{8855D6CE-F49F-4FA1-A050-CB6A4EE8C586}"/>
    <cellStyle name="Normal 13 2 2" xfId="228" xr:uid="{B0C2D945-931E-4A8A-80C0-194C1E8091E2}"/>
    <cellStyle name="Normal 13 2 2 10" xfId="419" xr:uid="{D54A33BE-A8B0-4595-A638-9E33BAD2F0BA}"/>
    <cellStyle name="Normal 13 2 2 2" xfId="229" xr:uid="{E218D66E-5C57-43BD-BB79-8C52F3B4F849}"/>
    <cellStyle name="Normal 13 2 2 2 2" xfId="230" xr:uid="{D5972C1F-9285-4F6F-B123-1ADE0176C73F}"/>
    <cellStyle name="Normal 13 2 2 2 2 2" xfId="850" xr:uid="{56B20FC2-6178-4D7E-BF0C-6D194DE7A2F9}"/>
    <cellStyle name="Normal 13 2 2 2 2 2 2" xfId="2101" xr:uid="{62E38496-9556-4EE3-8034-7D9C5972B34E}"/>
    <cellStyle name="Normal 13 2 2 2 2 2 2 2" xfId="4599" xr:uid="{CD74F7D4-B755-4B5A-980E-745B9EC420F3}"/>
    <cellStyle name="Normal 13 2 2 2 2 2 2 2 2" xfId="9595" xr:uid="{1D2A757E-45DB-4457-815E-57FFCD086C38}"/>
    <cellStyle name="Normal 13 2 2 2 2 2 2 3" xfId="7097" xr:uid="{51FB9975-E9E1-4485-8E74-51F36BA7A1B6}"/>
    <cellStyle name="Normal 13 2 2 2 2 2 3" xfId="3350" xr:uid="{FCC0EC2E-5616-4474-9382-B4F7AB396E34}"/>
    <cellStyle name="Normal 13 2 2 2 2 2 3 2" xfId="8346" xr:uid="{9B9A3928-C9B9-42F4-9A0B-654C3AAD104E}"/>
    <cellStyle name="Normal 13 2 2 2 2 2 4" xfId="5848" xr:uid="{DA444606-C330-4A9D-AB2E-13F49A54F948}"/>
    <cellStyle name="Normal 13 2 2 2 2 3" xfId="1163" xr:uid="{1D3580E4-CA8A-467B-8B58-43F1ED72E1DA}"/>
    <cellStyle name="Normal 13 2 2 2 2 3 2" xfId="2413" xr:uid="{EF3E206E-D602-447E-8A66-4A278D11CA7C}"/>
    <cellStyle name="Normal 13 2 2 2 2 3 2 2" xfId="4911" xr:uid="{C2286C88-41CD-4A54-9D57-883222C80486}"/>
    <cellStyle name="Normal 13 2 2 2 2 3 2 2 2" xfId="9907" xr:uid="{A46E0D31-FA58-407A-8541-0FF51FCC9DA0}"/>
    <cellStyle name="Normal 13 2 2 2 2 3 2 3" xfId="7409" xr:uid="{1B42C1DA-C74D-4D3F-9581-E7EFA7DA1A84}"/>
    <cellStyle name="Normal 13 2 2 2 2 3 3" xfId="3662" xr:uid="{E3FD9D4C-F487-4EE8-BF66-0F3995ED21A4}"/>
    <cellStyle name="Normal 13 2 2 2 2 3 3 2" xfId="8658" xr:uid="{81582212-5403-4971-A14D-57073292C681}"/>
    <cellStyle name="Normal 13 2 2 2 2 3 4" xfId="6160" xr:uid="{5D38701F-6C14-49B0-8FCF-2A6E4D1F4474}"/>
    <cellStyle name="Normal 13 2 2 2 2 4" xfId="1516" xr:uid="{493FFEB1-D08A-4A01-AB4E-54DA05D3D708}"/>
    <cellStyle name="Normal 13 2 2 2 2 4 2" xfId="2766" xr:uid="{BE19B0A7-0227-4684-8740-4BEDAF375640}"/>
    <cellStyle name="Normal 13 2 2 2 2 4 2 2" xfId="5264" xr:uid="{50943E9B-EA6A-4E86-A209-FAF25ADDE2EA}"/>
    <cellStyle name="Normal 13 2 2 2 2 4 2 2 2" xfId="10260" xr:uid="{0F10CC49-1F19-4E7A-9CC7-B428B1EFB8FE}"/>
    <cellStyle name="Normal 13 2 2 2 2 4 2 3" xfId="7762" xr:uid="{19A04C22-1807-415D-9DE5-18F07200EBAE}"/>
    <cellStyle name="Normal 13 2 2 2 2 4 3" xfId="4015" xr:uid="{6EC78D07-39D5-49F0-8200-B8582CEF0778}"/>
    <cellStyle name="Normal 13 2 2 2 2 4 3 2" xfId="9011" xr:uid="{53D66D42-01D3-4BD4-A86E-0606D6C7B0BE}"/>
    <cellStyle name="Normal 13 2 2 2 2 4 4" xfId="6513" xr:uid="{E6EA61C9-F5AC-46EF-844C-4AD7013C4301}"/>
    <cellStyle name="Normal 13 2 2 2 2 5" xfId="1847" xr:uid="{69BD7ABA-CD70-4B6D-AA08-41BF740C5ACD}"/>
    <cellStyle name="Normal 13 2 2 2 2 5 2" xfId="4345" xr:uid="{9BBBFA1E-9D90-4199-83B4-923F9CCEDA0B}"/>
    <cellStyle name="Normal 13 2 2 2 2 5 2 2" xfId="9341" xr:uid="{591E6307-9805-4F2E-8130-706B0AED049E}"/>
    <cellStyle name="Normal 13 2 2 2 2 5 3" xfId="6843" xr:uid="{F5443284-D5E0-4BBD-A6F8-92536D90AD87}"/>
    <cellStyle name="Normal 13 2 2 2 2 6" xfId="3096" xr:uid="{B64ED8FC-8AA9-4D00-BDD6-C8B7B4FB9D99}"/>
    <cellStyle name="Normal 13 2 2 2 2 6 2" xfId="8092" xr:uid="{8B800336-8613-49CF-8685-00BC9D35207D}"/>
    <cellStyle name="Normal 13 2 2 2 2 7" xfId="5594" xr:uid="{BF5BFFC5-28AE-4446-ACD2-BE47630CC324}"/>
    <cellStyle name="Normal 13 2 2 2 2 8" xfId="596" xr:uid="{F7391162-504D-48DA-A784-C8D9FD9DE4D7}"/>
    <cellStyle name="Normal 13 2 2 2 3" xfId="849" xr:uid="{8D2371D7-8CB8-40B5-A0D1-259CDB1E934C}"/>
    <cellStyle name="Normal 13 2 2 2 3 2" xfId="2100" xr:uid="{23EE313E-7591-4600-B0E7-D7D507697623}"/>
    <cellStyle name="Normal 13 2 2 2 3 2 2" xfId="4598" xr:uid="{2F661436-6B54-4BEE-A4E9-6007481BB26E}"/>
    <cellStyle name="Normal 13 2 2 2 3 2 2 2" xfId="9594" xr:uid="{9F172EE9-0FA0-4DF2-AC95-8305160C6399}"/>
    <cellStyle name="Normal 13 2 2 2 3 2 3" xfId="7096" xr:uid="{2C059E20-D04A-4FAA-A9F1-CF8B82BCF2E1}"/>
    <cellStyle name="Normal 13 2 2 2 3 3" xfId="3349" xr:uid="{B889FBB6-07D8-4ED7-BEBE-CB2390CF2A1C}"/>
    <cellStyle name="Normal 13 2 2 2 3 3 2" xfId="8345" xr:uid="{9A51795E-E35B-4D7C-9C5F-FCDCE6CB28D2}"/>
    <cellStyle name="Normal 13 2 2 2 3 4" xfId="5847" xr:uid="{627D4507-053D-41E5-97C0-94177E791D83}"/>
    <cellStyle name="Normal 13 2 2 2 4" xfId="1162" xr:uid="{49E4D803-85CA-4AFD-8A0C-C26ABAFCEC7E}"/>
    <cellStyle name="Normal 13 2 2 2 4 2" xfId="2412" xr:uid="{5BF354AD-094A-4D76-BD9C-4561B9C13FEB}"/>
    <cellStyle name="Normal 13 2 2 2 4 2 2" xfId="4910" xr:uid="{5DA7FCDD-F000-4DDE-985E-81FDBC875EB8}"/>
    <cellStyle name="Normal 13 2 2 2 4 2 2 2" xfId="9906" xr:uid="{EE0AD314-F87B-4B51-8E12-1AA52D98AB49}"/>
    <cellStyle name="Normal 13 2 2 2 4 2 3" xfId="7408" xr:uid="{35B5ACFF-AA4E-45D0-9E6B-1DEBC230DBE1}"/>
    <cellStyle name="Normal 13 2 2 2 4 3" xfId="3661" xr:uid="{FC567FFA-F3E9-415F-9280-A7E7F3494309}"/>
    <cellStyle name="Normal 13 2 2 2 4 3 2" xfId="8657" xr:uid="{BB088669-AA5F-46E1-87AD-757620CBDDFE}"/>
    <cellStyle name="Normal 13 2 2 2 4 4" xfId="6159" xr:uid="{95808B19-5B45-4940-BF27-E147AEFD9CF2}"/>
    <cellStyle name="Normal 13 2 2 2 5" xfId="1343" xr:uid="{8A97F30D-5A92-4951-AFBD-42993F80A3F1}"/>
    <cellStyle name="Normal 13 2 2 2 5 2" xfId="2593" xr:uid="{59F524A5-41EC-4EDB-B80F-D4F16F5D430F}"/>
    <cellStyle name="Normal 13 2 2 2 5 2 2" xfId="5091" xr:uid="{76755499-348D-4A7F-B69C-E972BD232378}"/>
    <cellStyle name="Normal 13 2 2 2 5 2 2 2" xfId="10087" xr:uid="{4815C5CC-A267-4506-800F-39A407CBAF0C}"/>
    <cellStyle name="Normal 13 2 2 2 5 2 3" xfId="7589" xr:uid="{243D71E4-78E1-4983-AF5D-D9AD8CC8612C}"/>
    <cellStyle name="Normal 13 2 2 2 5 3" xfId="3842" xr:uid="{040392E8-16FD-4CE5-B0AC-53ACC72D3630}"/>
    <cellStyle name="Normal 13 2 2 2 5 3 2" xfId="8838" xr:uid="{85FBB51E-9B12-4DF7-8042-3C4E2D059041}"/>
    <cellStyle name="Normal 13 2 2 2 5 4" xfId="6340" xr:uid="{7CD965A4-1BED-4C9D-8AD3-6A3C3EB85CFF}"/>
    <cellStyle name="Normal 13 2 2 2 6" xfId="1674" xr:uid="{18766A0E-4A09-4564-BCB4-D8417F816C32}"/>
    <cellStyle name="Normal 13 2 2 2 6 2" xfId="4172" xr:uid="{1AED187C-D0BD-49B9-9C62-380013DD853A}"/>
    <cellStyle name="Normal 13 2 2 2 6 2 2" xfId="9168" xr:uid="{9CE2FB4A-D004-4B1A-B7FE-8BB4A07689D5}"/>
    <cellStyle name="Normal 13 2 2 2 6 3" xfId="6670" xr:uid="{F1E2C35D-B8A1-4D62-B244-997A1FF4B1E9}"/>
    <cellStyle name="Normal 13 2 2 2 7" xfId="2923" xr:uid="{CC1E89CE-FF68-404A-842E-4CB9506994E5}"/>
    <cellStyle name="Normal 13 2 2 2 7 2" xfId="7919" xr:uid="{D5AC7B58-100C-4245-8B20-7F72A9A4A699}"/>
    <cellStyle name="Normal 13 2 2 2 8" xfId="5421" xr:uid="{7B1A5C92-AEA8-4339-8598-70655DDCE482}"/>
    <cellStyle name="Normal 13 2 2 2 9" xfId="423" xr:uid="{DE145ADD-390F-40BB-BEB3-5C8825CD6526}"/>
    <cellStyle name="Normal 13 2 2 3" xfId="231" xr:uid="{3BB20F2D-C473-41E2-8BE3-5326B944B9B8}"/>
    <cellStyle name="Normal 13 2 2 3 2" xfId="851" xr:uid="{E133351B-9BA3-4491-93B6-D8ACA5574D41}"/>
    <cellStyle name="Normal 13 2 2 3 2 2" xfId="2102" xr:uid="{F2EF9C45-33E8-469E-B80B-1C109204F564}"/>
    <cellStyle name="Normal 13 2 2 3 2 2 2" xfId="4600" xr:uid="{B4C66ED2-6F9C-407D-8EC5-48E4879AB673}"/>
    <cellStyle name="Normal 13 2 2 3 2 2 2 2" xfId="9596" xr:uid="{0A76ED2B-B165-4A1D-9B5E-7BB293E5F7DA}"/>
    <cellStyle name="Normal 13 2 2 3 2 2 3" xfId="7098" xr:uid="{FE30D660-5B80-471B-A726-77CCE3C8D4B4}"/>
    <cellStyle name="Normal 13 2 2 3 2 3" xfId="3351" xr:uid="{0A1CA2B2-29A5-4A80-B299-C4A3953450F3}"/>
    <cellStyle name="Normal 13 2 2 3 2 3 2" xfId="8347" xr:uid="{0BAACDE9-5E14-48A5-8B9D-FEC30DCE492A}"/>
    <cellStyle name="Normal 13 2 2 3 2 4" xfId="5849" xr:uid="{987F9A42-533E-4637-8DAD-5AD8201354FA}"/>
    <cellStyle name="Normal 13 2 2 3 3" xfId="1164" xr:uid="{1E3A4252-B620-48AF-99D0-7ABD2BC46EFF}"/>
    <cellStyle name="Normal 13 2 2 3 3 2" xfId="2414" xr:uid="{9EBABC0E-18F5-4615-BD52-1DDC283D6EA3}"/>
    <cellStyle name="Normal 13 2 2 3 3 2 2" xfId="4912" xr:uid="{54324BDB-3D33-4440-A5CA-2C07D15D66EB}"/>
    <cellStyle name="Normal 13 2 2 3 3 2 2 2" xfId="9908" xr:uid="{4CA4B11A-73FC-4BA0-A048-C39F76D9C392}"/>
    <cellStyle name="Normal 13 2 2 3 3 2 3" xfId="7410" xr:uid="{CA7CAA4F-F5C1-46EE-9C83-8A2202127500}"/>
    <cellStyle name="Normal 13 2 2 3 3 3" xfId="3663" xr:uid="{CDFBC949-B2C9-407C-B0E7-67FCFE23D91B}"/>
    <cellStyle name="Normal 13 2 2 3 3 3 2" xfId="8659" xr:uid="{A2DBCAB9-10B1-4150-9B2D-905C249A1647}"/>
    <cellStyle name="Normal 13 2 2 3 3 4" xfId="6161" xr:uid="{06ECA9ED-0184-4674-9006-B4D8C37F088E}"/>
    <cellStyle name="Normal 13 2 2 3 4" xfId="1515" xr:uid="{B6058BF1-CF7B-49AB-A378-70AEA64E214D}"/>
    <cellStyle name="Normal 13 2 2 3 4 2" xfId="2765" xr:uid="{33AB8F7B-E39D-4582-A46E-1ED0E5050FDE}"/>
    <cellStyle name="Normal 13 2 2 3 4 2 2" xfId="5263" xr:uid="{5BAB1FF6-2FB7-4BDB-93BA-173F45330503}"/>
    <cellStyle name="Normal 13 2 2 3 4 2 2 2" xfId="10259" xr:uid="{A6671B6D-577A-4AF6-851E-458AE1CF90EC}"/>
    <cellStyle name="Normal 13 2 2 3 4 2 3" xfId="7761" xr:uid="{A8D0EE81-5D69-45AB-873D-C7D5322A27BF}"/>
    <cellStyle name="Normal 13 2 2 3 4 3" xfId="4014" xr:uid="{E36B44A8-A2BB-4701-82DF-2C373243D694}"/>
    <cellStyle name="Normal 13 2 2 3 4 3 2" xfId="9010" xr:uid="{A6C3E96C-E890-49AF-B1A3-F43BF6F4F034}"/>
    <cellStyle name="Normal 13 2 2 3 4 4" xfId="6512" xr:uid="{C56A3073-43C7-4FE1-AA35-ACEF909FC92B}"/>
    <cellStyle name="Normal 13 2 2 3 5" xfId="1846" xr:uid="{031206A0-F9C9-4B25-A414-75D0DB04F16A}"/>
    <cellStyle name="Normal 13 2 2 3 5 2" xfId="4344" xr:uid="{25D3B5CD-A0B7-46E4-8C42-8A0358E34D6D}"/>
    <cellStyle name="Normal 13 2 2 3 5 2 2" xfId="9340" xr:uid="{D776B3B3-14F5-419B-B689-25DA5E00BC58}"/>
    <cellStyle name="Normal 13 2 2 3 5 3" xfId="6842" xr:uid="{92301690-AF27-4BE9-B63A-CA223EC7E191}"/>
    <cellStyle name="Normal 13 2 2 3 6" xfId="3095" xr:uid="{56A99765-067F-49CD-BE39-977698CE6197}"/>
    <cellStyle name="Normal 13 2 2 3 6 2" xfId="8091" xr:uid="{F7AFE9C5-FFBC-4990-8D32-29D2D9A910A4}"/>
    <cellStyle name="Normal 13 2 2 3 7" xfId="5593" xr:uid="{9A2BF91E-940A-42A6-892B-F6D4B510A4D8}"/>
    <cellStyle name="Normal 13 2 2 3 8" xfId="595" xr:uid="{75835F0C-0332-4B2A-A814-B99C7AE14617}"/>
    <cellStyle name="Normal 13 2 2 4" xfId="848" xr:uid="{8B900527-BD34-47A7-9669-BD1E9970B7FD}"/>
    <cellStyle name="Normal 13 2 2 4 2" xfId="2099" xr:uid="{4C3133BF-AFD1-4B15-8A59-B9CDAC285762}"/>
    <cellStyle name="Normal 13 2 2 4 2 2" xfId="4597" xr:uid="{68BBA8AB-118A-4496-9FCB-DB63675F4E1A}"/>
    <cellStyle name="Normal 13 2 2 4 2 2 2" xfId="9593" xr:uid="{F63FC038-ABE7-4DA8-A1BB-3FE68472C698}"/>
    <cellStyle name="Normal 13 2 2 4 2 3" xfId="7095" xr:uid="{9DED0461-46E9-4141-81CF-627427730454}"/>
    <cellStyle name="Normal 13 2 2 4 3" xfId="3348" xr:uid="{28F1552D-CCD1-47AE-9809-AEF3B09D8DC2}"/>
    <cellStyle name="Normal 13 2 2 4 3 2" xfId="8344" xr:uid="{3160C662-DC12-474B-9F67-1575B3635524}"/>
    <cellStyle name="Normal 13 2 2 4 4" xfId="5846" xr:uid="{57328542-97B1-4A4B-ABA5-41B24242DCA8}"/>
    <cellStyle name="Normal 13 2 2 5" xfId="1161" xr:uid="{3202EBB6-B986-4D04-92DC-5F961E159210}"/>
    <cellStyle name="Normal 13 2 2 5 2" xfId="2411" xr:uid="{9092E748-CEFE-4599-A83A-249593E5ACAB}"/>
    <cellStyle name="Normal 13 2 2 5 2 2" xfId="4909" xr:uid="{03385254-06BB-4C62-A728-06FCF743B67D}"/>
    <cellStyle name="Normal 13 2 2 5 2 2 2" xfId="9905" xr:uid="{EC1F3898-389B-44CA-99E0-EFB135F7E5BE}"/>
    <cellStyle name="Normal 13 2 2 5 2 3" xfId="7407" xr:uid="{0068A74D-0757-4AEC-A178-B798A4014606}"/>
    <cellStyle name="Normal 13 2 2 5 3" xfId="3660" xr:uid="{AB70C176-71A3-4D72-A0F0-A79ADD9155CA}"/>
    <cellStyle name="Normal 13 2 2 5 3 2" xfId="8656" xr:uid="{DE5506BB-427D-4211-AFC4-608CFEDAF1C8}"/>
    <cellStyle name="Normal 13 2 2 5 4" xfId="6158" xr:uid="{CB63B2E6-DF4A-4F84-BF37-CF7C098A111D}"/>
    <cellStyle name="Normal 13 2 2 6" xfId="1339" xr:uid="{96246C6F-670E-4FA2-8F7A-B75B5C6EEA39}"/>
    <cellStyle name="Normal 13 2 2 6 2" xfId="2589" xr:uid="{DCE46F29-E483-48D2-9C09-9BADFF5A72C9}"/>
    <cellStyle name="Normal 13 2 2 6 2 2" xfId="5087" xr:uid="{25328D77-067A-4B8D-9F39-1E1EE674103B}"/>
    <cellStyle name="Normal 13 2 2 6 2 2 2" xfId="10083" xr:uid="{153FD6B1-023F-4A1F-B5AD-A94EF7C344E0}"/>
    <cellStyle name="Normal 13 2 2 6 2 3" xfId="7585" xr:uid="{BF48B07E-4927-40E3-BA97-89226F2BFBA9}"/>
    <cellStyle name="Normal 13 2 2 6 3" xfId="3838" xr:uid="{12D753B6-A559-4E90-AC70-29F7AB944F4B}"/>
    <cellStyle name="Normal 13 2 2 6 3 2" xfId="8834" xr:uid="{B864492D-7E46-482A-883F-3BC458535E01}"/>
    <cellStyle name="Normal 13 2 2 6 4" xfId="6336" xr:uid="{A6DC1522-F441-46C9-8C8B-4CDC7F29A32A}"/>
    <cellStyle name="Normal 13 2 2 7" xfId="1670" xr:uid="{6605946B-AB55-4E0D-BCDD-7A5F6D515099}"/>
    <cellStyle name="Normal 13 2 2 7 2" xfId="4168" xr:uid="{B602039A-8184-4C64-94CD-C1CC32FF2FA4}"/>
    <cellStyle name="Normal 13 2 2 7 2 2" xfId="9164" xr:uid="{552B5413-2B72-4979-BE44-B4EC2692B706}"/>
    <cellStyle name="Normal 13 2 2 7 3" xfId="6666" xr:uid="{4B549CEB-B954-43B6-B66F-1A026E7CEB9B}"/>
    <cellStyle name="Normal 13 2 2 8" xfId="2919" xr:uid="{09E92B62-E579-4E91-8CE0-40847509F0AA}"/>
    <cellStyle name="Normal 13 2 2 8 2" xfId="7915" xr:uid="{5D03F52D-F9AD-4E16-9DE8-E9F9BBC98F6B}"/>
    <cellStyle name="Normal 13 2 2 9" xfId="5417" xr:uid="{D306C818-C99E-43C1-A11D-F5BAD8B808D5}"/>
    <cellStyle name="Normal 13 2 3" xfId="232" xr:uid="{4E1AF3C9-E72C-4C67-8328-00D1FD0BD964}"/>
    <cellStyle name="Normal 13 2 3 2" xfId="233" xr:uid="{8FA379E9-C3DC-4647-BDD8-7FDC46F4BA91}"/>
    <cellStyle name="Normal 13 2 3 2 2" xfId="853" xr:uid="{B81605BD-80AA-4A5C-AD93-9B80FDDE1DDE}"/>
    <cellStyle name="Normal 13 2 3 2 2 2" xfId="2104" xr:uid="{156FF21B-41FF-4C24-9B3E-15992431A2BE}"/>
    <cellStyle name="Normal 13 2 3 2 2 2 2" xfId="4602" xr:uid="{CBE5871B-E874-434F-A163-EDDC14BBA428}"/>
    <cellStyle name="Normal 13 2 3 2 2 2 2 2" xfId="9598" xr:uid="{416DF33D-67F5-4364-BA4E-FE226E9A9072}"/>
    <cellStyle name="Normal 13 2 3 2 2 2 3" xfId="7100" xr:uid="{90A73505-C82A-4919-81C4-662EE4A134F5}"/>
    <cellStyle name="Normal 13 2 3 2 2 3" xfId="3353" xr:uid="{1003A61C-924F-49C0-B133-F7BA9D58860E}"/>
    <cellStyle name="Normal 13 2 3 2 2 3 2" xfId="8349" xr:uid="{92D64577-A8E0-4EC6-ADA1-58FEFE5C6D2B}"/>
    <cellStyle name="Normal 13 2 3 2 2 4" xfId="5851" xr:uid="{E3F42CA1-2522-4116-A181-EB4F228D5057}"/>
    <cellStyle name="Normal 13 2 3 2 3" xfId="1166" xr:uid="{5F72BB0D-A9F3-49B3-AE2A-42C391E86CF4}"/>
    <cellStyle name="Normal 13 2 3 2 3 2" xfId="2416" xr:uid="{6C7485B1-FDFC-467A-9875-596F74759301}"/>
    <cellStyle name="Normal 13 2 3 2 3 2 2" xfId="4914" xr:uid="{38800F41-24E3-400A-90D7-B68623C522E7}"/>
    <cellStyle name="Normal 13 2 3 2 3 2 2 2" xfId="9910" xr:uid="{AF040AEA-06B9-4F13-8052-901865F7536C}"/>
    <cellStyle name="Normal 13 2 3 2 3 2 3" xfId="7412" xr:uid="{DEAD392D-069D-4E92-8E52-77DEE4569EAE}"/>
    <cellStyle name="Normal 13 2 3 2 3 3" xfId="3665" xr:uid="{6C220690-9F8E-463B-9391-B33391AC6590}"/>
    <cellStyle name="Normal 13 2 3 2 3 3 2" xfId="8661" xr:uid="{990C2046-273A-4F93-924E-AFDB58176485}"/>
    <cellStyle name="Normal 13 2 3 2 3 4" xfId="6163" xr:uid="{103D42A2-C0BF-4A3A-8FF0-2770C22D06E8}"/>
    <cellStyle name="Normal 13 2 3 2 4" xfId="1517" xr:uid="{3EDBBD81-5E78-452E-8B53-D342A108F59A}"/>
    <cellStyle name="Normal 13 2 3 2 4 2" xfId="2767" xr:uid="{FAC2F2DB-CC2F-47F6-855F-C1188F9435AD}"/>
    <cellStyle name="Normal 13 2 3 2 4 2 2" xfId="5265" xr:uid="{B2B24B8E-09E1-4ADE-B0FF-E5244288E4DF}"/>
    <cellStyle name="Normal 13 2 3 2 4 2 2 2" xfId="10261" xr:uid="{467EF914-715A-4C40-8C01-411C868F5AD4}"/>
    <cellStyle name="Normal 13 2 3 2 4 2 3" xfId="7763" xr:uid="{758CBF3A-5473-4519-9A30-25F6A845D816}"/>
    <cellStyle name="Normal 13 2 3 2 4 3" xfId="4016" xr:uid="{EDEB8B0E-A3A2-4D0F-9A35-B610CB6CC30F}"/>
    <cellStyle name="Normal 13 2 3 2 4 3 2" xfId="9012" xr:uid="{8E3F015F-77AE-491B-B04F-0F6E7E08522D}"/>
    <cellStyle name="Normal 13 2 3 2 4 4" xfId="6514" xr:uid="{1D866787-14E5-42DB-95AB-04CA8ABA5CEF}"/>
    <cellStyle name="Normal 13 2 3 2 5" xfId="1848" xr:uid="{ACFF6D29-F6BF-4653-8AD2-B93F03D72A7D}"/>
    <cellStyle name="Normal 13 2 3 2 5 2" xfId="4346" xr:uid="{A518E8BF-8844-4BAD-AF6A-C774F58B80F2}"/>
    <cellStyle name="Normal 13 2 3 2 5 2 2" xfId="9342" xr:uid="{1ED4CA0F-BBC0-4FD9-8C3B-00DCE257C695}"/>
    <cellStyle name="Normal 13 2 3 2 5 3" xfId="6844" xr:uid="{597D4FFA-D6A1-48D1-A421-41B9A5B0B72E}"/>
    <cellStyle name="Normal 13 2 3 2 6" xfId="3097" xr:uid="{DB5F16E6-34F4-4A3A-A285-F3E97A79D135}"/>
    <cellStyle name="Normal 13 2 3 2 6 2" xfId="8093" xr:uid="{35E32D4C-FC0D-4306-AC40-A00FA8C4D375}"/>
    <cellStyle name="Normal 13 2 3 2 7" xfId="5595" xr:uid="{0D9DCED8-433F-459A-8E3D-90AEBCF7C425}"/>
    <cellStyle name="Normal 13 2 3 2 8" xfId="597" xr:uid="{6C4F064D-15D1-4858-BD30-3D68879116A7}"/>
    <cellStyle name="Normal 13 2 3 3" xfId="852" xr:uid="{4444A5A6-ABB0-40FB-B576-CBD67E8F4644}"/>
    <cellStyle name="Normal 13 2 3 3 2" xfId="2103" xr:uid="{69CC5336-CE70-459A-85FF-9D7A593B72A8}"/>
    <cellStyle name="Normal 13 2 3 3 2 2" xfId="4601" xr:uid="{BC6A8CE6-639F-44AC-8FDA-91FD57D9CED3}"/>
    <cellStyle name="Normal 13 2 3 3 2 2 2" xfId="9597" xr:uid="{8FE7E63B-588A-4173-9077-3538B6477EA8}"/>
    <cellStyle name="Normal 13 2 3 3 2 3" xfId="7099" xr:uid="{B52BC7D5-4926-466B-8AD7-33DA5A001845}"/>
    <cellStyle name="Normal 13 2 3 3 3" xfId="3352" xr:uid="{40657E10-60BC-4C57-837B-505DE295455E}"/>
    <cellStyle name="Normal 13 2 3 3 3 2" xfId="8348" xr:uid="{C2AF57C9-5E7E-4810-AA84-E54EC03F39B4}"/>
    <cellStyle name="Normal 13 2 3 3 4" xfId="5850" xr:uid="{CF5A2B60-3E3A-4BB9-ABE3-A56AF2D823E5}"/>
    <cellStyle name="Normal 13 2 3 4" xfId="1165" xr:uid="{268892DE-82A0-4CC9-940A-EC4875A10E37}"/>
    <cellStyle name="Normal 13 2 3 4 2" xfId="2415" xr:uid="{511918EA-85A5-4AD6-99A4-8F351BCBDE3C}"/>
    <cellStyle name="Normal 13 2 3 4 2 2" xfId="4913" xr:uid="{B287BBE1-40D2-421A-A002-EA73B976EB4A}"/>
    <cellStyle name="Normal 13 2 3 4 2 2 2" xfId="9909" xr:uid="{93A58BDF-5FDC-4DC6-B5CF-A4A15AC15EDD}"/>
    <cellStyle name="Normal 13 2 3 4 2 3" xfId="7411" xr:uid="{69EDCE19-9F40-4F9A-9523-15D2FA0E08F8}"/>
    <cellStyle name="Normal 13 2 3 4 3" xfId="3664" xr:uid="{F0B8A9EF-1FCA-4351-AEC4-73BADB95C697}"/>
    <cellStyle name="Normal 13 2 3 4 3 2" xfId="8660" xr:uid="{BA441607-B9CA-4D69-A9A6-457839D1C166}"/>
    <cellStyle name="Normal 13 2 3 4 4" xfId="6162" xr:uid="{2FD1FABB-5C25-40EE-AEF7-315C0D4CC099}"/>
    <cellStyle name="Normal 13 2 3 5" xfId="1409" xr:uid="{CA302B9F-1604-4834-BEC0-6382E67C5C34}"/>
    <cellStyle name="Normal 13 2 3 5 2" xfId="2659" xr:uid="{F5BA3B6F-E927-4091-9197-30411CBD8E51}"/>
    <cellStyle name="Normal 13 2 3 5 2 2" xfId="5157" xr:uid="{588CDB11-9EEF-403E-9C3F-6EAA43D89231}"/>
    <cellStyle name="Normal 13 2 3 5 2 2 2" xfId="10153" xr:uid="{3740721A-E384-4C5B-BC86-D8C7609FDF90}"/>
    <cellStyle name="Normal 13 2 3 5 2 3" xfId="7655" xr:uid="{429E9F4E-3E3E-4DF6-A444-A07A14F50196}"/>
    <cellStyle name="Normal 13 2 3 5 3" xfId="3908" xr:uid="{801CD5E4-7CD7-4152-8031-0298BCCC7FCB}"/>
    <cellStyle name="Normal 13 2 3 5 3 2" xfId="8904" xr:uid="{C5B09F33-506D-41F5-B7E4-9DA74861514E}"/>
    <cellStyle name="Normal 13 2 3 5 4" xfId="6406" xr:uid="{E4DB4EE5-8950-4D33-9F40-EC5EBF447AB9}"/>
    <cellStyle name="Normal 13 2 3 6" xfId="1740" xr:uid="{5E9A1585-334A-4B1C-B410-CB297754BFD2}"/>
    <cellStyle name="Normal 13 2 3 6 2" xfId="4238" xr:uid="{34351AAF-C617-4E2B-9001-6ED2CBD0F321}"/>
    <cellStyle name="Normal 13 2 3 6 2 2" xfId="9234" xr:uid="{554943BD-D28E-4240-9A4F-CDA3451D0680}"/>
    <cellStyle name="Normal 13 2 3 6 3" xfId="6736" xr:uid="{2ABBF968-524C-436B-9DC3-7850AA6335E4}"/>
    <cellStyle name="Normal 13 2 3 7" xfId="2989" xr:uid="{1408B549-5B84-45D7-968A-129D341EF588}"/>
    <cellStyle name="Normal 13 2 3 7 2" xfId="7985" xr:uid="{C481F610-5ACA-43D7-91F3-3D3C5018B35A}"/>
    <cellStyle name="Normal 13 2 3 8" xfId="5487" xr:uid="{F0171D8D-04D6-4B26-822F-91017825E865}"/>
    <cellStyle name="Normal 13 2 3 9" xfId="489" xr:uid="{6C877042-2B02-46EA-AD76-87F580FD09C2}"/>
    <cellStyle name="Normal 13 2 4" xfId="234" xr:uid="{5E3685EE-748A-4441-8197-26614D6DBF87}"/>
    <cellStyle name="Normal 13 2 4 2" xfId="854" xr:uid="{7757992D-211D-46D4-9CD2-170DF51B4D01}"/>
    <cellStyle name="Normal 13 2 4 2 2" xfId="2105" xr:uid="{7ACAAEA3-9610-4558-8E55-6D55A8528776}"/>
    <cellStyle name="Normal 13 2 4 2 2 2" xfId="4603" xr:uid="{72D1768C-9692-4BB7-81F7-DDD542FC6C26}"/>
    <cellStyle name="Normal 13 2 4 2 2 2 2" xfId="9599" xr:uid="{6AE892CD-74CC-4883-9E0D-CB5D40492F62}"/>
    <cellStyle name="Normal 13 2 4 2 2 3" xfId="7101" xr:uid="{C7B694DA-99FF-47D2-8257-48858063447E}"/>
    <cellStyle name="Normal 13 2 4 2 3" xfId="3354" xr:uid="{75EB8FC8-FFB6-4C42-A7DD-732E6EB7D1DD}"/>
    <cellStyle name="Normal 13 2 4 2 3 2" xfId="8350" xr:uid="{699CF423-D63F-4E13-86A3-B1B34A19A620}"/>
    <cellStyle name="Normal 13 2 4 2 4" xfId="5852" xr:uid="{3D6CA251-CAE1-4EC0-A2AB-348FE2E93CD9}"/>
    <cellStyle name="Normal 13 2 4 3" xfId="1167" xr:uid="{19AA8447-804C-4A97-B81C-2DEDB53A05F7}"/>
    <cellStyle name="Normal 13 2 4 3 2" xfId="2417" xr:uid="{40452934-89B9-4960-AF93-A46E8F574C33}"/>
    <cellStyle name="Normal 13 2 4 3 2 2" xfId="4915" xr:uid="{F52028E7-012A-4EFD-94E7-B39A520B478C}"/>
    <cellStyle name="Normal 13 2 4 3 2 2 2" xfId="9911" xr:uid="{4977C8D3-BB49-48EC-969E-BA4A56ED55ED}"/>
    <cellStyle name="Normal 13 2 4 3 2 3" xfId="7413" xr:uid="{DBDAEDAF-8CF2-416F-BF88-25F36DC85B42}"/>
    <cellStyle name="Normal 13 2 4 3 3" xfId="3666" xr:uid="{CB618F7F-F4D0-45B7-AE41-971CB8C74DE1}"/>
    <cellStyle name="Normal 13 2 4 3 3 2" xfId="8662" xr:uid="{F0C1FA0A-350A-4D4C-A05A-4717EA0470B9}"/>
    <cellStyle name="Normal 13 2 4 3 4" xfId="6164" xr:uid="{F41CB0AD-59D8-4318-A3B0-B5B512DE98A9}"/>
    <cellStyle name="Normal 13 2 4 4" xfId="1514" xr:uid="{6050D921-3C21-4422-91BA-E0362F3C8D75}"/>
    <cellStyle name="Normal 13 2 4 4 2" xfId="2764" xr:uid="{6807C026-8691-4C32-BFC9-D99F8A6CC362}"/>
    <cellStyle name="Normal 13 2 4 4 2 2" xfId="5262" xr:uid="{45120FD5-A5B1-48F6-BC5B-9591E2F22458}"/>
    <cellStyle name="Normal 13 2 4 4 2 2 2" xfId="10258" xr:uid="{468654A4-B5FE-4F97-9D4A-3BF946DC8B64}"/>
    <cellStyle name="Normal 13 2 4 4 2 3" xfId="7760" xr:uid="{C05548A2-73EE-4239-AD18-9857FE4FE452}"/>
    <cellStyle name="Normal 13 2 4 4 3" xfId="4013" xr:uid="{C31C2826-11D7-4284-9CAA-D0BE4C90E6CF}"/>
    <cellStyle name="Normal 13 2 4 4 3 2" xfId="9009" xr:uid="{4767FCAB-2912-4502-94A5-990E162D1A4D}"/>
    <cellStyle name="Normal 13 2 4 4 4" xfId="6511" xr:uid="{908D52A6-17C6-40AE-9EBF-F4FD484D5B9D}"/>
    <cellStyle name="Normal 13 2 4 5" xfId="1845" xr:uid="{ACBFA2C4-7F67-4201-9EA3-E5479FFEA0D0}"/>
    <cellStyle name="Normal 13 2 4 5 2" xfId="4343" xr:uid="{8DACC245-2E6D-4183-820B-4CA503F0D484}"/>
    <cellStyle name="Normal 13 2 4 5 2 2" xfId="9339" xr:uid="{3FB66111-B657-4F56-BD49-5D94066EC68E}"/>
    <cellStyle name="Normal 13 2 4 5 3" xfId="6841" xr:uid="{D22EE4BE-5C3E-49CE-BF3D-C45E416B93E1}"/>
    <cellStyle name="Normal 13 2 4 6" xfId="3094" xr:uid="{B7490600-93A2-4F08-A19B-9F73C4157DEE}"/>
    <cellStyle name="Normal 13 2 4 6 2" xfId="8090" xr:uid="{4F60110F-682A-4E9D-86DC-553DB7850C59}"/>
    <cellStyle name="Normal 13 2 4 7" xfId="5592" xr:uid="{D2B55EF8-E974-457F-906E-C83EB88EB729}"/>
    <cellStyle name="Normal 13 2 4 8" xfId="594" xr:uid="{E325C8B2-B28D-4655-BB37-F647F581ED6A}"/>
    <cellStyle name="Normal 13 2 5" xfId="724" xr:uid="{E606FE5E-0979-4CC3-BF1A-C974D701B016}"/>
    <cellStyle name="Normal 13 2 5 2" xfId="1975" xr:uid="{527A5B08-50DC-44ED-AC19-2C44D27BD146}"/>
    <cellStyle name="Normal 13 2 5 2 2" xfId="4473" xr:uid="{A4258A90-FA82-4D9A-980E-ABB2F9E4DF2B}"/>
    <cellStyle name="Normal 13 2 5 2 2 2" xfId="9469" xr:uid="{FA046D42-3AED-4AC4-A9FC-5CC917840D6A}"/>
    <cellStyle name="Normal 13 2 5 2 3" xfId="6971" xr:uid="{9A161D95-D845-4276-9020-C007C7F71BFB}"/>
    <cellStyle name="Normal 13 2 5 3" xfId="3224" xr:uid="{4EFD591A-4EE5-4826-B4C8-298D81CD6A71}"/>
    <cellStyle name="Normal 13 2 5 3 2" xfId="8220" xr:uid="{84873002-A5AD-4593-8368-3C960137DF4E}"/>
    <cellStyle name="Normal 13 2 5 4" xfId="5722" xr:uid="{800FDF5C-71A7-4BC7-9E56-4038E60859BE}"/>
    <cellStyle name="Normal 13 2 6" xfId="1037" xr:uid="{33FD3284-52DC-43CD-872A-3DF8EE070318}"/>
    <cellStyle name="Normal 13 2 6 2" xfId="2287" xr:uid="{1F9346BE-E022-49A8-9582-913E752C8C7B}"/>
    <cellStyle name="Normal 13 2 6 2 2" xfId="4785" xr:uid="{57FBCEBC-F59C-465F-B645-ABB5E243B5FC}"/>
    <cellStyle name="Normal 13 2 6 2 2 2" xfId="9781" xr:uid="{04D6C95D-00DF-46F0-A63E-7324AD706DEA}"/>
    <cellStyle name="Normal 13 2 6 2 3" xfId="7283" xr:uid="{767719F6-C840-4A04-9901-D18EDFF4CDCB}"/>
    <cellStyle name="Normal 13 2 6 3" xfId="3536" xr:uid="{82FEACFF-87B4-437F-8DFA-CD9E8D44878A}"/>
    <cellStyle name="Normal 13 2 6 3 2" xfId="8532" xr:uid="{364B5219-6CD2-4BCD-88E1-EC68742F9EDA}"/>
    <cellStyle name="Normal 13 2 6 4" xfId="6034" xr:uid="{BD9FFBFE-6E60-4AB6-A2AE-943C47ED3368}"/>
    <cellStyle name="Normal 13 2 7" xfId="1335" xr:uid="{8D023F48-0158-4AC2-A81B-E2A4628E1C25}"/>
    <cellStyle name="Normal 13 2 7 2" xfId="2585" xr:uid="{8141B7CA-1681-4A54-A015-FD01D0FA08EC}"/>
    <cellStyle name="Normal 13 2 7 2 2" xfId="5083" xr:uid="{77ADFDE0-4C01-4F22-B976-1489344A5883}"/>
    <cellStyle name="Normal 13 2 7 2 2 2" xfId="10079" xr:uid="{A7203AF6-9CB7-45E1-8319-4B6A120F3E6E}"/>
    <cellStyle name="Normal 13 2 7 2 3" xfId="7581" xr:uid="{FFF7132F-E135-4626-9D1E-76DA06ACAA04}"/>
    <cellStyle name="Normal 13 2 7 3" xfId="3834" xr:uid="{97694897-B052-4BF3-85B7-F849DADF7C21}"/>
    <cellStyle name="Normal 13 2 7 3 2" xfId="8830" xr:uid="{1E9FC2E1-C202-4166-BEF6-643EB016E143}"/>
    <cellStyle name="Normal 13 2 7 4" xfId="6332" xr:uid="{04895B9F-11C5-4FDB-839C-DEDD4DF119F8}"/>
    <cellStyle name="Normal 13 2 8" xfId="1666" xr:uid="{8F4F6988-9F08-4EB4-99AE-BF60E0765FE5}"/>
    <cellStyle name="Normal 13 2 8 2" xfId="4164" xr:uid="{430760FD-11E4-4E3B-93C9-5BFFE583C38B}"/>
    <cellStyle name="Normal 13 2 8 2 2" xfId="9160" xr:uid="{B4FE1830-4EE0-41A0-95C1-D4F5051CBCB4}"/>
    <cellStyle name="Normal 13 2 8 3" xfId="6662" xr:uid="{3BFEA2BA-CC77-4C32-8C5C-CCC14F46E917}"/>
    <cellStyle name="Normal 13 2 9" xfId="2915" xr:uid="{E20903CD-BDBF-4A9F-85B5-6D55619DC7FE}"/>
    <cellStyle name="Normal 13 2 9 2" xfId="7911" xr:uid="{D334E75A-FABD-47C4-BF8B-E4998A6EA0BD}"/>
    <cellStyle name="Normal 13 3" xfId="94" xr:uid="{BD52E88C-B411-4C3F-A667-B254165D5793}"/>
    <cellStyle name="Normal 13 3 2" xfId="235" xr:uid="{CB820236-47CD-45CE-9EA2-A4BA9223EF9C}"/>
    <cellStyle name="Normal 13 3 2 2" xfId="855" xr:uid="{7C5BFA02-9F96-472F-B3E2-F82ED130110A}"/>
    <cellStyle name="Normal 13 3 2 2 2" xfId="2106" xr:uid="{680F8ABC-45BE-4942-A9FC-2CF21861F379}"/>
    <cellStyle name="Normal 13 3 2 2 2 2" xfId="4604" xr:uid="{8840F9BF-F5FF-4D97-B2F8-E106E13D4812}"/>
    <cellStyle name="Normal 13 3 2 2 2 2 2" xfId="9600" xr:uid="{B187608D-5A1A-4AF8-AA74-7A92C6EE5864}"/>
    <cellStyle name="Normal 13 3 2 2 2 3" xfId="7102" xr:uid="{C79FCBB0-B9A8-4E8D-997D-E1B4190039F9}"/>
    <cellStyle name="Normal 13 3 2 2 3" xfId="3355" xr:uid="{3A4680FC-EE73-4D9C-9C80-937AB04DEBBB}"/>
    <cellStyle name="Normal 13 3 2 2 3 2" xfId="8351" xr:uid="{FD369855-D8EF-42DB-B999-27ED9FF477F4}"/>
    <cellStyle name="Normal 13 3 2 2 4" xfId="5853" xr:uid="{1529F35E-1BA0-4FEB-AE9B-2323F2649911}"/>
    <cellStyle name="Normal 13 3 2 3" xfId="1168" xr:uid="{09AD9F28-7521-486E-8DA7-EF3278C4E834}"/>
    <cellStyle name="Normal 13 3 2 3 2" xfId="2418" xr:uid="{66E32E26-D117-405E-BCAC-9CCE103843EC}"/>
    <cellStyle name="Normal 13 3 2 3 2 2" xfId="4916" xr:uid="{D15AF9C1-C80E-475C-A18F-C733FFA6117A}"/>
    <cellStyle name="Normal 13 3 2 3 2 2 2" xfId="9912" xr:uid="{2CA4FBC4-3219-4E05-B374-024A2589329F}"/>
    <cellStyle name="Normal 13 3 2 3 2 3" xfId="7414" xr:uid="{DB36CF25-25E3-43D5-BA3D-B77FE12FAE6C}"/>
    <cellStyle name="Normal 13 3 2 3 3" xfId="3667" xr:uid="{2C46F897-5B65-4D00-BE33-2187A0A648A9}"/>
    <cellStyle name="Normal 13 3 2 3 3 2" xfId="8663" xr:uid="{C0738912-6DE9-40F7-A5C8-AFA22AC7321A}"/>
    <cellStyle name="Normal 13 3 2 3 4" xfId="6165" xr:uid="{9F4955C6-B926-48B8-80C4-6A37C6D821DF}"/>
    <cellStyle name="Normal 13 3 2 4" xfId="1518" xr:uid="{A770F207-9147-4A2E-881B-0FFDD6C41206}"/>
    <cellStyle name="Normal 13 3 2 4 2" xfId="2768" xr:uid="{BA7E7A3E-A89D-412A-9865-22B5C617CD67}"/>
    <cellStyle name="Normal 13 3 2 4 2 2" xfId="5266" xr:uid="{377F9EE5-ACD6-438A-A367-6B67B7796678}"/>
    <cellStyle name="Normal 13 3 2 4 2 2 2" xfId="10262" xr:uid="{CD77B68B-6CE6-4703-833C-1CE82D6A4155}"/>
    <cellStyle name="Normal 13 3 2 4 2 3" xfId="7764" xr:uid="{24AE2412-6437-4C4F-BAC1-8629682F6B03}"/>
    <cellStyle name="Normal 13 3 2 4 3" xfId="4017" xr:uid="{B94C9F33-D5D2-4948-89F4-03E6F3CAB070}"/>
    <cellStyle name="Normal 13 3 2 4 3 2" xfId="9013" xr:uid="{B67ED41F-6CE8-4E7B-A371-2D04569E87EE}"/>
    <cellStyle name="Normal 13 3 2 4 4" xfId="6515" xr:uid="{E3605CEC-BA28-4EE1-BEB8-A51283B74F98}"/>
    <cellStyle name="Normal 13 3 2 5" xfId="1849" xr:uid="{C99D0B91-2692-45F2-B1C8-BFF48B153C0C}"/>
    <cellStyle name="Normal 13 3 2 5 2" xfId="4347" xr:uid="{A381E3F9-170B-4DF0-AEB0-90CF5C85601C}"/>
    <cellStyle name="Normal 13 3 2 5 2 2" xfId="9343" xr:uid="{D935E664-0806-496A-A096-193062FE7AC8}"/>
    <cellStyle name="Normal 13 3 2 5 3" xfId="6845" xr:uid="{032EE121-57BB-4F33-82EF-30DBB82EE181}"/>
    <cellStyle name="Normal 13 3 2 6" xfId="3098" xr:uid="{2B8EF297-4ADA-49FC-8F8B-A52E568EA35E}"/>
    <cellStyle name="Normal 13 3 2 6 2" xfId="8094" xr:uid="{0BD77972-F8BB-4362-9D6E-B9BDEFABC171}"/>
    <cellStyle name="Normal 13 3 2 7" xfId="5596" xr:uid="{D81C0EA6-2F49-457B-BA4E-B1D11D3F90A8}"/>
    <cellStyle name="Normal 13 3 2 8" xfId="598" xr:uid="{A4FF88A7-F76F-483C-B741-DD7BB99B8A00}"/>
    <cellStyle name="Normal 13 3 3" xfId="748" xr:uid="{B3200F23-7E12-4CBF-BD20-A502CBE3B128}"/>
    <cellStyle name="Normal 13 3 3 2" xfId="1999" xr:uid="{66FB3662-DEA3-44A2-9C9E-7B2A636D27C2}"/>
    <cellStyle name="Normal 13 3 3 2 2" xfId="4497" xr:uid="{5170378D-838E-4DFC-9A4C-1FA5384ACC9E}"/>
    <cellStyle name="Normal 13 3 3 2 2 2" xfId="9493" xr:uid="{83C3D9F9-CEA3-426C-BCB4-0DE8B42F105D}"/>
    <cellStyle name="Normal 13 3 3 2 3" xfId="6995" xr:uid="{885217DF-7609-4FFD-BC06-51FD0F17EE84}"/>
    <cellStyle name="Normal 13 3 3 3" xfId="3248" xr:uid="{46D76F97-8D25-471C-90BB-7BE1B99219CC}"/>
    <cellStyle name="Normal 13 3 3 3 2" xfId="8244" xr:uid="{0F84FF2D-99B1-464F-9F38-4D4E04B9D52A}"/>
    <cellStyle name="Normal 13 3 3 4" xfId="5746" xr:uid="{D2833FFA-704A-4D29-8BBE-B4CB86ED7BA7}"/>
    <cellStyle name="Normal 13 3 4" xfId="1061" xr:uid="{D2773A81-B9F4-4F70-9F51-3E6530BF1C28}"/>
    <cellStyle name="Normal 13 3 4 2" xfId="2311" xr:uid="{C5C46D9D-1AA0-41E6-9BF4-5049E067C6B7}"/>
    <cellStyle name="Normal 13 3 4 2 2" xfId="4809" xr:uid="{1B946F36-FB5E-45E8-9613-BB6A90A369D8}"/>
    <cellStyle name="Normal 13 3 4 2 2 2" xfId="9805" xr:uid="{1F888614-3AD6-41F7-8CEE-27899A8FC613}"/>
    <cellStyle name="Normal 13 3 4 2 3" xfId="7307" xr:uid="{5B193D65-21FC-41A6-A66F-6B9208E86269}"/>
    <cellStyle name="Normal 13 3 4 3" xfId="3560" xr:uid="{9DBF8607-16C4-48F7-969D-A5F81FB113C9}"/>
    <cellStyle name="Normal 13 3 4 3 2" xfId="8556" xr:uid="{573279EB-B8B2-4F0C-B594-1435C7658E79}"/>
    <cellStyle name="Normal 13 3 4 4" xfId="6058" xr:uid="{9D6FDAE3-407E-4D97-ABE9-BCD4BDF4A7F3}"/>
    <cellStyle name="Normal 13 3 5" xfId="1410" xr:uid="{2D588CE5-F67E-45C6-981C-9E26EE42969E}"/>
    <cellStyle name="Normal 13 3 5 2" xfId="2660" xr:uid="{AE6B82AB-B147-44D9-838B-E336CDCF4545}"/>
    <cellStyle name="Normal 13 3 5 2 2" xfId="5158" xr:uid="{EDD80E7B-3D9D-4130-BDA7-694321EB270D}"/>
    <cellStyle name="Normal 13 3 5 2 2 2" xfId="10154" xr:uid="{083100CB-27C4-4AF7-BED1-3045B1F01D9C}"/>
    <cellStyle name="Normal 13 3 5 2 3" xfId="7656" xr:uid="{F657F48D-AE14-4038-AA19-7116B02EE41B}"/>
    <cellStyle name="Normal 13 3 5 3" xfId="3909" xr:uid="{F5F82F5C-40B9-4496-BC3B-2FF07A0B33BF}"/>
    <cellStyle name="Normal 13 3 5 3 2" xfId="8905" xr:uid="{ED76B080-8543-4425-AB34-86AE6C7502F1}"/>
    <cellStyle name="Normal 13 3 5 4" xfId="6407" xr:uid="{5FF8B305-4B06-4BE0-9515-A18ABEF55472}"/>
    <cellStyle name="Normal 13 3 6" xfId="1741" xr:uid="{CDE36CB9-9928-442C-BFB6-6726B7272A4B}"/>
    <cellStyle name="Normal 13 3 6 2" xfId="4239" xr:uid="{C453E301-CDF0-45EE-A820-FF7960990134}"/>
    <cellStyle name="Normal 13 3 6 2 2" xfId="9235" xr:uid="{83A1D032-6C52-4496-8D34-0EDF9B2F90CE}"/>
    <cellStyle name="Normal 13 3 6 3" xfId="6737" xr:uid="{C2745EC3-A8C8-4629-BC70-BC63F92DD4C6}"/>
    <cellStyle name="Normal 13 3 7" xfId="2990" xr:uid="{6508D746-17CF-44A8-83B5-7C121502CB7A}"/>
    <cellStyle name="Normal 13 3 7 2" xfId="7986" xr:uid="{C6567B6E-4E2F-4B0B-A94B-B4FD52DAC7E9}"/>
    <cellStyle name="Normal 13 3 8" xfId="5488" xr:uid="{F0866FC8-9E62-4408-A176-AC912857DA1C}"/>
    <cellStyle name="Normal 13 3 9" xfId="490" xr:uid="{DBADC45E-4F7F-4326-AD72-8711F7E5EEF5}"/>
    <cellStyle name="Normal 13 4" xfId="236" xr:uid="{141EF30A-C25C-41A7-A01D-B4208EF1160D}"/>
    <cellStyle name="Normal 13 4 2" xfId="237" xr:uid="{3BC190E4-E9B9-4A78-A67F-2DDF21E348A6}"/>
    <cellStyle name="Normal 13 4 2 2" xfId="857" xr:uid="{B3FFD039-76E9-4CF8-B79D-3444D9CDD4CB}"/>
    <cellStyle name="Normal 13 4 2 2 2" xfId="2108" xr:uid="{E5D56FEE-D82B-471D-8906-76B0173BC3C4}"/>
    <cellStyle name="Normal 13 4 2 2 2 2" xfId="4606" xr:uid="{3FDC328D-2A9E-44FA-B021-A008BD31AFB2}"/>
    <cellStyle name="Normal 13 4 2 2 2 2 2" xfId="9602" xr:uid="{A00C6E0C-2CD6-4661-B435-01887D2AFF0D}"/>
    <cellStyle name="Normal 13 4 2 2 2 3" xfId="7104" xr:uid="{F6317F00-4ABD-4FFE-BE60-4FDF45049ECB}"/>
    <cellStyle name="Normal 13 4 2 2 3" xfId="3357" xr:uid="{83C8239E-8C42-49B8-A8E7-54853E4F5E86}"/>
    <cellStyle name="Normal 13 4 2 2 3 2" xfId="8353" xr:uid="{C15437A3-EADA-4AAC-9B55-F526EB993BAA}"/>
    <cellStyle name="Normal 13 4 2 2 4" xfId="5855" xr:uid="{F543E74C-3A30-4661-A296-75D2C171EDF6}"/>
    <cellStyle name="Normal 13 4 2 3" xfId="1170" xr:uid="{692E65C0-2D4D-4ADD-8C16-4364B0920C27}"/>
    <cellStyle name="Normal 13 4 2 3 2" xfId="2420" xr:uid="{8EE89761-9605-40B3-9A27-B170DDD4344C}"/>
    <cellStyle name="Normal 13 4 2 3 2 2" xfId="4918" xr:uid="{AA4013AA-C91B-47CF-9A3A-A7D41C82B507}"/>
    <cellStyle name="Normal 13 4 2 3 2 2 2" xfId="9914" xr:uid="{2276364E-F4C6-4D01-AE32-DD5F88719311}"/>
    <cellStyle name="Normal 13 4 2 3 2 3" xfId="7416" xr:uid="{4E3D5AD1-A0DD-4DD5-8A3E-78FD82DE5CAD}"/>
    <cellStyle name="Normal 13 4 2 3 3" xfId="3669" xr:uid="{2B20886E-4359-460B-8EAB-9B80D1337DFF}"/>
    <cellStyle name="Normal 13 4 2 3 3 2" xfId="8665" xr:uid="{5FBB7006-E9AD-44C3-9643-CA3197308B63}"/>
    <cellStyle name="Normal 13 4 2 3 4" xfId="6167" xr:uid="{4BA37587-B55D-402C-81D5-7DA5455F4266}"/>
    <cellStyle name="Normal 13 4 2 4" xfId="1519" xr:uid="{1DFE50D7-A440-49E6-B7D7-AD366B00DAA6}"/>
    <cellStyle name="Normal 13 4 2 4 2" xfId="2769" xr:uid="{6EEE1C09-CC7D-4A0C-8005-C1121E266910}"/>
    <cellStyle name="Normal 13 4 2 4 2 2" xfId="5267" xr:uid="{40129BF7-3100-43E7-A5B0-421E9B786BF4}"/>
    <cellStyle name="Normal 13 4 2 4 2 2 2" xfId="10263" xr:uid="{F146C0BA-9B7A-4223-8B41-A20026A0EE90}"/>
    <cellStyle name="Normal 13 4 2 4 2 3" xfId="7765" xr:uid="{801C4692-5268-4062-92E8-E7B6463958C8}"/>
    <cellStyle name="Normal 13 4 2 4 3" xfId="4018" xr:uid="{5A87B132-9D62-4E40-847D-7CEF97A79166}"/>
    <cellStyle name="Normal 13 4 2 4 3 2" xfId="9014" xr:uid="{F4C683E0-9405-4D14-A57B-2AC2396FC92C}"/>
    <cellStyle name="Normal 13 4 2 4 4" xfId="6516" xr:uid="{6F20A370-E3AF-4860-9929-FCB2D34A37C9}"/>
    <cellStyle name="Normal 13 4 2 5" xfId="1850" xr:uid="{F48A28C1-B14B-4530-B498-E3132C0046DD}"/>
    <cellStyle name="Normal 13 4 2 5 2" xfId="4348" xr:uid="{257E779C-F66C-40C2-9EFE-1A55D1F951F0}"/>
    <cellStyle name="Normal 13 4 2 5 2 2" xfId="9344" xr:uid="{40510663-18E0-4BDF-AD4B-E7E8C4AA8172}"/>
    <cellStyle name="Normal 13 4 2 5 3" xfId="6846" xr:uid="{A433A283-F7EB-4498-A51D-D2E728DE7486}"/>
    <cellStyle name="Normal 13 4 2 6" xfId="3099" xr:uid="{6A1AE53F-8B39-44E7-A51A-6B1F70455761}"/>
    <cellStyle name="Normal 13 4 2 6 2" xfId="8095" xr:uid="{31F5E1D0-72EA-40A5-BB80-AE1B425613A5}"/>
    <cellStyle name="Normal 13 4 2 7" xfId="5597" xr:uid="{3FE91BFC-966D-480A-94E1-CA8A15BBE60F}"/>
    <cellStyle name="Normal 13 4 2 8" xfId="599" xr:uid="{E1D1BDE2-A8F6-4511-AD5A-9CE7010BFA94}"/>
    <cellStyle name="Normal 13 4 3" xfId="856" xr:uid="{85D3AB49-8BAC-4773-A09F-E35CAE0552AC}"/>
    <cellStyle name="Normal 13 4 3 2" xfId="2107" xr:uid="{0EDE0C81-F6C7-4CC1-80B2-A078486508FE}"/>
    <cellStyle name="Normal 13 4 3 2 2" xfId="4605" xr:uid="{77CDA109-9488-4C61-B026-EB106A8D2B54}"/>
    <cellStyle name="Normal 13 4 3 2 2 2" xfId="9601" xr:uid="{C4709B09-C23C-4154-9EB1-33F3BBD0D9E0}"/>
    <cellStyle name="Normal 13 4 3 2 3" xfId="7103" xr:uid="{59462348-37E6-4639-A504-F14BD66608DC}"/>
    <cellStyle name="Normal 13 4 3 3" xfId="3356" xr:uid="{876779C1-C17C-4CDC-86F1-B07CB5A1B7B9}"/>
    <cellStyle name="Normal 13 4 3 3 2" xfId="8352" xr:uid="{9B99BAE8-729C-4A13-BB1B-312CC49585FC}"/>
    <cellStyle name="Normal 13 4 3 4" xfId="5854" xr:uid="{2AAFE1EC-6DC1-4280-A94B-7C773828EACB}"/>
    <cellStyle name="Normal 13 4 4" xfId="1169" xr:uid="{2FFFAB65-141D-44AE-9CBC-7355730D8E17}"/>
    <cellStyle name="Normal 13 4 4 2" xfId="2419" xr:uid="{3C5B6C37-A37B-4911-9044-2800F4C02004}"/>
    <cellStyle name="Normal 13 4 4 2 2" xfId="4917" xr:uid="{A5E6CDF7-08F5-4760-B46E-A0E8CD0031F6}"/>
    <cellStyle name="Normal 13 4 4 2 2 2" xfId="9913" xr:uid="{038C123F-CCFC-4088-9F02-BFF32BADFEF0}"/>
    <cellStyle name="Normal 13 4 4 2 3" xfId="7415" xr:uid="{3D6F4E8A-6064-401A-935B-6BD59F6A9DA7}"/>
    <cellStyle name="Normal 13 4 4 3" xfId="3668" xr:uid="{2274B4F3-32D7-45E7-A044-56A3D8D8B68F}"/>
    <cellStyle name="Normal 13 4 4 3 2" xfId="8664" xr:uid="{C0ADED2F-EB32-4976-9DCA-1DC858714498}"/>
    <cellStyle name="Normal 13 4 4 4" xfId="6166" xr:uid="{7420F5F8-5FA9-4970-A8E9-9CF443D99A3E}"/>
    <cellStyle name="Normal 13 4 5" xfId="1408" xr:uid="{40AFB2A8-66D2-45A2-8B4E-1EAC69BA5B48}"/>
    <cellStyle name="Normal 13 4 5 2" xfId="2658" xr:uid="{18ACCE9F-0521-42EF-9987-7A14F7D2A4F6}"/>
    <cellStyle name="Normal 13 4 5 2 2" xfId="5156" xr:uid="{5DFC5BF6-B503-48B7-813C-AF6A02C3C561}"/>
    <cellStyle name="Normal 13 4 5 2 2 2" xfId="10152" xr:uid="{E192043F-42BF-4EEA-B4CF-DBCE8A2895E7}"/>
    <cellStyle name="Normal 13 4 5 2 3" xfId="7654" xr:uid="{E4BCE2FB-3FF0-42E9-B7F4-560B179966B7}"/>
    <cellStyle name="Normal 13 4 5 3" xfId="3907" xr:uid="{169D0CB6-6509-4DDB-8181-94DAF1D142FA}"/>
    <cellStyle name="Normal 13 4 5 3 2" xfId="8903" xr:uid="{FE133D8E-5A38-4745-8A19-5E4591D85F50}"/>
    <cellStyle name="Normal 13 4 5 4" xfId="6405" xr:uid="{968D2E08-A219-4372-B4D4-6075F01EC9FB}"/>
    <cellStyle name="Normal 13 4 6" xfId="1739" xr:uid="{457FFE19-1F06-4205-B77C-E3C84A17AE6C}"/>
    <cellStyle name="Normal 13 4 6 2" xfId="4237" xr:uid="{5B9FF303-A4C8-4C40-81E2-3A5BF05798AD}"/>
    <cellStyle name="Normal 13 4 6 2 2" xfId="9233" xr:uid="{AD209A70-A70E-4558-BC2E-923FBCC8FD2D}"/>
    <cellStyle name="Normal 13 4 6 3" xfId="6735" xr:uid="{655B68FE-0D33-44BC-9A2A-7129233E77A3}"/>
    <cellStyle name="Normal 13 4 7" xfId="2988" xr:uid="{3BC61CBA-F984-4273-878D-F40D3B96F66C}"/>
    <cellStyle name="Normal 13 4 7 2" xfId="7984" xr:uid="{2307D636-8204-4BCD-887D-F2E1A479301D}"/>
    <cellStyle name="Normal 13 4 8" xfId="5486" xr:uid="{D0925010-DEF9-47AC-9F41-D39D1AF66166}"/>
    <cellStyle name="Normal 13 4 9" xfId="488" xr:uid="{77301B95-EFF2-4007-8ED4-46B8D384E31B}"/>
    <cellStyle name="Normal 13 5" xfId="238" xr:uid="{D1F90BB8-5597-4235-8E96-5FD9696EE27A}"/>
    <cellStyle name="Normal 13 5 2" xfId="858" xr:uid="{2303B86A-AEA0-4310-B25F-C83EEA9683C2}"/>
    <cellStyle name="Normal 13 5 2 2" xfId="2109" xr:uid="{55F73153-6122-4D7A-9093-F7E5982896CA}"/>
    <cellStyle name="Normal 13 5 2 2 2" xfId="4607" xr:uid="{0702965F-3F42-4654-B4A1-54D037C54BCA}"/>
    <cellStyle name="Normal 13 5 2 2 2 2" xfId="9603" xr:uid="{8A019B05-8DA7-441C-9655-148198E2A603}"/>
    <cellStyle name="Normal 13 5 2 2 3" xfId="7105" xr:uid="{55CAEF68-B7CE-4EA2-9263-20E692E475D5}"/>
    <cellStyle name="Normal 13 5 2 3" xfId="3358" xr:uid="{BD454C99-CABE-4F01-8796-E6C1DC7A89A0}"/>
    <cellStyle name="Normal 13 5 2 3 2" xfId="8354" xr:uid="{98ED3E43-9789-4178-BC36-655A6A7FAE71}"/>
    <cellStyle name="Normal 13 5 2 4" xfId="5856" xr:uid="{0805EBFE-F518-4606-A77D-25981BEA0FF1}"/>
    <cellStyle name="Normal 13 5 3" xfId="1171" xr:uid="{E6312BA3-ECE8-48B8-A48E-C398F8F5DDE9}"/>
    <cellStyle name="Normal 13 5 3 2" xfId="2421" xr:uid="{49C99154-E0EF-4912-B109-A1BAA91986F8}"/>
    <cellStyle name="Normal 13 5 3 2 2" xfId="4919" xr:uid="{AE2BA57F-D33A-4E42-8ADD-66E6E148782F}"/>
    <cellStyle name="Normal 13 5 3 2 2 2" xfId="9915" xr:uid="{04BCA59D-58FF-43B8-946F-E68688BC6F88}"/>
    <cellStyle name="Normal 13 5 3 2 3" xfId="7417" xr:uid="{B1D01E21-E015-4AFF-BD87-A59F79D7C0BE}"/>
    <cellStyle name="Normal 13 5 3 3" xfId="3670" xr:uid="{EE19C2D4-62AE-406F-A87F-497D6EF90C50}"/>
    <cellStyle name="Normal 13 5 3 3 2" xfId="8666" xr:uid="{C58EE6AD-70E6-4A6A-B3D3-98D35B656C59}"/>
    <cellStyle name="Normal 13 5 3 4" xfId="6168" xr:uid="{32DCC87E-3A07-4A46-8171-110490CA3F3E}"/>
    <cellStyle name="Normal 13 5 4" xfId="1513" xr:uid="{45738D14-D1A5-4943-BC62-D0D99C93A8C4}"/>
    <cellStyle name="Normal 13 5 4 2" xfId="2763" xr:uid="{FA47C008-C758-4594-A7EB-6635C21DFA0B}"/>
    <cellStyle name="Normal 13 5 4 2 2" xfId="5261" xr:uid="{20C94C39-6F6E-428B-831D-87AE655878EB}"/>
    <cellStyle name="Normal 13 5 4 2 2 2" xfId="10257" xr:uid="{4C73A63D-6F09-46BA-A4E5-0DAF241A2CBF}"/>
    <cellStyle name="Normal 13 5 4 2 3" xfId="7759" xr:uid="{6FAB3626-5DE3-4A04-8DBF-E2E24E50479C}"/>
    <cellStyle name="Normal 13 5 4 3" xfId="4012" xr:uid="{8D528BFF-0821-4B99-9331-F711BD8ECF0E}"/>
    <cellStyle name="Normal 13 5 4 3 2" xfId="9008" xr:uid="{C8DCD5B6-0DA3-4308-84E9-85400A864A30}"/>
    <cellStyle name="Normal 13 5 4 4" xfId="6510" xr:uid="{071F7B05-3E15-49FF-9FBA-715B70D58FDA}"/>
    <cellStyle name="Normal 13 5 5" xfId="1844" xr:uid="{DE1BC9A2-4376-405C-A2CF-12964E27D5CA}"/>
    <cellStyle name="Normal 13 5 5 2" xfId="4342" xr:uid="{1439DD7C-C28F-47A3-8C1C-49746AE9C24C}"/>
    <cellStyle name="Normal 13 5 5 2 2" xfId="9338" xr:uid="{5A455FF3-F4D2-4CD9-B87A-D808E1F3C325}"/>
    <cellStyle name="Normal 13 5 5 3" xfId="6840" xr:uid="{A696CD3F-AA9B-4968-AF87-007A208A85CE}"/>
    <cellStyle name="Normal 13 5 6" xfId="3093" xr:uid="{90011D2F-C0D5-4DC8-B278-A14D6FFAC25F}"/>
    <cellStyle name="Normal 13 5 6 2" xfId="8089" xr:uid="{8850005E-692A-4747-B12D-A3660A47CF08}"/>
    <cellStyle name="Normal 13 5 7" xfId="5591" xr:uid="{BFA69F46-886F-4B3F-BE6D-9800020462D1}"/>
    <cellStyle name="Normal 13 5 8" xfId="593" xr:uid="{6119D98D-5475-4433-AC98-9601E0FF01C6}"/>
    <cellStyle name="Normal 13 6" xfId="371" xr:uid="{9354677B-0D02-4FBC-A6F6-C32891D18AAA}"/>
    <cellStyle name="Normal 13 6 2" xfId="1292" xr:uid="{3C018DE2-C05D-48C6-97C5-69C4728FC850}"/>
    <cellStyle name="Normal 13 6 2 2" xfId="2542" xr:uid="{535B5CAB-EE17-46AD-89F9-8EA49459B0FB}"/>
    <cellStyle name="Normal 13 6 2 2 2" xfId="5040" xr:uid="{DB2937AF-A10F-4BA2-85DC-B1A317274948}"/>
    <cellStyle name="Normal 13 6 2 2 2 2" xfId="10036" xr:uid="{85048E2A-DD1C-4A71-9334-410D99F010C1}"/>
    <cellStyle name="Normal 13 6 2 2 3" xfId="7538" xr:uid="{B31BB313-6E1F-49F7-9DB6-24DB11C97E3B}"/>
    <cellStyle name="Normal 13 6 2 3" xfId="3791" xr:uid="{1CFC6AA4-2BFD-43EE-8A78-86E8FC635126}"/>
    <cellStyle name="Normal 13 6 2 3 2" xfId="8787" xr:uid="{48E7EFF7-E063-4FD7-BD9D-887056C9709D}"/>
    <cellStyle name="Normal 13 6 2 4" xfId="6289" xr:uid="{B7FDB833-E8A1-43BB-A3CB-E91664C14AC5}"/>
    <cellStyle name="Normal 13 6 3" xfId="2230" xr:uid="{F75580EA-B00E-4EF0-9483-BA8D78CA4631}"/>
    <cellStyle name="Normal 13 6 3 2" xfId="4728" xr:uid="{5A251A48-AE69-44CE-B4A8-F6F0487304A1}"/>
    <cellStyle name="Normal 13 6 3 2 2" xfId="9724" xr:uid="{1086ECB2-A72A-4339-9C54-0889ACFD732F}"/>
    <cellStyle name="Normal 13 6 3 3" xfId="7226" xr:uid="{2D1FAD5F-183E-4FE0-8AF3-ED1095C4C730}"/>
    <cellStyle name="Normal 13 6 4" xfId="3479" xr:uid="{D857D8A3-8842-49B0-B450-DA7A81301E1A}"/>
    <cellStyle name="Normal 13 6 4 2" xfId="8475" xr:uid="{DF36548B-C96B-47A8-A35F-D0365CB31959}"/>
    <cellStyle name="Normal 13 6 5" xfId="5977" xr:uid="{B17330AE-79E6-41A4-956D-03AAA02B172B}"/>
    <cellStyle name="Normal 13 6 6" xfId="980" xr:uid="{503B1770-8D21-40E0-9C8C-4850F979ABE8}"/>
    <cellStyle name="Normal 13 7" xfId="699" xr:uid="{7A0CB089-4C6C-4D6B-96A7-01117F95D4F5}"/>
    <cellStyle name="Normal 13 7 2" xfId="1950" xr:uid="{93771D1B-2724-47D5-A2A7-A4ABF66F9D3E}"/>
    <cellStyle name="Normal 13 7 2 2" xfId="4448" xr:uid="{A81FFB31-F69F-4968-929F-C415E7E722AA}"/>
    <cellStyle name="Normal 13 7 2 2 2" xfId="9444" xr:uid="{2434483F-AECA-4B95-AD91-940586653115}"/>
    <cellStyle name="Normal 13 7 2 3" xfId="6946" xr:uid="{3324651E-8777-4FCC-A71D-B1AF4E58FF12}"/>
    <cellStyle name="Normal 13 7 3" xfId="3199" xr:uid="{2682362F-2895-458D-BE85-CD373354738E}"/>
    <cellStyle name="Normal 13 7 3 2" xfId="8195" xr:uid="{CA5E4102-07DE-4EF2-B7C6-EFCA28248315}"/>
    <cellStyle name="Normal 13 7 4" xfId="5697" xr:uid="{4805C831-E31A-497A-99DB-D3797EA4A17C}"/>
    <cellStyle name="Normal 13 8" xfId="1012" xr:uid="{ED67F954-2BC7-4D6E-9216-0CF08DAD5073}"/>
    <cellStyle name="Normal 13 8 2" xfId="2262" xr:uid="{28ECC6A9-49DE-4461-95C7-3C89472971C2}"/>
    <cellStyle name="Normal 13 8 2 2" xfId="4760" xr:uid="{8143DEEC-585D-410E-8C5E-E9EFCB9112EC}"/>
    <cellStyle name="Normal 13 8 2 2 2" xfId="9756" xr:uid="{A0E6D4D4-9FD6-4C95-AA30-28D83F76F6D7}"/>
    <cellStyle name="Normal 13 8 2 3" xfId="7258" xr:uid="{92F6C90B-DFDA-4B4F-BDA9-1AEA9D4955C8}"/>
    <cellStyle name="Normal 13 8 3" xfId="3511" xr:uid="{11780DAA-66B3-4653-A28C-7A752C88FA52}"/>
    <cellStyle name="Normal 13 8 3 2" xfId="8507" xr:uid="{0E684247-25DD-4F82-AA05-E373432F74DF}"/>
    <cellStyle name="Normal 13 8 4" xfId="6009" xr:uid="{4CF5230B-E084-4F0A-BF96-B9A90EABBF28}"/>
    <cellStyle name="Normal 13 9" xfId="1331" xr:uid="{CE3B0EA2-BE36-48E8-86D5-385CE90900AF}"/>
    <cellStyle name="Normal 13 9 2" xfId="2581" xr:uid="{5C31C391-5075-4240-90F9-2FCF48F0D0FE}"/>
    <cellStyle name="Normal 13 9 2 2" xfId="5079" xr:uid="{BA0458F3-0616-487C-8FC1-307D276A2D32}"/>
    <cellStyle name="Normal 13 9 2 2 2" xfId="10075" xr:uid="{76EF12CF-E099-4D72-A700-5A7332E02F20}"/>
    <cellStyle name="Normal 13 9 2 3" xfId="7577" xr:uid="{ABDF0DC8-7EA9-45B8-BA97-3739E309246A}"/>
    <cellStyle name="Normal 13 9 3" xfId="3830" xr:uid="{8DF6DD82-FEE6-4026-8FCF-E5D6DFDE17D4}"/>
    <cellStyle name="Normal 13 9 3 2" xfId="8826" xr:uid="{80E0FA8E-56E7-405F-98C0-62604308AF4A}"/>
    <cellStyle name="Normal 13 9 4" xfId="6328" xr:uid="{BEB54F07-0370-497C-9652-03B3F057A958}"/>
    <cellStyle name="Normal 14" xfId="52" xr:uid="{36570CEA-FAD4-4079-A406-FAAA2220D5B4}"/>
    <cellStyle name="Normal 14 10" xfId="5439" xr:uid="{1D1F669A-ACD7-461E-AA78-873D23FDFDDB}"/>
    <cellStyle name="Normal 14 11" xfId="441" xr:uid="{083E8164-2380-4747-9382-334500227514}"/>
    <cellStyle name="Normal 14 2" xfId="239" xr:uid="{DC7812B2-DD8C-496C-9094-21EF69771D59}"/>
    <cellStyle name="Normal 14 2 2" xfId="240" xr:uid="{A1770497-EFD6-44B1-8C25-D7F4D8D1215D}"/>
    <cellStyle name="Normal 14 2 2 2" xfId="860" xr:uid="{9ED418F6-37F9-4296-AA39-64EADEBDD1C2}"/>
    <cellStyle name="Normal 14 2 2 2 2" xfId="2111" xr:uid="{D930D3D8-96B4-4BBF-9E32-4A9E29C31213}"/>
    <cellStyle name="Normal 14 2 2 2 2 2" xfId="4609" xr:uid="{0FCD6B3E-3DB1-4443-B745-CB979E4CAF8A}"/>
    <cellStyle name="Normal 14 2 2 2 2 2 2" xfId="9605" xr:uid="{69600D87-8144-4B6F-A57C-3634396D1D06}"/>
    <cellStyle name="Normal 14 2 2 2 2 3" xfId="7107" xr:uid="{F564EFA5-F9F8-483F-8370-7C8084EC5A2A}"/>
    <cellStyle name="Normal 14 2 2 2 3" xfId="3360" xr:uid="{BEE1A220-5598-4EA8-917E-78F18B0D35B5}"/>
    <cellStyle name="Normal 14 2 2 2 3 2" xfId="8356" xr:uid="{4A2A98AF-5210-4B24-BFBA-A7E88242B320}"/>
    <cellStyle name="Normal 14 2 2 2 4" xfId="5858" xr:uid="{1BAD09DF-DB32-4468-9891-6C9479FF2529}"/>
    <cellStyle name="Normal 14 2 2 3" xfId="1173" xr:uid="{53E3A9FE-B24B-406A-9C89-60BAFFB6892A}"/>
    <cellStyle name="Normal 14 2 2 3 2" xfId="2423" xr:uid="{F18337A1-BF38-4C1F-BB62-F5F15D9D45D0}"/>
    <cellStyle name="Normal 14 2 2 3 2 2" xfId="4921" xr:uid="{6D49B1D6-72AC-46D7-9D4E-5DADE54877C1}"/>
    <cellStyle name="Normal 14 2 2 3 2 2 2" xfId="9917" xr:uid="{8DAF0957-99BD-4EBE-8169-777030DB22DD}"/>
    <cellStyle name="Normal 14 2 2 3 2 3" xfId="7419" xr:uid="{192F073F-9388-4270-82D9-848FCC811BC5}"/>
    <cellStyle name="Normal 14 2 2 3 3" xfId="3672" xr:uid="{73902A38-8DE9-4991-A8B0-CCC715986BC2}"/>
    <cellStyle name="Normal 14 2 2 3 3 2" xfId="8668" xr:uid="{B792A014-F4E3-4383-BF10-1714AF8DDCEC}"/>
    <cellStyle name="Normal 14 2 2 3 4" xfId="6170" xr:uid="{193F59B4-ADAA-4DE6-8E14-CBB856F55114}"/>
    <cellStyle name="Normal 14 2 2 4" xfId="1521" xr:uid="{86C397A3-0C71-40E4-B7FF-2D566833D571}"/>
    <cellStyle name="Normal 14 2 2 4 2" xfId="2771" xr:uid="{9F4DD9A4-9FBA-40BC-B633-B5D9399A4AC0}"/>
    <cellStyle name="Normal 14 2 2 4 2 2" xfId="5269" xr:uid="{EFB5CF94-4678-486D-A90C-5571AE31055E}"/>
    <cellStyle name="Normal 14 2 2 4 2 2 2" xfId="10265" xr:uid="{7D24CA60-4E9F-4922-A8E3-DC811F4DF824}"/>
    <cellStyle name="Normal 14 2 2 4 2 3" xfId="7767" xr:uid="{CF70D318-6BA6-49A3-B5F6-5131AB3074A0}"/>
    <cellStyle name="Normal 14 2 2 4 3" xfId="4020" xr:uid="{EBC7EB09-B3AD-494F-A2DB-8F14004C57FB}"/>
    <cellStyle name="Normal 14 2 2 4 3 2" xfId="9016" xr:uid="{1AE880F0-FFBB-4809-8A22-F58FA2FAEC93}"/>
    <cellStyle name="Normal 14 2 2 4 4" xfId="6518" xr:uid="{B6DFB7B5-EF8F-4A98-BBDB-77988C270615}"/>
    <cellStyle name="Normal 14 2 2 5" xfId="1852" xr:uid="{7F667AD6-8D6B-4760-B445-193615B80867}"/>
    <cellStyle name="Normal 14 2 2 5 2" xfId="4350" xr:uid="{13313196-F6EC-4829-AAF3-1C1CC72743B3}"/>
    <cellStyle name="Normal 14 2 2 5 2 2" xfId="9346" xr:uid="{F2CC9404-FF20-4BBC-9A6A-4CC9B17CDB69}"/>
    <cellStyle name="Normal 14 2 2 5 3" xfId="6848" xr:uid="{3768E6C0-DB9C-4728-A85F-15A9A243E036}"/>
    <cellStyle name="Normal 14 2 2 6" xfId="3101" xr:uid="{E679F3B5-6D2E-4EFA-ACA5-72B234DF6183}"/>
    <cellStyle name="Normal 14 2 2 6 2" xfId="8097" xr:uid="{2ED467F6-B9F3-4E3D-8F7A-41D3EB42A935}"/>
    <cellStyle name="Normal 14 2 2 7" xfId="5599" xr:uid="{725151AE-557F-43CF-93C2-9468E912E497}"/>
    <cellStyle name="Normal 14 2 2 8" xfId="601" xr:uid="{D26F6550-9040-47E1-8573-220620399318}"/>
    <cellStyle name="Normal 14 2 3" xfId="859" xr:uid="{8D12B111-8E46-4087-8107-B368259DAA98}"/>
    <cellStyle name="Normal 14 2 3 2" xfId="2110" xr:uid="{49E0A1A7-2185-4024-9518-0D8D73FA0632}"/>
    <cellStyle name="Normal 14 2 3 2 2" xfId="4608" xr:uid="{999F2752-EAB2-4B11-9B97-A1C4D15F2366}"/>
    <cellStyle name="Normal 14 2 3 2 2 2" xfId="9604" xr:uid="{D40B36AA-F959-4294-BFA1-872D49FC11DC}"/>
    <cellStyle name="Normal 14 2 3 2 3" xfId="7106" xr:uid="{89DF60A3-DAE2-44B9-AC83-D988B811861C}"/>
    <cellStyle name="Normal 14 2 3 3" xfId="3359" xr:uid="{45CFE45C-C6A0-4F69-95BB-6AD54EAD7AD8}"/>
    <cellStyle name="Normal 14 2 3 3 2" xfId="8355" xr:uid="{29146F23-8EFA-4D5F-A2AF-7785A227980A}"/>
    <cellStyle name="Normal 14 2 3 4" xfId="5857" xr:uid="{4AC6931A-1A23-404D-912C-8512E0DDC7A6}"/>
    <cellStyle name="Normal 14 2 4" xfId="1172" xr:uid="{BDEFF9BE-922E-402B-BBF6-F1607C871752}"/>
    <cellStyle name="Normal 14 2 4 2" xfId="2422" xr:uid="{AEF58074-0498-4246-A3A5-7BCE30CB33B8}"/>
    <cellStyle name="Normal 14 2 4 2 2" xfId="4920" xr:uid="{4653F608-8ECD-411F-AA8D-E5B1569E3028}"/>
    <cellStyle name="Normal 14 2 4 2 2 2" xfId="9916" xr:uid="{060D6E5C-F5FD-4806-92FE-E869C13F2800}"/>
    <cellStyle name="Normal 14 2 4 2 3" xfId="7418" xr:uid="{CEDB2853-1E48-4E8B-A609-1C07EC79F0A8}"/>
    <cellStyle name="Normal 14 2 4 3" xfId="3671" xr:uid="{00BFA044-8A1F-4E5E-9982-A3C7667D2838}"/>
    <cellStyle name="Normal 14 2 4 3 2" xfId="8667" xr:uid="{4E92E65E-B952-4DBD-9E96-00672FC19D54}"/>
    <cellStyle name="Normal 14 2 4 4" xfId="6169" xr:uid="{5D1E713F-E9AE-45E0-884B-F09DFD8BDD55}"/>
    <cellStyle name="Normal 14 2 5" xfId="1411" xr:uid="{C7C59E53-460E-4330-8A4F-1B8CE834F689}"/>
    <cellStyle name="Normal 14 2 5 2" xfId="2661" xr:uid="{1BF0D9C0-634E-4661-A86A-9F82249B7366}"/>
    <cellStyle name="Normal 14 2 5 2 2" xfId="5159" xr:uid="{EF4D6E3C-DDB9-49EB-AE54-DDD69100B129}"/>
    <cellStyle name="Normal 14 2 5 2 2 2" xfId="10155" xr:uid="{0721EA9A-4AE3-4550-86D3-2348D55E149F}"/>
    <cellStyle name="Normal 14 2 5 2 3" xfId="7657" xr:uid="{B568B444-3CD4-42B0-A924-0A030DDEA028}"/>
    <cellStyle name="Normal 14 2 5 3" xfId="3910" xr:uid="{99A39D0A-4E4B-41A6-9AF1-2041A44DBA9F}"/>
    <cellStyle name="Normal 14 2 5 3 2" xfId="8906" xr:uid="{2AF72E8B-6811-4B0B-8D88-D8EC637C5255}"/>
    <cellStyle name="Normal 14 2 5 4" xfId="6408" xr:uid="{8E791E27-DFD5-41FF-9ACB-B32C6CCBF06D}"/>
    <cellStyle name="Normal 14 2 6" xfId="1742" xr:uid="{AEAB0D9D-E261-49C8-9202-62FBB0C627A5}"/>
    <cellStyle name="Normal 14 2 6 2" xfId="4240" xr:uid="{57A2E423-8CD0-480F-AB7E-419C3035B2B0}"/>
    <cellStyle name="Normal 14 2 6 2 2" xfId="9236" xr:uid="{4D865DC1-DD74-4E29-BDF7-C4E7C34F195F}"/>
    <cellStyle name="Normal 14 2 6 3" xfId="6738" xr:uid="{10C38763-5727-49F6-8EBD-DEFAC362C2C1}"/>
    <cellStyle name="Normal 14 2 7" xfId="2991" xr:uid="{50C19466-AE06-4E44-A16B-B4B55C0D2BEA}"/>
    <cellStyle name="Normal 14 2 7 2" xfId="7987" xr:uid="{40D0BF82-50FE-4107-BE0C-3C2AF33BD1D6}"/>
    <cellStyle name="Normal 14 2 8" xfId="5489" xr:uid="{F675CF57-22D6-4455-B26F-D7AC1063C1A8}"/>
    <cellStyle name="Normal 14 2 9" xfId="491" xr:uid="{9043FEB7-1B38-41CC-AD28-9ED036A5B4E8}"/>
    <cellStyle name="Normal 14 3" xfId="241" xr:uid="{C7C841E2-C9B4-4561-B33B-64D6FE73858F}"/>
    <cellStyle name="Normal 14 3 2" xfId="861" xr:uid="{6DBAEC14-B001-45E0-8797-F85CAF79B126}"/>
    <cellStyle name="Normal 14 3 2 2" xfId="2112" xr:uid="{EB6D6E4D-78BC-4F57-97D7-ACBD55870FD4}"/>
    <cellStyle name="Normal 14 3 2 2 2" xfId="4610" xr:uid="{FA79954C-D2D1-43C5-B5F8-0FFD60D16113}"/>
    <cellStyle name="Normal 14 3 2 2 2 2" xfId="9606" xr:uid="{B73119AE-CB17-4CCD-88F3-ED0976503E11}"/>
    <cellStyle name="Normal 14 3 2 2 3" xfId="7108" xr:uid="{F3368770-3956-43D3-8588-6CF976B1D17D}"/>
    <cellStyle name="Normal 14 3 2 3" xfId="3361" xr:uid="{993C462D-02D0-48C0-95C6-5FC8185A2CA9}"/>
    <cellStyle name="Normal 14 3 2 3 2" xfId="8357" xr:uid="{F28F5F14-76FB-4617-AB3F-EB34BEEBFA36}"/>
    <cellStyle name="Normal 14 3 2 4" xfId="5859" xr:uid="{18FB4B51-F27C-4A5A-A992-9D4F473A319C}"/>
    <cellStyle name="Normal 14 3 3" xfId="1174" xr:uid="{E84F6A2B-1FC4-4B83-B16C-CBDABD34A4A9}"/>
    <cellStyle name="Normal 14 3 3 2" xfId="2424" xr:uid="{F0A3C5CB-8402-4860-B638-44444B3FCAB4}"/>
    <cellStyle name="Normal 14 3 3 2 2" xfId="4922" xr:uid="{930AD3A7-394C-4E86-A9FD-989E9A87D66B}"/>
    <cellStyle name="Normal 14 3 3 2 2 2" xfId="9918" xr:uid="{2F6E6C45-3C7B-47EA-B70A-75ACC60ECFDF}"/>
    <cellStyle name="Normal 14 3 3 2 3" xfId="7420" xr:uid="{9A5819C2-0D69-4825-96FD-D790EA3082C3}"/>
    <cellStyle name="Normal 14 3 3 3" xfId="3673" xr:uid="{1C02A869-DD89-4704-AA0B-4861ADACDBBB}"/>
    <cellStyle name="Normal 14 3 3 3 2" xfId="8669" xr:uid="{5F5FA7A3-E3A2-4B7F-B5BD-490D59330752}"/>
    <cellStyle name="Normal 14 3 3 4" xfId="6171" xr:uid="{6F3C2B34-C68A-4A26-BAE0-8F3F5CE12B84}"/>
    <cellStyle name="Normal 14 3 4" xfId="1520" xr:uid="{D5CF62C1-57D2-40D2-BAC9-E99CEAC53A02}"/>
    <cellStyle name="Normal 14 3 4 2" xfId="2770" xr:uid="{D1953928-71A6-49EF-A4A0-02D63AAA249A}"/>
    <cellStyle name="Normal 14 3 4 2 2" xfId="5268" xr:uid="{D7B80E2A-BF08-4BF0-9F83-71379D3D6E0B}"/>
    <cellStyle name="Normal 14 3 4 2 2 2" xfId="10264" xr:uid="{A0D45541-7DA8-43D7-BA87-E10067739056}"/>
    <cellStyle name="Normal 14 3 4 2 3" xfId="7766" xr:uid="{82F87047-E94A-4EB9-9DDE-266C0BEF9491}"/>
    <cellStyle name="Normal 14 3 4 3" xfId="4019" xr:uid="{3A75242F-8C00-4C31-9364-F139B787BADA}"/>
    <cellStyle name="Normal 14 3 4 3 2" xfId="9015" xr:uid="{60377A6E-AA77-4728-B709-BAE15666E4F0}"/>
    <cellStyle name="Normal 14 3 4 4" xfId="6517" xr:uid="{7A4AC30D-44EF-42EB-B7CF-83F89F1D32A6}"/>
    <cellStyle name="Normal 14 3 5" xfId="1851" xr:uid="{B7392374-69C4-4B6C-BA1F-D66BAA23CB7F}"/>
    <cellStyle name="Normal 14 3 5 2" xfId="4349" xr:uid="{CD1D26C1-1798-4464-8D46-841E678F239A}"/>
    <cellStyle name="Normal 14 3 5 2 2" xfId="9345" xr:uid="{4800038B-F40B-42BE-8F0D-537328765B05}"/>
    <cellStyle name="Normal 14 3 5 3" xfId="6847" xr:uid="{E2A56087-F8E7-43BE-ACD6-FC3F3E67F0E5}"/>
    <cellStyle name="Normal 14 3 6" xfId="3100" xr:uid="{0AC33581-72EB-41DA-A99E-0BF323EC630F}"/>
    <cellStyle name="Normal 14 3 6 2" xfId="8096" xr:uid="{A162D16E-7FA1-4188-A61E-B7A90A61D94D}"/>
    <cellStyle name="Normal 14 3 7" xfId="5598" xr:uid="{8F9D685A-A2CE-4B58-A0B3-B2CB0126CD6B}"/>
    <cellStyle name="Normal 14 3 8" xfId="600" xr:uid="{BBC533D8-B894-4A14-BDBA-1A8621544E42}"/>
    <cellStyle name="Normal 14 4" xfId="372" xr:uid="{E97289C8-7267-47DD-A67C-D633D83525D3}"/>
    <cellStyle name="Normal 14 4 2" xfId="1293" xr:uid="{8D5051BA-03EB-44D7-AD09-C387161FE85B}"/>
    <cellStyle name="Normal 14 4 2 2" xfId="2543" xr:uid="{1389A979-9B48-462F-A44B-E3E54CAA51CF}"/>
    <cellStyle name="Normal 14 4 2 2 2" xfId="5041" xr:uid="{88B6B465-4027-485F-B41C-11122830BBD1}"/>
    <cellStyle name="Normal 14 4 2 2 2 2" xfId="10037" xr:uid="{C6E5C7C1-0D38-4166-A572-4C147D8B624A}"/>
    <cellStyle name="Normal 14 4 2 2 3" xfId="7539" xr:uid="{E8E6B375-EDBF-4BF4-B95D-FE13519B4B6B}"/>
    <cellStyle name="Normal 14 4 2 3" xfId="3792" xr:uid="{54E1730E-8CCA-48C7-A394-EC2C2C877196}"/>
    <cellStyle name="Normal 14 4 2 3 2" xfId="8788" xr:uid="{224ADE29-5C74-4FB1-A3DB-63703BC8B48F}"/>
    <cellStyle name="Normal 14 4 2 4" xfId="6290" xr:uid="{99B5674F-F90E-4D6A-9D36-EFC34ADDA2C5}"/>
    <cellStyle name="Normal 14 4 3" xfId="2231" xr:uid="{A974C341-B51A-46E8-9EEF-1F6B9DCCCB43}"/>
    <cellStyle name="Normal 14 4 3 2" xfId="4729" xr:uid="{DC936E4A-9D31-4843-B661-557739863048}"/>
    <cellStyle name="Normal 14 4 3 2 2" xfId="9725" xr:uid="{EAFC6BA4-C05C-43AA-ABD8-EB68F1DBA921}"/>
    <cellStyle name="Normal 14 4 3 3" xfId="7227" xr:uid="{BBE19E1D-BC24-4294-864A-11407A5A41BE}"/>
    <cellStyle name="Normal 14 4 4" xfId="3480" xr:uid="{798CB159-9117-415A-A48D-CFB1432F16F3}"/>
    <cellStyle name="Normal 14 4 4 2" xfId="8476" xr:uid="{36B639D7-FA2B-4350-84DD-A7F14D2523E5}"/>
    <cellStyle name="Normal 14 4 5" xfId="5978" xr:uid="{C05F4D67-55AF-474C-B99E-01DC329ED0BC}"/>
    <cellStyle name="Normal 14 4 6" xfId="981" xr:uid="{70568D10-4F6D-49C9-940E-8A23B6E2955B}"/>
    <cellStyle name="Normal 14 5" xfId="707" xr:uid="{73996045-6FFA-4E08-A74A-8C71DC771D5B}"/>
    <cellStyle name="Normal 14 5 2" xfId="1958" xr:uid="{3E2F4D98-2CCC-45B9-BFBC-DADE218538C8}"/>
    <cellStyle name="Normal 14 5 2 2" xfId="4456" xr:uid="{47EEDCC0-7B0A-4C98-93CA-AC8FF1501C69}"/>
    <cellStyle name="Normal 14 5 2 2 2" xfId="9452" xr:uid="{92DDC163-1DC3-4D9C-B47F-9DD68C9AD451}"/>
    <cellStyle name="Normal 14 5 2 3" xfId="6954" xr:uid="{D17BCD28-5781-4B39-95A4-AAF4ECBF1007}"/>
    <cellStyle name="Normal 14 5 3" xfId="3207" xr:uid="{C03E71A6-BDA6-49E1-B1CD-84B82D5844EA}"/>
    <cellStyle name="Normal 14 5 3 2" xfId="8203" xr:uid="{CAEC1B37-CC80-4466-81EB-AE10F1A605C7}"/>
    <cellStyle name="Normal 14 5 4" xfId="5705" xr:uid="{27A2FC79-6B80-4903-88AA-46C3C5DCD5CF}"/>
    <cellStyle name="Normal 14 6" xfId="1020" xr:uid="{7E88C977-EF30-4A1F-A608-2A196D2C665D}"/>
    <cellStyle name="Normal 14 6 2" xfId="2270" xr:uid="{4A0E7824-1D64-40AA-B508-EF7CD935406B}"/>
    <cellStyle name="Normal 14 6 2 2" xfId="4768" xr:uid="{15EDEF2D-4719-49E3-8954-BC6774D479D6}"/>
    <cellStyle name="Normal 14 6 2 2 2" xfId="9764" xr:uid="{92A5122A-CD4E-4899-AEC3-43139B4F75C7}"/>
    <cellStyle name="Normal 14 6 2 3" xfId="7266" xr:uid="{DB7395AF-E032-4791-83B4-13408E7B3298}"/>
    <cellStyle name="Normal 14 6 3" xfId="3519" xr:uid="{B94B9580-5964-43D2-A0AB-A92C693725FE}"/>
    <cellStyle name="Normal 14 6 3 2" xfId="8515" xr:uid="{F4370DA9-EDBD-4A6D-9E5B-D99C9867889D}"/>
    <cellStyle name="Normal 14 6 4" xfId="6017" xr:uid="{51DF8227-0BBA-4D4E-B429-00D4D460B307}"/>
    <cellStyle name="Normal 14 7" xfId="1361" xr:uid="{E7D4B0C7-E4F2-4362-B961-8293EED08D07}"/>
    <cellStyle name="Normal 14 7 2" xfId="2611" xr:uid="{F92AAD43-1FB5-44D1-B82F-F38F6310ABB7}"/>
    <cellStyle name="Normal 14 7 2 2" xfId="5109" xr:uid="{CFDACC04-ABB2-4F46-B88B-48BA77C3B9F6}"/>
    <cellStyle name="Normal 14 7 2 2 2" xfId="10105" xr:uid="{736533B7-C47B-4CFB-963E-D2CE8A9541AE}"/>
    <cellStyle name="Normal 14 7 2 3" xfId="7607" xr:uid="{59C2AC52-C038-46C5-8F2F-23FF6572FDEA}"/>
    <cellStyle name="Normal 14 7 3" xfId="3860" xr:uid="{C4345388-D45F-4B34-91EA-847E25D874EC}"/>
    <cellStyle name="Normal 14 7 3 2" xfId="8856" xr:uid="{12CBCD0B-7C00-4D2C-9FD7-647E43FEC7C0}"/>
    <cellStyle name="Normal 14 7 4" xfId="6358" xr:uid="{D50A237B-3F9A-4B95-AE15-214A37AB1E8C}"/>
    <cellStyle name="Normal 14 8" xfId="1692" xr:uid="{E06FE6D0-9AE9-445B-8F86-EFA2A55C10BA}"/>
    <cellStyle name="Normal 14 8 2" xfId="4190" xr:uid="{461CF640-AE8F-4A7C-86E4-953A64D7AD4A}"/>
    <cellStyle name="Normal 14 8 2 2" xfId="9186" xr:uid="{676A6030-140F-4749-8776-F2A360322A88}"/>
    <cellStyle name="Normal 14 8 3" xfId="6688" xr:uid="{3B519B8C-7340-41B5-A3E3-FED21BCB03B0}"/>
    <cellStyle name="Normal 14 9" xfId="2941" xr:uid="{E00C8C17-FC5F-4FCC-BE64-6E543FEBADED}"/>
    <cellStyle name="Normal 14 9 2" xfId="7937" xr:uid="{0EF67364-CDF4-4B5C-8C61-48A44ADBDEEE}"/>
    <cellStyle name="Normal 15" xfId="53" xr:uid="{07DE2763-C514-4E81-B65D-DDAE5932257A}"/>
    <cellStyle name="Normal 15 10" xfId="5443" xr:uid="{8BCA40D1-ED36-481E-A0CB-9AB97C5BCD68}"/>
    <cellStyle name="Normal 15 11" xfId="445" xr:uid="{5B857302-CD78-42FE-A5B2-F22073C9124B}"/>
    <cellStyle name="Normal 15 2" xfId="242" xr:uid="{5C05E814-5D05-4499-B4DC-A6A189496BE2}"/>
    <cellStyle name="Normal 15 2 2" xfId="243" xr:uid="{FC78F1D4-EF9A-4E36-8566-40DF0867CCCA}"/>
    <cellStyle name="Normal 15 2 2 2" xfId="863" xr:uid="{616CBA0D-65A4-4DDB-ABBE-9600983EB513}"/>
    <cellStyle name="Normal 15 2 2 2 2" xfId="2114" xr:uid="{BA0E1DB5-0DB3-4016-A038-89962D40B761}"/>
    <cellStyle name="Normal 15 2 2 2 2 2" xfId="4612" xr:uid="{3474465A-AFC2-4E0B-8819-CA3C0C1C002A}"/>
    <cellStyle name="Normal 15 2 2 2 2 2 2" xfId="9608" xr:uid="{E49C174D-7A9D-4004-B255-6CE811673699}"/>
    <cellStyle name="Normal 15 2 2 2 2 3" xfId="7110" xr:uid="{F3F7B7C4-ED13-434B-A79E-A64C56E9347E}"/>
    <cellStyle name="Normal 15 2 2 2 3" xfId="3363" xr:uid="{099962FB-87A1-4219-ABBD-2DC496A89E1B}"/>
    <cellStyle name="Normal 15 2 2 2 3 2" xfId="8359" xr:uid="{DF77A336-87C7-4AB4-AD5D-98BBFF890C40}"/>
    <cellStyle name="Normal 15 2 2 2 4" xfId="5861" xr:uid="{55388BE7-B870-4EDB-AFF9-DB816F057D26}"/>
    <cellStyle name="Normal 15 2 2 3" xfId="1176" xr:uid="{02CB9691-71C9-480C-A072-E74E1D464140}"/>
    <cellStyle name="Normal 15 2 2 3 2" xfId="2426" xr:uid="{0C98864E-9120-4825-992C-3C52A159F201}"/>
    <cellStyle name="Normal 15 2 2 3 2 2" xfId="4924" xr:uid="{E9556A16-AC1A-48BB-B7E2-9F75B9189E84}"/>
    <cellStyle name="Normal 15 2 2 3 2 2 2" xfId="9920" xr:uid="{C894557C-F7B6-43DA-A974-21BC99F37F80}"/>
    <cellStyle name="Normal 15 2 2 3 2 3" xfId="7422" xr:uid="{193FA250-1A14-4E5B-A9B9-EB09279A5B57}"/>
    <cellStyle name="Normal 15 2 2 3 3" xfId="3675" xr:uid="{4BD8DFA2-00D1-4F78-85B3-52DB125F1D87}"/>
    <cellStyle name="Normal 15 2 2 3 3 2" xfId="8671" xr:uid="{9C6E8843-7151-422A-84BA-E3CE3501E1A2}"/>
    <cellStyle name="Normal 15 2 2 3 4" xfId="6173" xr:uid="{9D55BFE9-5BDC-474A-BA31-368DF05F19D7}"/>
    <cellStyle name="Normal 15 2 2 4" xfId="1523" xr:uid="{D4AC4CB2-6ED6-440A-A492-0CBF2E620434}"/>
    <cellStyle name="Normal 15 2 2 4 2" xfId="2773" xr:uid="{2DA91168-9DAF-4B1B-96EC-9744A57BA1C5}"/>
    <cellStyle name="Normal 15 2 2 4 2 2" xfId="5271" xr:uid="{700F942C-8935-4660-8449-8CC6062E7D7E}"/>
    <cellStyle name="Normal 15 2 2 4 2 2 2" xfId="10267" xr:uid="{D1D91EF4-D1C0-4658-A2D5-4A919559A9C2}"/>
    <cellStyle name="Normal 15 2 2 4 2 3" xfId="7769" xr:uid="{BA9DCF98-A12D-4C97-A470-2ED7EA6DE453}"/>
    <cellStyle name="Normal 15 2 2 4 3" xfId="4022" xr:uid="{98A2E8FB-BFB0-4437-9B9E-603E8BD0F715}"/>
    <cellStyle name="Normal 15 2 2 4 3 2" xfId="9018" xr:uid="{CDB1AA0D-2A9B-44F6-BDEF-E6747D4EC888}"/>
    <cellStyle name="Normal 15 2 2 4 4" xfId="6520" xr:uid="{D8A7CBE8-226A-41E2-A7C4-B604CDBA1C99}"/>
    <cellStyle name="Normal 15 2 2 5" xfId="1854" xr:uid="{BE6D6D46-B2F0-4836-814A-BC8D67B95326}"/>
    <cellStyle name="Normal 15 2 2 5 2" xfId="4352" xr:uid="{2E0F53BB-A3CA-40E9-83FA-3055C8AA40AE}"/>
    <cellStyle name="Normal 15 2 2 5 2 2" xfId="9348" xr:uid="{99AE0385-771C-4FF2-BC0F-E380E6BE88F5}"/>
    <cellStyle name="Normal 15 2 2 5 3" xfId="6850" xr:uid="{403C4E51-4D62-4E19-89CD-0ED8E7E1C9F3}"/>
    <cellStyle name="Normal 15 2 2 6" xfId="3103" xr:uid="{EC180053-4125-4E46-AEC5-EA4F68F4359F}"/>
    <cellStyle name="Normal 15 2 2 6 2" xfId="8099" xr:uid="{3F8B9323-6BF4-4BA2-AAE7-6CE873BBFB38}"/>
    <cellStyle name="Normal 15 2 2 7" xfId="5601" xr:uid="{C70B7910-6D0A-4CF2-9F14-186FCB489522}"/>
    <cellStyle name="Normal 15 2 2 8" xfId="603" xr:uid="{D4FA9C74-92D2-4029-983B-615F78DE4D14}"/>
    <cellStyle name="Normal 15 2 3" xfId="862" xr:uid="{2A98123D-253C-43DD-9D67-DD86E4C426BF}"/>
    <cellStyle name="Normal 15 2 3 2" xfId="2113" xr:uid="{11DA45E3-2631-4562-A1F6-B76C3E536047}"/>
    <cellStyle name="Normal 15 2 3 2 2" xfId="4611" xr:uid="{5C0B3430-3BF1-4D5D-B8DC-B85DA4A76E03}"/>
    <cellStyle name="Normal 15 2 3 2 2 2" xfId="9607" xr:uid="{08BF4768-4790-4CE8-80C9-7C9B2A2CC519}"/>
    <cellStyle name="Normal 15 2 3 2 3" xfId="7109" xr:uid="{CE989DA5-DFDA-4BD6-A80E-CF6EA9FC0160}"/>
    <cellStyle name="Normal 15 2 3 3" xfId="3362" xr:uid="{11A2D6B8-AB16-4220-B71C-701F36007C83}"/>
    <cellStyle name="Normal 15 2 3 3 2" xfId="8358" xr:uid="{3D72A681-FFFF-43F3-97A2-94F73BF20AD2}"/>
    <cellStyle name="Normal 15 2 3 4" xfId="5860" xr:uid="{FD32CC69-177B-499F-BDC1-55C1D0A752FB}"/>
    <cellStyle name="Normal 15 2 4" xfId="1175" xr:uid="{1418966D-69D5-45F4-A309-96A8331631D0}"/>
    <cellStyle name="Normal 15 2 4 2" xfId="2425" xr:uid="{347519F0-EAA0-4ABF-AC10-F7728B89395A}"/>
    <cellStyle name="Normal 15 2 4 2 2" xfId="4923" xr:uid="{D231F109-19B5-4B1C-B561-F1F52271AF4F}"/>
    <cellStyle name="Normal 15 2 4 2 2 2" xfId="9919" xr:uid="{FE3D51BC-81CB-486A-9BB2-3214096DC62E}"/>
    <cellStyle name="Normal 15 2 4 2 3" xfId="7421" xr:uid="{243B19C5-A5B5-46A1-8BE3-2ED932C50B9C}"/>
    <cellStyle name="Normal 15 2 4 3" xfId="3674" xr:uid="{E30D8ACA-A6C2-4618-BDC0-5E2023FAAAB0}"/>
    <cellStyle name="Normal 15 2 4 3 2" xfId="8670" xr:uid="{C12144D4-58E5-4615-8709-1BB441B2DBB1}"/>
    <cellStyle name="Normal 15 2 4 4" xfId="6172" xr:uid="{0D982216-6FDE-4658-AE40-D8E554572805}"/>
    <cellStyle name="Normal 15 2 5" xfId="1412" xr:uid="{C52D7852-688D-444F-AB4F-3795AB898689}"/>
    <cellStyle name="Normal 15 2 5 2" xfId="2662" xr:uid="{E139096A-8F62-4B05-A5EE-11A1134087B3}"/>
    <cellStyle name="Normal 15 2 5 2 2" xfId="5160" xr:uid="{F3987126-EFB2-4969-84B9-461B1D10E838}"/>
    <cellStyle name="Normal 15 2 5 2 2 2" xfId="10156" xr:uid="{181D0720-D64A-4AA3-816A-AB6C1F4B3B02}"/>
    <cellStyle name="Normal 15 2 5 2 3" xfId="7658" xr:uid="{2D4C942F-257E-4798-A567-E875F01AF591}"/>
    <cellStyle name="Normal 15 2 5 3" xfId="3911" xr:uid="{AF6FCBD3-EDB4-4635-ADF2-7B41A0C30E3A}"/>
    <cellStyle name="Normal 15 2 5 3 2" xfId="8907" xr:uid="{94B7E72A-3EDC-4FCA-87FD-E9C3A56193B5}"/>
    <cellStyle name="Normal 15 2 5 4" xfId="6409" xr:uid="{C33BB4F1-A65B-46C3-8CDC-27A2F1F2EF51}"/>
    <cellStyle name="Normal 15 2 6" xfId="1743" xr:uid="{AAA81A90-26B7-4D2D-9ED3-9104218FD526}"/>
    <cellStyle name="Normal 15 2 6 2" xfId="4241" xr:uid="{0F3A3753-2120-493A-A707-74C077EE5D9B}"/>
    <cellStyle name="Normal 15 2 6 2 2" xfId="9237" xr:uid="{BE008D38-6E95-4A19-89EA-B905EB295656}"/>
    <cellStyle name="Normal 15 2 6 3" xfId="6739" xr:uid="{D796BEF5-ECEF-4BC0-A03F-65E9B7C78E59}"/>
    <cellStyle name="Normal 15 2 7" xfId="2992" xr:uid="{D1791BCE-BE8D-4FB0-B30A-D94BD4CC6CEE}"/>
    <cellStyle name="Normal 15 2 7 2" xfId="7988" xr:uid="{A864EE16-F2AD-4545-B781-4B7A35CAFC38}"/>
    <cellStyle name="Normal 15 2 8" xfId="5490" xr:uid="{1B116163-0A43-4B45-9592-5DC8D7D15602}"/>
    <cellStyle name="Normal 15 2 9" xfId="492" xr:uid="{8FB4C1BA-065D-460C-AF1F-F4CACB90FC6E}"/>
    <cellStyle name="Normal 15 3" xfId="244" xr:uid="{850FE86B-9FFA-4F8D-9978-493CF95355E0}"/>
    <cellStyle name="Normal 15 3 2" xfId="864" xr:uid="{EECB5088-A816-4C9F-921F-AAD256594F52}"/>
    <cellStyle name="Normal 15 3 2 2" xfId="2115" xr:uid="{B33801F4-72E4-41BC-A2B0-82713BF383D0}"/>
    <cellStyle name="Normal 15 3 2 2 2" xfId="4613" xr:uid="{5DA75CCC-C875-4F98-BDE8-96258E253CBC}"/>
    <cellStyle name="Normal 15 3 2 2 2 2" xfId="9609" xr:uid="{16C95641-6862-4DDD-B3EA-97E6FDA0A7FB}"/>
    <cellStyle name="Normal 15 3 2 2 3" xfId="7111" xr:uid="{7E62C1B3-18C3-460C-9430-DA6A5A0C67FD}"/>
    <cellStyle name="Normal 15 3 2 3" xfId="3364" xr:uid="{9B00464D-1B15-4B46-B8C1-C1AD73A37B48}"/>
    <cellStyle name="Normal 15 3 2 3 2" xfId="8360" xr:uid="{44BB8E67-1E50-49C2-A45B-FF0D62287EEB}"/>
    <cellStyle name="Normal 15 3 2 4" xfId="5862" xr:uid="{3A68D68C-B46C-445A-8138-D5FE173F3515}"/>
    <cellStyle name="Normal 15 3 3" xfId="1177" xr:uid="{1C6A6A78-3BD8-4428-B688-6C3E796C3CDD}"/>
    <cellStyle name="Normal 15 3 3 2" xfId="2427" xr:uid="{FEE98A4A-2628-4CCE-B905-07E3F635C09B}"/>
    <cellStyle name="Normal 15 3 3 2 2" xfId="4925" xr:uid="{C8043940-B232-48BE-B490-D719FD4898D9}"/>
    <cellStyle name="Normal 15 3 3 2 2 2" xfId="9921" xr:uid="{7714A1BE-96CC-4BDA-BA98-5D0685F5E1F7}"/>
    <cellStyle name="Normal 15 3 3 2 3" xfId="7423" xr:uid="{9020C0C6-EAE9-4904-8049-15E6641E5786}"/>
    <cellStyle name="Normal 15 3 3 3" xfId="3676" xr:uid="{8A392C5F-F553-46C9-89CE-924C22CF7798}"/>
    <cellStyle name="Normal 15 3 3 3 2" xfId="8672" xr:uid="{22AC53B8-EEF9-4353-8DDA-E80CFAB4B989}"/>
    <cellStyle name="Normal 15 3 3 4" xfId="6174" xr:uid="{F1466477-5281-4C37-957D-E3EED8F41F57}"/>
    <cellStyle name="Normal 15 3 4" xfId="1522" xr:uid="{C0672670-1E39-4B54-A56C-57A262CAB1EB}"/>
    <cellStyle name="Normal 15 3 4 2" xfId="2772" xr:uid="{4B8CF651-B6B2-4DF1-9704-2F5C3E2C1C03}"/>
    <cellStyle name="Normal 15 3 4 2 2" xfId="5270" xr:uid="{B73F1853-D4AB-49BD-8AA1-25694BD8C698}"/>
    <cellStyle name="Normal 15 3 4 2 2 2" xfId="10266" xr:uid="{22E9E728-F1F9-4671-A869-F0C84E22C85F}"/>
    <cellStyle name="Normal 15 3 4 2 3" xfId="7768" xr:uid="{D33580D6-F5A6-44A3-A6D3-F725C6F427FB}"/>
    <cellStyle name="Normal 15 3 4 3" xfId="4021" xr:uid="{130D4E6F-9630-44A8-825D-8FE437BD7615}"/>
    <cellStyle name="Normal 15 3 4 3 2" xfId="9017" xr:uid="{AEDB815B-12F6-4DCF-B74F-C155F9A84E25}"/>
    <cellStyle name="Normal 15 3 4 4" xfId="6519" xr:uid="{42343213-EEE6-40F3-9A14-5C83469E2799}"/>
    <cellStyle name="Normal 15 3 5" xfId="1853" xr:uid="{3D15659B-7476-45C4-A4EA-401BFFE5AC16}"/>
    <cellStyle name="Normal 15 3 5 2" xfId="4351" xr:uid="{246D04D2-D208-4C80-86DF-FE687A825128}"/>
    <cellStyle name="Normal 15 3 5 2 2" xfId="9347" xr:uid="{8831A355-5917-4550-A115-F3F012D07874}"/>
    <cellStyle name="Normal 15 3 5 3" xfId="6849" xr:uid="{29DB2B8B-6D86-4A91-82B6-4D06960E84D9}"/>
    <cellStyle name="Normal 15 3 6" xfId="3102" xr:uid="{A4DC9A78-123C-419E-B985-4DCEEF65927D}"/>
    <cellStyle name="Normal 15 3 6 2" xfId="8098" xr:uid="{1AAA997D-E26A-4F06-A4B1-2934DBD9F954}"/>
    <cellStyle name="Normal 15 3 7" xfId="5600" xr:uid="{4F888A2D-48F6-438C-9638-CCD1E3D2C4AC}"/>
    <cellStyle name="Normal 15 3 8" xfId="602" xr:uid="{62A5ED27-B7AF-429A-BAD9-FB34D2BAB6F9}"/>
    <cellStyle name="Normal 15 4" xfId="373" xr:uid="{31FA3E80-3368-4CB4-8ECC-4C4CF7A69DF0}"/>
    <cellStyle name="Normal 15 4 2" xfId="1294" xr:uid="{E4D2798E-D625-4A85-875D-C06F99A98D89}"/>
    <cellStyle name="Normal 15 4 2 2" xfId="2544" xr:uid="{B09ED5E0-8F77-40D6-A206-C77803C8063C}"/>
    <cellStyle name="Normal 15 4 2 2 2" xfId="5042" xr:uid="{D953CFE7-6452-4383-905D-EFA3B93A79F3}"/>
    <cellStyle name="Normal 15 4 2 2 2 2" xfId="10038" xr:uid="{2D1BADBB-B9E3-4969-AA23-C1C9C13CF2D3}"/>
    <cellStyle name="Normal 15 4 2 2 3" xfId="7540" xr:uid="{B31FC0F5-5679-4B19-B99D-5DE9AF3010DE}"/>
    <cellStyle name="Normal 15 4 2 3" xfId="3793" xr:uid="{3FD962D9-8EC6-4EBC-AC7B-EB08AD5C2B2F}"/>
    <cellStyle name="Normal 15 4 2 3 2" xfId="8789" xr:uid="{F37D5479-4F5B-4680-81D3-9E967295983F}"/>
    <cellStyle name="Normal 15 4 2 4" xfId="6291" xr:uid="{FE7B0D4B-28C8-4BDF-BA7B-5FD151B89263}"/>
    <cellStyle name="Normal 15 4 3" xfId="2232" xr:uid="{AE29C941-28A1-4E88-93DC-7220DE858F79}"/>
    <cellStyle name="Normal 15 4 3 2" xfId="4730" xr:uid="{AEF5BECB-DCC5-4356-9159-34AC1F4F270C}"/>
    <cellStyle name="Normal 15 4 3 2 2" xfId="9726" xr:uid="{CBCB6B17-884A-4154-9BC6-A4F8661C1794}"/>
    <cellStyle name="Normal 15 4 3 3" xfId="7228" xr:uid="{38BDB1E3-E5E0-45C6-9C9E-3D497DE2EC16}"/>
    <cellStyle name="Normal 15 4 4" xfId="3481" xr:uid="{FD7F24D3-8974-4565-8FE1-0F137022CDF6}"/>
    <cellStyle name="Normal 15 4 4 2" xfId="8477" xr:uid="{9E74F845-FCF9-404B-8B00-72EF4B4E7A02}"/>
    <cellStyle name="Normal 15 4 5" xfId="5979" xr:uid="{337A83CB-787F-48C4-9C4D-DBDBBD620127}"/>
    <cellStyle name="Normal 15 4 6" xfId="982" xr:uid="{8479AC73-0040-4EF2-A779-5A2E37FBBA50}"/>
    <cellStyle name="Normal 15 5" xfId="708" xr:uid="{8961CE3C-0CC5-4130-B7D6-157977B9DD35}"/>
    <cellStyle name="Normal 15 5 2" xfId="1959" xr:uid="{240083CC-3066-44D8-8F36-F90345E136B5}"/>
    <cellStyle name="Normal 15 5 2 2" xfId="4457" xr:uid="{B10508E9-1C10-4294-8381-459F1FBA3D00}"/>
    <cellStyle name="Normal 15 5 2 2 2" xfId="9453" xr:uid="{B35AC7F0-A4EC-4FFA-9283-3C4E7B597E49}"/>
    <cellStyle name="Normal 15 5 2 3" xfId="6955" xr:uid="{C1955F5A-6716-4A1D-8037-ACDC876EF572}"/>
    <cellStyle name="Normal 15 5 3" xfId="3208" xr:uid="{7725DFD5-AA1E-42ED-BF02-B3C1470606CB}"/>
    <cellStyle name="Normal 15 5 3 2" xfId="8204" xr:uid="{87293AA5-F7D2-41C9-B42C-2BC54C9F55D3}"/>
    <cellStyle name="Normal 15 5 4" xfId="5706" xr:uid="{C7751466-AB80-42C7-93A7-3EAC2B7D97B7}"/>
    <cellStyle name="Normal 15 6" xfId="1021" xr:uid="{A09C8DDD-5891-4AA8-8B05-88C2A61D6ECB}"/>
    <cellStyle name="Normal 15 6 2" xfId="2271" xr:uid="{06E5AFDA-0CCA-4498-98B0-9D409CC28782}"/>
    <cellStyle name="Normal 15 6 2 2" xfId="4769" xr:uid="{6F3ADDBC-BA67-4A6F-8966-450CA209499E}"/>
    <cellStyle name="Normal 15 6 2 2 2" xfId="9765" xr:uid="{6884EC33-DA9B-4874-A325-D4ECF38B9846}"/>
    <cellStyle name="Normal 15 6 2 3" xfId="7267" xr:uid="{25E4ECDE-DAAC-4F8C-843C-D0238D09D140}"/>
    <cellStyle name="Normal 15 6 3" xfId="3520" xr:uid="{3A1D9243-9D1B-477D-B4C5-06E8093B88B1}"/>
    <cellStyle name="Normal 15 6 3 2" xfId="8516" xr:uid="{C778BB49-77E6-47C5-9118-EAA07199A142}"/>
    <cellStyle name="Normal 15 6 4" xfId="6018" xr:uid="{BA4ECEDA-15D9-4B36-8404-216CB0D31AF3}"/>
    <cellStyle name="Normal 15 7" xfId="1365" xr:uid="{4311042A-F1EC-44FF-B086-DBBF7F9DAB07}"/>
    <cellStyle name="Normal 15 7 2" xfId="2615" xr:uid="{4C85CC22-6793-4C4A-84DE-55DD03342F08}"/>
    <cellStyle name="Normal 15 7 2 2" xfId="5113" xr:uid="{3E4AFDED-DA72-42FC-A8FE-23E67A7FF518}"/>
    <cellStyle name="Normal 15 7 2 2 2" xfId="10109" xr:uid="{C2E026B7-09AC-42C9-9993-CE009F7CF7BA}"/>
    <cellStyle name="Normal 15 7 2 3" xfId="7611" xr:uid="{0898D0EE-D6C4-426A-92FF-ED1DEDE6FC51}"/>
    <cellStyle name="Normal 15 7 3" xfId="3864" xr:uid="{2097A250-7759-4FED-BFCE-6AD5CA1D9CF8}"/>
    <cellStyle name="Normal 15 7 3 2" xfId="8860" xr:uid="{0EAD945C-1C80-4945-A423-14B22F221635}"/>
    <cellStyle name="Normal 15 7 4" xfId="6362" xr:uid="{E3D17385-4ABB-483B-9BDB-FA9409B9C19A}"/>
    <cellStyle name="Normal 15 8" xfId="1696" xr:uid="{A4F308EF-1CA8-42B6-B4F5-5C3AA07E13D8}"/>
    <cellStyle name="Normal 15 8 2" xfId="4194" xr:uid="{FB5730DF-E3D4-4215-8255-B826D2463EDF}"/>
    <cellStyle name="Normal 15 8 2 2" xfId="9190" xr:uid="{E65478B4-091D-47BA-8999-6DA1956B07DD}"/>
    <cellStyle name="Normal 15 8 3" xfId="6692" xr:uid="{0494A4D7-4B22-4D6B-900B-3809BDE71770}"/>
    <cellStyle name="Normal 15 9" xfId="2945" xr:uid="{36BB5DEC-D2B5-465F-A636-66A45B78028F}"/>
    <cellStyle name="Normal 15 9 2" xfId="7941" xr:uid="{F2622CF6-2704-4CD4-9B49-CFB3B70BC4A2}"/>
    <cellStyle name="Normal 16" xfId="54" xr:uid="{8203CA56-1BFA-40B1-90E8-4F080FE2997F}"/>
    <cellStyle name="Normal 16 10" xfId="451" xr:uid="{E7F928D8-E811-45B5-939C-C09418A96486}"/>
    <cellStyle name="Normal 16 2" xfId="245" xr:uid="{204547A8-CF82-4F8B-AF51-4616584A8AFD}"/>
    <cellStyle name="Normal 16 2 2" xfId="865" xr:uid="{998DAFB6-35B4-4561-8BFC-ECEC8233B3F1}"/>
    <cellStyle name="Normal 16 2 2 2" xfId="2116" xr:uid="{9E7A0FD6-B3EB-4EA6-8783-C605B88665A3}"/>
    <cellStyle name="Normal 16 2 2 2 2" xfId="4614" xr:uid="{B429CB16-5281-4DD3-A2B0-4FC87C4CD3AA}"/>
    <cellStyle name="Normal 16 2 2 2 2 2" xfId="9610" xr:uid="{FF96BF6E-2E9C-4C3D-8DCE-49B013FFCE2E}"/>
    <cellStyle name="Normal 16 2 2 2 3" xfId="7112" xr:uid="{1ED194EB-96DB-48CE-882B-F2F4A87F7E05}"/>
    <cellStyle name="Normal 16 2 2 3" xfId="3365" xr:uid="{A8B0E74A-378F-4AFD-98B8-9054144F271B}"/>
    <cellStyle name="Normal 16 2 2 3 2" xfId="8361" xr:uid="{4F06CCD4-C177-48B2-A5B2-2B95308BCAFB}"/>
    <cellStyle name="Normal 16 2 2 4" xfId="5863" xr:uid="{BBD82E06-43F0-44E3-A824-66D923F8BFB9}"/>
    <cellStyle name="Normal 16 2 3" xfId="1178" xr:uid="{7AEAF462-6D29-4E24-A1CF-1A6DF2E1DF69}"/>
    <cellStyle name="Normal 16 2 3 2" xfId="2428" xr:uid="{DBDD0506-9FB1-48CF-896D-8AEFE4F0A540}"/>
    <cellStyle name="Normal 16 2 3 2 2" xfId="4926" xr:uid="{54077B28-C103-44A9-939C-9D189E681179}"/>
    <cellStyle name="Normal 16 2 3 2 2 2" xfId="9922" xr:uid="{5454D3DD-BBB2-4C2A-8877-A188233E7377}"/>
    <cellStyle name="Normal 16 2 3 2 3" xfId="7424" xr:uid="{BE5ABC38-26BD-4E7A-AC1F-E818D6F0EF30}"/>
    <cellStyle name="Normal 16 2 3 3" xfId="3677" xr:uid="{FE5D96F5-FBE2-4748-BFC3-9D3975949DD7}"/>
    <cellStyle name="Normal 16 2 3 3 2" xfId="8673" xr:uid="{1DEC62DF-9535-4018-A657-D342B6D5F453}"/>
    <cellStyle name="Normal 16 2 3 4" xfId="6175" xr:uid="{2A571ADF-9F3E-4914-B063-483040BF7901}"/>
    <cellStyle name="Normal 16 2 4" xfId="1524" xr:uid="{D924D93F-6C0B-4621-8CCA-943F75ABDBE7}"/>
    <cellStyle name="Normal 16 2 4 2" xfId="2774" xr:uid="{73304B58-C2B0-4138-AB34-B5008D60C389}"/>
    <cellStyle name="Normal 16 2 4 2 2" xfId="5272" xr:uid="{08FE4970-5ACB-4A79-A552-1509490FC4A2}"/>
    <cellStyle name="Normal 16 2 4 2 2 2" xfId="10268" xr:uid="{EB05CC34-C794-4B57-B7FB-AC1D2D1D2ADB}"/>
    <cellStyle name="Normal 16 2 4 2 3" xfId="7770" xr:uid="{AFC9C917-6112-46DF-93D6-C06ACACB4AC5}"/>
    <cellStyle name="Normal 16 2 4 3" xfId="4023" xr:uid="{D37249F0-8BAF-46E7-A15A-3F6E859E234D}"/>
    <cellStyle name="Normal 16 2 4 3 2" xfId="9019" xr:uid="{7199D902-C7EC-4B1F-BB16-726336933F28}"/>
    <cellStyle name="Normal 16 2 4 4" xfId="6521" xr:uid="{FF32D41D-FCF7-499F-B729-29FF86ABFBF0}"/>
    <cellStyle name="Normal 16 2 5" xfId="1855" xr:uid="{B41FB1DC-A84B-4758-8522-EE522432467B}"/>
    <cellStyle name="Normal 16 2 5 2" xfId="4353" xr:uid="{7D3E9086-6322-4E3F-A0BF-29B1247D54B8}"/>
    <cellStyle name="Normal 16 2 5 2 2" xfId="9349" xr:uid="{2F650048-CCF9-44C2-99EC-AF4C6752F644}"/>
    <cellStyle name="Normal 16 2 5 3" xfId="6851" xr:uid="{19602697-9B54-431B-8192-7596CC5475FA}"/>
    <cellStyle name="Normal 16 2 6" xfId="3104" xr:uid="{300E0B11-4731-44A8-8BF2-AA473DDE2523}"/>
    <cellStyle name="Normal 16 2 6 2" xfId="8100" xr:uid="{2A53F014-23B7-4681-8303-0C810160FC56}"/>
    <cellStyle name="Normal 16 2 7" xfId="5602" xr:uid="{5EF21DAE-ADD1-4302-88CF-3F654DBD71B9}"/>
    <cellStyle name="Normal 16 2 8" xfId="604" xr:uid="{B6D5B389-5C11-408B-9806-44D5BCB56C96}"/>
    <cellStyle name="Normal 16 3" xfId="374" xr:uid="{0612003F-F903-4181-883A-51CD752583A5}"/>
    <cellStyle name="Normal 16 3 2" xfId="1295" xr:uid="{84061256-22FE-42BC-8DAF-FBECE4CBFA74}"/>
    <cellStyle name="Normal 16 3 2 2" xfId="2545" xr:uid="{7EEC25DA-1FC6-48BF-B2AC-6AE1D754780C}"/>
    <cellStyle name="Normal 16 3 2 2 2" xfId="5043" xr:uid="{8F904049-C9CF-4722-8727-3748AD831651}"/>
    <cellStyle name="Normal 16 3 2 2 2 2" xfId="10039" xr:uid="{F1E0B9A1-043D-4CFF-9010-17215F4B10D7}"/>
    <cellStyle name="Normal 16 3 2 2 3" xfId="7541" xr:uid="{BD7BE267-E860-41B1-9163-35951FB05CA9}"/>
    <cellStyle name="Normal 16 3 2 3" xfId="3794" xr:uid="{3DD6D17F-D70F-400E-B28E-710ED13F3EAA}"/>
    <cellStyle name="Normal 16 3 2 3 2" xfId="8790" xr:uid="{EC6F1AD0-9E09-4CCD-B912-E27A91EEC6C4}"/>
    <cellStyle name="Normal 16 3 2 4" xfId="6292" xr:uid="{37F23A11-08EC-49AF-B5B9-87AE20DDC6D8}"/>
    <cellStyle name="Normal 16 3 3" xfId="2233" xr:uid="{7FC005FB-EB49-49B6-9AAB-31E1A0203AFD}"/>
    <cellStyle name="Normal 16 3 3 2" xfId="4731" xr:uid="{CCB50A7C-0510-4010-9BBF-5060A83FA56C}"/>
    <cellStyle name="Normal 16 3 3 2 2" xfId="9727" xr:uid="{209E7772-EF0E-47D1-A16B-9D1AE75245F9}"/>
    <cellStyle name="Normal 16 3 3 3" xfId="7229" xr:uid="{EE1A7961-F047-49BA-A395-A75D417EA82F}"/>
    <cellStyle name="Normal 16 3 4" xfId="3482" xr:uid="{E7CD061C-4D83-4612-9FEF-A87DB530B07C}"/>
    <cellStyle name="Normal 16 3 4 2" xfId="8478" xr:uid="{B4A9DD3F-C52B-4F7C-9A3B-5E1CB1F91580}"/>
    <cellStyle name="Normal 16 3 5" xfId="5980" xr:uid="{3B5E0B8D-9489-4E58-A2D9-169B39EFFEC7}"/>
    <cellStyle name="Normal 16 3 6" xfId="983" xr:uid="{A7AA93B9-4FCD-4EA3-A731-D44F3449F97A}"/>
    <cellStyle name="Normal 16 4" xfId="709" xr:uid="{FBF4BB75-B006-4B28-9777-34EA8B200EBC}"/>
    <cellStyle name="Normal 16 4 2" xfId="1960" xr:uid="{659B1AA9-D18F-4AB7-A63D-8415965C4182}"/>
    <cellStyle name="Normal 16 4 2 2" xfId="4458" xr:uid="{9C9B2AD4-BCC1-43C0-A10F-22ACE42C8281}"/>
    <cellStyle name="Normal 16 4 2 2 2" xfId="9454" xr:uid="{A70E7EB4-965B-42EE-9FB8-6DF54682E4D1}"/>
    <cellStyle name="Normal 16 4 2 3" xfId="6956" xr:uid="{CD8F541E-FDDE-48B6-94D6-F2567ED9EEF9}"/>
    <cellStyle name="Normal 16 4 3" xfId="3209" xr:uid="{B60ADE37-CFE5-4C5D-9A2C-156510343128}"/>
    <cellStyle name="Normal 16 4 3 2" xfId="8205" xr:uid="{2EF9678A-5BC7-4521-BE70-3BE2C112F8C8}"/>
    <cellStyle name="Normal 16 4 4" xfId="5707" xr:uid="{FC1F02A3-D7F5-46CD-AACD-C25D0015793B}"/>
    <cellStyle name="Normal 16 5" xfId="1022" xr:uid="{9525A406-A643-4DA2-8A55-A519D5F82F49}"/>
    <cellStyle name="Normal 16 5 2" xfId="2272" xr:uid="{82507B7C-AA80-4892-97DD-ED855EA86E7D}"/>
    <cellStyle name="Normal 16 5 2 2" xfId="4770" xr:uid="{753D4292-B30A-4069-B4B1-F6718372FA7D}"/>
    <cellStyle name="Normal 16 5 2 2 2" xfId="9766" xr:uid="{96AD7235-8C3A-451C-BC9C-5100EE89DF32}"/>
    <cellStyle name="Normal 16 5 2 3" xfId="7268" xr:uid="{CF6A3094-02A4-43B2-86AA-E4514A36286A}"/>
    <cellStyle name="Normal 16 5 3" xfId="3521" xr:uid="{D92C4F00-6F20-466E-9519-4C914FE58C9A}"/>
    <cellStyle name="Normal 16 5 3 2" xfId="8517" xr:uid="{EB447A86-4952-4785-96B2-81AD53946CA2}"/>
    <cellStyle name="Normal 16 5 4" xfId="6019" xr:uid="{F6185C16-F0C3-4F58-98FC-3058D2F9F40C}"/>
    <cellStyle name="Normal 16 6" xfId="1371" xr:uid="{95F05085-E0A6-4E52-B413-0E4302789EAD}"/>
    <cellStyle name="Normal 16 6 2" xfId="2621" xr:uid="{50F4F0F0-25E0-4D03-8A83-D23E38548429}"/>
    <cellStyle name="Normal 16 6 2 2" xfId="5119" xr:uid="{5D66A121-244D-4EBF-8452-E034C51F2357}"/>
    <cellStyle name="Normal 16 6 2 2 2" xfId="10115" xr:uid="{5C7F03FC-F315-485F-840D-D7520FA1C33E}"/>
    <cellStyle name="Normal 16 6 2 3" xfId="7617" xr:uid="{50D98CD7-6463-44F3-80ED-8FFC2A6CF7D6}"/>
    <cellStyle name="Normal 16 6 3" xfId="3870" xr:uid="{20F36334-35B3-4674-948A-0BF2BCEC101F}"/>
    <cellStyle name="Normal 16 6 3 2" xfId="8866" xr:uid="{E34CD98E-C2CA-41E4-B364-6BF7C9191725}"/>
    <cellStyle name="Normal 16 6 4" xfId="6368" xr:uid="{812B75F4-BCEA-4976-BBFD-4C18D14A65E3}"/>
    <cellStyle name="Normal 16 7" xfId="1702" xr:uid="{E0522C78-F9CA-4744-9601-1101216825B1}"/>
    <cellStyle name="Normal 16 7 2" xfId="4200" xr:uid="{A992C8D7-7C6D-49C4-B2AA-6C5CA0EEDB0F}"/>
    <cellStyle name="Normal 16 7 2 2" xfId="9196" xr:uid="{379F3FA6-593E-4940-9585-5E9213AD613B}"/>
    <cellStyle name="Normal 16 7 3" xfId="6698" xr:uid="{981EB9BC-F475-41DA-91B8-04F707A09F2F}"/>
    <cellStyle name="Normal 16 8" xfId="2951" xr:uid="{4D9D9944-E1AA-432A-9762-32D5813D7D3C}"/>
    <cellStyle name="Normal 16 8 2" xfId="7947" xr:uid="{76641CF5-3746-48A1-BD0A-7224B32A3BDB}"/>
    <cellStyle name="Normal 16 9" xfId="5449" xr:uid="{7F1B0F75-55F9-48C7-9F07-1EE03FF0974D}"/>
    <cellStyle name="Normal 17" xfId="55" xr:uid="{2D5CA850-5874-481C-865E-A5D0DEB87FBC}"/>
    <cellStyle name="Normal 17 10" xfId="450" xr:uid="{B7E49F01-6B85-4928-BAFC-AC41E0906E09}"/>
    <cellStyle name="Normal 17 2" xfId="246" xr:uid="{58822057-63EB-4B96-9CC9-5DD2E1D7D3B3}"/>
    <cellStyle name="Normal 17 2 2" xfId="866" xr:uid="{81EACDCD-9EDD-41B6-9F79-E866994845F1}"/>
    <cellStyle name="Normal 17 2 2 2" xfId="2117" xr:uid="{A3033535-E109-409F-A340-0FF0A9BE37A0}"/>
    <cellStyle name="Normal 17 2 2 2 2" xfId="4615" xr:uid="{F5F2F999-2A9A-48FC-AE43-393947EDCF4B}"/>
    <cellStyle name="Normal 17 2 2 2 2 2" xfId="9611" xr:uid="{256659E1-8536-453E-9C78-C3BD831F4D4E}"/>
    <cellStyle name="Normal 17 2 2 2 3" xfId="7113" xr:uid="{BA71E2F9-EA46-4669-AFE7-EA7974543F6B}"/>
    <cellStyle name="Normal 17 2 2 3" xfId="3366" xr:uid="{8EAB083D-743A-4C65-BD41-C7F45C040400}"/>
    <cellStyle name="Normal 17 2 2 3 2" xfId="8362" xr:uid="{D3963B82-F44E-4AE3-BFB1-B8119807F8A2}"/>
    <cellStyle name="Normal 17 2 2 4" xfId="5864" xr:uid="{CB36BC94-5814-4520-B30F-B9342A006964}"/>
    <cellStyle name="Normal 17 2 3" xfId="1179" xr:uid="{50C4C7D0-226B-4BFD-8369-F1E8C62CD60A}"/>
    <cellStyle name="Normal 17 2 3 2" xfId="2429" xr:uid="{28D14AE8-993C-4974-98DD-2E4D398428B4}"/>
    <cellStyle name="Normal 17 2 3 2 2" xfId="4927" xr:uid="{6442C390-38A6-47FC-AE4F-F3AD2C62F900}"/>
    <cellStyle name="Normal 17 2 3 2 2 2" xfId="9923" xr:uid="{893CA8FA-093E-48E8-BB71-7DC65EA3740E}"/>
    <cellStyle name="Normal 17 2 3 2 3" xfId="7425" xr:uid="{B19816B2-6E2E-4009-923B-D8987C9F5D59}"/>
    <cellStyle name="Normal 17 2 3 3" xfId="3678" xr:uid="{C507FFDD-9CCC-428A-818F-0223280CAA01}"/>
    <cellStyle name="Normal 17 2 3 3 2" xfId="8674" xr:uid="{7792776D-3997-4705-BE89-B0FA6B32F161}"/>
    <cellStyle name="Normal 17 2 3 4" xfId="6176" xr:uid="{32DD4995-8D86-4F3D-9A3B-41A218DED304}"/>
    <cellStyle name="Normal 17 2 4" xfId="1525" xr:uid="{CC49A793-4347-421B-A8CE-7815737D9F42}"/>
    <cellStyle name="Normal 17 2 4 2" xfId="2775" xr:uid="{25F8208E-A8AA-46AC-9BF8-D6198947E49B}"/>
    <cellStyle name="Normal 17 2 4 2 2" xfId="5273" xr:uid="{B3608914-4D30-419D-ACE4-A95D797F52C8}"/>
    <cellStyle name="Normal 17 2 4 2 2 2" xfId="10269" xr:uid="{016850B9-8E22-4D3F-AC32-0FEE871476A8}"/>
    <cellStyle name="Normal 17 2 4 2 3" xfId="7771" xr:uid="{CCBBA093-0EDD-47D6-B8F1-75BB41894D8D}"/>
    <cellStyle name="Normal 17 2 4 3" xfId="4024" xr:uid="{21D9EAA0-23CB-4B10-B578-CCB74A131D82}"/>
    <cellStyle name="Normal 17 2 4 3 2" xfId="9020" xr:uid="{23305894-6A9F-45DE-9FE5-0FD4371C97F0}"/>
    <cellStyle name="Normal 17 2 4 4" xfId="6522" xr:uid="{CF38929E-21D4-4388-B494-BB50B5572F49}"/>
    <cellStyle name="Normal 17 2 5" xfId="1856" xr:uid="{449E2027-0955-40B3-984B-7FDA29115BBB}"/>
    <cellStyle name="Normal 17 2 5 2" xfId="4354" xr:uid="{E1739746-3F36-4581-83C8-EAB4AA378F98}"/>
    <cellStyle name="Normal 17 2 5 2 2" xfId="9350" xr:uid="{D3C665C4-ED5B-494E-8811-F19EC0A8EA46}"/>
    <cellStyle name="Normal 17 2 5 3" xfId="6852" xr:uid="{02656000-B3CF-4B87-824C-F2E344A30F05}"/>
    <cellStyle name="Normal 17 2 6" xfId="3105" xr:uid="{184D99CD-5968-4BED-B20B-9175509ED4DE}"/>
    <cellStyle name="Normal 17 2 6 2" xfId="8101" xr:uid="{CC6AA185-C9F3-4D00-B74C-CD54118EBF26}"/>
    <cellStyle name="Normal 17 2 7" xfId="5603" xr:uid="{9DE405E3-DCF4-4B1A-8782-7CBC9BE84122}"/>
    <cellStyle name="Normal 17 2 8" xfId="605" xr:uid="{914EE920-6F3E-46F5-863B-0A6D96E210A2}"/>
    <cellStyle name="Normal 17 3" xfId="375" xr:uid="{85EF2E85-CE5C-47A5-A683-06B7FC1A1148}"/>
    <cellStyle name="Normal 17 3 2" xfId="1296" xr:uid="{75B2E9CD-756B-4C26-A44B-EEE0E2BDD34B}"/>
    <cellStyle name="Normal 17 3 2 2" xfId="2546" xr:uid="{239DC021-544E-4E20-9DAD-5F2864B76E7E}"/>
    <cellStyle name="Normal 17 3 2 2 2" xfId="5044" xr:uid="{15A46F34-E133-449A-8706-2497ED62DDCC}"/>
    <cellStyle name="Normal 17 3 2 2 2 2" xfId="10040" xr:uid="{C7461F5F-E9C3-48F0-9E99-5DC688A6881B}"/>
    <cellStyle name="Normal 17 3 2 2 3" xfId="7542" xr:uid="{7302375F-0046-46D6-845E-810D66C79A79}"/>
    <cellStyle name="Normal 17 3 2 3" xfId="3795" xr:uid="{3B2CAD21-B7A2-4CB5-BB85-3DAB1B2A9B5A}"/>
    <cellStyle name="Normal 17 3 2 3 2" xfId="8791" xr:uid="{FC5BEA46-6EE0-409D-9F0F-59E6087DB5C2}"/>
    <cellStyle name="Normal 17 3 2 4" xfId="6293" xr:uid="{02B20C1E-C807-4D6C-BD41-276D3DD24C48}"/>
    <cellStyle name="Normal 17 3 3" xfId="2234" xr:uid="{0B410FBB-A70D-4D78-A3FF-4D1EAD8FB1BC}"/>
    <cellStyle name="Normal 17 3 3 2" xfId="4732" xr:uid="{EA04DF89-6E97-47D6-A917-D96D8502BE8D}"/>
    <cellStyle name="Normal 17 3 3 2 2" xfId="9728" xr:uid="{F9D6A8CC-C56F-4194-8CAD-8DFC5106C3C6}"/>
    <cellStyle name="Normal 17 3 3 3" xfId="7230" xr:uid="{A94F2FAD-F770-48CA-AED4-36F38FA73942}"/>
    <cellStyle name="Normal 17 3 4" xfId="3483" xr:uid="{15CD65A6-674A-465B-8061-B3D9CEFEC816}"/>
    <cellStyle name="Normal 17 3 4 2" xfId="8479" xr:uid="{DD623A8D-6070-46E7-A6AD-D09C48E98E32}"/>
    <cellStyle name="Normal 17 3 5" xfId="5981" xr:uid="{8D35FF76-8420-43E3-B11D-70E805FF8C62}"/>
    <cellStyle name="Normal 17 3 6" xfId="984" xr:uid="{26968A5B-752C-4DD3-9A20-3CCD8C240966}"/>
    <cellStyle name="Normal 17 4" xfId="710" xr:uid="{2AC11480-C132-4A7E-96D2-202F7E849D91}"/>
    <cellStyle name="Normal 17 4 2" xfId="1961" xr:uid="{E009A90A-5D20-41FA-9D35-B73094E4EE0A}"/>
    <cellStyle name="Normal 17 4 2 2" xfId="4459" xr:uid="{017205A1-2D3C-4448-9C9B-CBD0BE870556}"/>
    <cellStyle name="Normal 17 4 2 2 2" xfId="9455" xr:uid="{140562AD-41BD-45A3-9F9C-8A104F52B27E}"/>
    <cellStyle name="Normal 17 4 2 3" xfId="6957" xr:uid="{DEF851D8-819E-483E-94C3-91EFE39F1ADB}"/>
    <cellStyle name="Normal 17 4 3" xfId="3210" xr:uid="{01186A67-5E93-42CA-8650-4426C8CE2189}"/>
    <cellStyle name="Normal 17 4 3 2" xfId="8206" xr:uid="{ADFB63C5-7807-4FD5-B64D-B499E9910C69}"/>
    <cellStyle name="Normal 17 4 4" xfId="5708" xr:uid="{EBBB600F-3B46-406C-B3D8-A457C2959EB0}"/>
    <cellStyle name="Normal 17 5" xfId="1023" xr:uid="{60F97804-BF4D-4658-BC43-39C338FCA7B5}"/>
    <cellStyle name="Normal 17 5 2" xfId="2273" xr:uid="{1555909A-3D3A-4A5E-A1F0-392A7C44F795}"/>
    <cellStyle name="Normal 17 5 2 2" xfId="4771" xr:uid="{3FC2D5AA-E424-49E5-A190-D40C194E6F7F}"/>
    <cellStyle name="Normal 17 5 2 2 2" xfId="9767" xr:uid="{A62F679A-3573-4D7C-A8C5-310FE7479714}"/>
    <cellStyle name="Normal 17 5 2 3" xfId="7269" xr:uid="{9A50E2A5-EA2B-41D3-B030-B5D72F7338B4}"/>
    <cellStyle name="Normal 17 5 3" xfId="3522" xr:uid="{AC8E5976-9BEA-43BC-81B6-45407E112E43}"/>
    <cellStyle name="Normal 17 5 3 2" xfId="8518" xr:uid="{04D54094-0B1B-4CD2-9199-500DE3F841B1}"/>
    <cellStyle name="Normal 17 5 4" xfId="6020" xr:uid="{2B500471-35D8-4A2E-86BA-CE9533179665}"/>
    <cellStyle name="Normal 17 6" xfId="1370" xr:uid="{5BDDC3CC-6FD7-4685-A752-523D22B59560}"/>
    <cellStyle name="Normal 17 6 2" xfId="2620" xr:uid="{E3FCC2C4-C059-49A1-AC3C-74542739F681}"/>
    <cellStyle name="Normal 17 6 2 2" xfId="5118" xr:uid="{E95840A2-11A6-4052-A7E3-93D492970E71}"/>
    <cellStyle name="Normal 17 6 2 2 2" xfId="10114" xr:uid="{90E8E2AA-1D64-4F75-BCF4-6435D1DCF08A}"/>
    <cellStyle name="Normal 17 6 2 3" xfId="7616" xr:uid="{88EE3CD0-D706-475A-B3C1-609F0E243481}"/>
    <cellStyle name="Normal 17 6 3" xfId="3869" xr:uid="{5B84898F-80EA-4E7C-8309-FCB06AAA8623}"/>
    <cellStyle name="Normal 17 6 3 2" xfId="8865" xr:uid="{84EC3BDD-8F21-426C-8956-FCDD982CF28F}"/>
    <cellStyle name="Normal 17 6 4" xfId="6367" xr:uid="{0258E034-5D10-4DF2-A264-B156B6CA51CC}"/>
    <cellStyle name="Normal 17 7" xfId="1701" xr:uid="{15779FD1-9E47-407C-872E-0B08F7382865}"/>
    <cellStyle name="Normal 17 7 2" xfId="4199" xr:uid="{2AC047A9-DBF1-4D6C-A9D8-0BDC87B89D81}"/>
    <cellStyle name="Normal 17 7 2 2" xfId="9195" xr:uid="{96260858-39E2-4D1F-A457-8C027BA507BD}"/>
    <cellStyle name="Normal 17 7 3" xfId="6697" xr:uid="{1A24DDEC-D95E-4071-A8C9-DC0B99DCC502}"/>
    <cellStyle name="Normal 17 8" xfId="2950" xr:uid="{C782FBAE-562F-4BF3-B34C-39A35252559C}"/>
    <cellStyle name="Normal 17 8 2" xfId="7946" xr:uid="{221E3E56-2B7B-42E4-848E-EEB17F8A4B09}"/>
    <cellStyle name="Normal 17 9" xfId="5448" xr:uid="{3E796B85-8B6B-46C4-8BA4-90F16A03FAB9}"/>
    <cellStyle name="Normal 18" xfId="56" xr:uid="{ADE91C43-FE76-45C6-81F5-0184FEC17D09}"/>
    <cellStyle name="Normal 18 2" xfId="247" xr:uid="{2A7FF24B-CA28-4932-8FBD-C7040782C3E2}"/>
    <cellStyle name="Normal 18 2 2" xfId="867" xr:uid="{977EB299-D89D-43FE-8566-6A1D682889AD}"/>
    <cellStyle name="Normal 18 2 2 2" xfId="2118" xr:uid="{34AC92CE-F4B6-4947-A31D-ED8130454033}"/>
    <cellStyle name="Normal 18 2 2 2 2" xfId="4616" xr:uid="{98A3FBC5-0195-4981-9032-9B741054610E}"/>
    <cellStyle name="Normal 18 2 2 2 2 2" xfId="9612" xr:uid="{EE2BEA9B-D438-46CC-8B24-0BABC3FAADC7}"/>
    <cellStyle name="Normal 18 2 2 2 3" xfId="7114" xr:uid="{69E2B428-23BF-4432-94C1-F962F73D4444}"/>
    <cellStyle name="Normal 18 2 2 3" xfId="3367" xr:uid="{73C55FBA-B9A2-49E0-B764-7B55287A23E1}"/>
    <cellStyle name="Normal 18 2 2 3 2" xfId="8363" xr:uid="{8E40586F-ACDB-45B1-BBDE-136D18A2E668}"/>
    <cellStyle name="Normal 18 2 2 4" xfId="5865" xr:uid="{D57E2FB7-6872-4760-9FA1-BFAB8A59DB0B}"/>
    <cellStyle name="Normal 18 2 3" xfId="1180" xr:uid="{7FB698FF-9FAC-4B95-9F16-287FDDA3EDFE}"/>
    <cellStyle name="Normal 18 2 3 2" xfId="2430" xr:uid="{AC142BF7-81D3-419C-9F45-A82D5867C5CD}"/>
    <cellStyle name="Normal 18 2 3 2 2" xfId="4928" xr:uid="{DEFB6F5B-D492-4497-8620-E6158F77A9F9}"/>
    <cellStyle name="Normal 18 2 3 2 2 2" xfId="9924" xr:uid="{96CDC3FC-9617-4BF8-ADEC-82A948D8F0A1}"/>
    <cellStyle name="Normal 18 2 3 2 3" xfId="7426" xr:uid="{AF81384F-79BE-46BD-9C4F-54472B404E72}"/>
    <cellStyle name="Normal 18 2 3 3" xfId="3679" xr:uid="{06912013-9A6D-4E32-99D2-9DBD9E4FD683}"/>
    <cellStyle name="Normal 18 2 3 3 2" xfId="8675" xr:uid="{4C01D423-3834-4D2E-BD2E-4F86EFCCC735}"/>
    <cellStyle name="Normal 18 2 3 4" xfId="6177" xr:uid="{8A2957FC-B354-4BFB-8D4D-09E666CFB689}"/>
    <cellStyle name="Normal 18 2 4" xfId="1526" xr:uid="{3F0BAAA0-BEEA-486D-8BF5-54A7C6166127}"/>
    <cellStyle name="Normal 18 2 4 2" xfId="2776" xr:uid="{C1772FB4-5CE8-40A0-9034-3C0AEC86DACA}"/>
    <cellStyle name="Normal 18 2 4 2 2" xfId="5274" xr:uid="{59134110-6D16-4574-A115-F292FE9F7412}"/>
    <cellStyle name="Normal 18 2 4 2 2 2" xfId="10270" xr:uid="{703C8161-47E7-42EB-A741-9BDCF648463F}"/>
    <cellStyle name="Normal 18 2 4 2 3" xfId="7772" xr:uid="{9E9CE6D8-87CE-4E49-AC43-787FA76FC4E9}"/>
    <cellStyle name="Normal 18 2 4 3" xfId="4025" xr:uid="{2BECC4CF-D58A-4C7B-AA00-A184B2F0DDBE}"/>
    <cellStyle name="Normal 18 2 4 3 2" xfId="9021" xr:uid="{9504D85F-D659-4D4A-89DC-5624FAFE3A31}"/>
    <cellStyle name="Normal 18 2 4 4" xfId="6523" xr:uid="{76339521-54A0-490C-87CF-B18248C1B7FC}"/>
    <cellStyle name="Normal 18 2 5" xfId="1857" xr:uid="{89FB3CED-4AED-44FA-9653-671E8F5356D2}"/>
    <cellStyle name="Normal 18 2 5 2" xfId="4355" xr:uid="{F60A50C1-98C8-44F5-A11D-A16417FBB583}"/>
    <cellStyle name="Normal 18 2 5 2 2" xfId="9351" xr:uid="{4D41AECD-4B22-4FE5-BE6F-C495E30C875B}"/>
    <cellStyle name="Normal 18 2 5 3" xfId="6853" xr:uid="{7EC06F67-47C8-419D-B94B-730518CFA9A8}"/>
    <cellStyle name="Normal 18 2 6" xfId="3106" xr:uid="{FC8D4735-06D1-4F1E-9E33-3B4BEF8C7C55}"/>
    <cellStyle name="Normal 18 2 6 2" xfId="8102" xr:uid="{5F6DE548-9B14-4458-85EA-765186DDDF3D}"/>
    <cellStyle name="Normal 18 2 7" xfId="5604" xr:uid="{3AFD7606-0BF8-4C5A-A9B4-353B9C94DC06}"/>
    <cellStyle name="Normal 18 2 8" xfId="606" xr:uid="{8C7F5E8B-9C32-43E6-BE60-5E4F0002F82E}"/>
    <cellStyle name="Normal 18 3" xfId="711" xr:uid="{CC669B11-4767-4155-9AA4-5A190BA48007}"/>
    <cellStyle name="Normal 18 3 2" xfId="1962" xr:uid="{5D99BA71-A9FE-4D78-821D-9AEC537722BA}"/>
    <cellStyle name="Normal 18 3 2 2" xfId="4460" xr:uid="{8442D1C5-28CB-40A0-A446-7E1F03F518D2}"/>
    <cellStyle name="Normal 18 3 2 2 2" xfId="9456" xr:uid="{BD066271-E309-41F2-B779-94EE1061D6AF}"/>
    <cellStyle name="Normal 18 3 2 3" xfId="6958" xr:uid="{01B271D5-8F29-4D8F-B0AA-BAB24C1B5899}"/>
    <cellStyle name="Normal 18 3 3" xfId="3211" xr:uid="{DA1D1D67-85B7-46FC-9E64-90B10C779A51}"/>
    <cellStyle name="Normal 18 3 3 2" xfId="8207" xr:uid="{E2321A29-0A23-4251-866B-27FFF8B4E5A1}"/>
    <cellStyle name="Normal 18 3 4" xfId="5709" xr:uid="{36AAB60D-FE53-4C58-A220-B672E07A1324}"/>
    <cellStyle name="Normal 18 4" xfId="1024" xr:uid="{9E41A707-1BFB-4EC1-9FA5-2583FA09B848}"/>
    <cellStyle name="Normal 18 4 2" xfId="2274" xr:uid="{92162894-822C-4220-9571-03323CA70616}"/>
    <cellStyle name="Normal 18 4 2 2" xfId="4772" xr:uid="{5547C4CA-FBB8-484A-8EE0-4DDC1144331D}"/>
    <cellStyle name="Normal 18 4 2 2 2" xfId="9768" xr:uid="{DFCE2A4E-77B7-4254-A782-1F0A9B77FF1C}"/>
    <cellStyle name="Normal 18 4 2 3" xfId="7270" xr:uid="{6371BEF4-C754-4FD9-A0ED-55A40AFEB77D}"/>
    <cellStyle name="Normal 18 4 3" xfId="3523" xr:uid="{6F3DAFD5-0907-4961-820B-38E3AC757A43}"/>
    <cellStyle name="Normal 18 4 3 2" xfId="8519" xr:uid="{36E7776E-5F08-4F4F-885F-01BA82527759}"/>
    <cellStyle name="Normal 18 4 4" xfId="6021" xr:uid="{20A3DD5A-1020-4E73-99E8-3FF43DBE28E1}"/>
    <cellStyle name="Normal 18 5" xfId="1413" xr:uid="{13DD9139-0186-42CB-8403-D133C420A5A2}"/>
    <cellStyle name="Normal 18 5 2" xfId="2663" xr:uid="{DC5F4E61-6E84-4534-9250-C1C0B1C7626B}"/>
    <cellStyle name="Normal 18 5 2 2" xfId="5161" xr:uid="{B647A3E0-E534-44C5-B92D-AED2A767C511}"/>
    <cellStyle name="Normal 18 5 2 2 2" xfId="10157" xr:uid="{AE6158B9-4D79-483D-9133-D8CAD1768F01}"/>
    <cellStyle name="Normal 18 5 2 3" xfId="7659" xr:uid="{BCC44FBF-710A-472A-ABC5-A0F961046FED}"/>
    <cellStyle name="Normal 18 5 3" xfId="3912" xr:uid="{D4A36D08-5ECB-4755-9143-8B58BA9C4764}"/>
    <cellStyle name="Normal 18 5 3 2" xfId="8908" xr:uid="{86ADCB65-A398-48E8-9B9F-A422FA2D8511}"/>
    <cellStyle name="Normal 18 5 4" xfId="6410" xr:uid="{34DFFBD8-571C-4AEB-814C-21425ED2D475}"/>
    <cellStyle name="Normal 18 6" xfId="1744" xr:uid="{6AA27826-0A70-4DF1-A5FB-21773B8A81F5}"/>
    <cellStyle name="Normal 18 6 2" xfId="4242" xr:uid="{C73FF88D-7382-41F6-93D7-C9710D4DFF81}"/>
    <cellStyle name="Normal 18 6 2 2" xfId="9238" xr:uid="{8B1A3ED0-CC50-42AA-8064-90E0477DE6EC}"/>
    <cellStyle name="Normal 18 6 3" xfId="6740" xr:uid="{471AC8FF-30D5-430D-BEB3-46E367D2D846}"/>
    <cellStyle name="Normal 18 7" xfId="2993" xr:uid="{264A4760-39F0-4A08-9CB2-3F069DFBBFAE}"/>
    <cellStyle name="Normal 18 7 2" xfId="7989" xr:uid="{9E68F788-C5E7-4BB6-A624-A108743F5E2E}"/>
    <cellStyle name="Normal 18 8" xfId="5491" xr:uid="{4B9F2513-A926-4B9F-B938-88C3020C0FC9}"/>
    <cellStyle name="Normal 18 9" xfId="493" xr:uid="{6B785098-391B-41E1-BCF2-4F5ECC7F11D4}"/>
    <cellStyle name="Normal 19" xfId="81" xr:uid="{DCE28157-3781-47F3-AE84-A607B28D6601}"/>
    <cellStyle name="Normal 19 2" xfId="248" xr:uid="{F06FB1D9-F059-4E0F-927B-A16548550C33}"/>
    <cellStyle name="Normal 19 2 2" xfId="868" xr:uid="{AC5CFAD5-FD59-4DC6-A195-21AB64FB2C24}"/>
    <cellStyle name="Normal 19 2 2 2" xfId="2119" xr:uid="{75766573-C706-4B23-A1C9-055AC354ACB8}"/>
    <cellStyle name="Normal 19 2 2 2 2" xfId="4617" xr:uid="{798A745C-D988-4AF8-B12C-5CC0EF39B013}"/>
    <cellStyle name="Normal 19 2 2 2 2 2" xfId="9613" xr:uid="{1E43677F-0A38-4309-8649-52621DF7DB9B}"/>
    <cellStyle name="Normal 19 2 2 2 3" xfId="7115" xr:uid="{269D19BA-EB6C-496E-9CC9-B4C48E619D1C}"/>
    <cellStyle name="Normal 19 2 2 3" xfId="3368" xr:uid="{F9693395-3340-49D4-AF16-BE4966EA2A8D}"/>
    <cellStyle name="Normal 19 2 2 3 2" xfId="8364" xr:uid="{967A4512-DFE4-428D-8B07-02AB9829E862}"/>
    <cellStyle name="Normal 19 2 2 4" xfId="5866" xr:uid="{77612EE0-2C08-435E-8157-2AEC2DDEEBF4}"/>
    <cellStyle name="Normal 19 2 3" xfId="1181" xr:uid="{BC330F12-0AD1-4A0C-9E63-D4EFBAEE6199}"/>
    <cellStyle name="Normal 19 2 3 2" xfId="2431" xr:uid="{6EEAD7BE-21D4-4A3E-BEE3-C7317B4A36F9}"/>
    <cellStyle name="Normal 19 2 3 2 2" xfId="4929" xr:uid="{3BB48FDE-F08E-460B-8CBA-407ADB374BDE}"/>
    <cellStyle name="Normal 19 2 3 2 2 2" xfId="9925" xr:uid="{5DF98C14-9588-4CCB-9EEA-C8B09935689C}"/>
    <cellStyle name="Normal 19 2 3 2 3" xfId="7427" xr:uid="{BC5AF483-8D58-4A81-B78B-578F6C078EB4}"/>
    <cellStyle name="Normal 19 2 3 3" xfId="3680" xr:uid="{3FAB3589-BD4E-4FC9-9E64-D98F8F882381}"/>
    <cellStyle name="Normal 19 2 3 3 2" xfId="8676" xr:uid="{85A19B29-7B86-4082-89F2-8E1935B30C0A}"/>
    <cellStyle name="Normal 19 2 3 4" xfId="6178" xr:uid="{0FAA3502-598E-46AF-87B4-77A0CFCF3681}"/>
    <cellStyle name="Normal 19 2 4" xfId="1527" xr:uid="{9DD9E3C7-6EB9-40EA-A722-556223CF8D3E}"/>
    <cellStyle name="Normal 19 2 4 2" xfId="2777" xr:uid="{8AFA1ECB-3B9F-47DA-AC57-32AB41E7E3C9}"/>
    <cellStyle name="Normal 19 2 4 2 2" xfId="5275" xr:uid="{F4D684ED-2BD7-4649-A9F3-F673A9DABC5B}"/>
    <cellStyle name="Normal 19 2 4 2 2 2" xfId="10271" xr:uid="{24BEE578-1ACB-41F4-A613-B34D6BC2C0CD}"/>
    <cellStyle name="Normal 19 2 4 2 3" xfId="7773" xr:uid="{9806BF27-3419-4A93-B017-CF67290C5722}"/>
    <cellStyle name="Normal 19 2 4 3" xfId="4026" xr:uid="{84C17998-7B00-46F6-97CC-9C5554F1B079}"/>
    <cellStyle name="Normal 19 2 4 3 2" xfId="9022" xr:uid="{47BF10A9-72FC-45E3-BE15-C07D070819FE}"/>
    <cellStyle name="Normal 19 2 4 4" xfId="6524" xr:uid="{05CDF750-E364-4249-91F9-AE31F3F318FC}"/>
    <cellStyle name="Normal 19 2 5" xfId="1858" xr:uid="{45EFED52-220C-41A3-95A1-F710E1692C55}"/>
    <cellStyle name="Normal 19 2 5 2" xfId="4356" xr:uid="{640543A4-921C-4F07-BDAC-D4488CCE8FD8}"/>
    <cellStyle name="Normal 19 2 5 2 2" xfId="9352" xr:uid="{EB57976E-483F-4E7B-AE9E-7356DB37CDC7}"/>
    <cellStyle name="Normal 19 2 5 3" xfId="6854" xr:uid="{03FB817D-31C8-4646-ABFD-72A446E8ED45}"/>
    <cellStyle name="Normal 19 2 6" xfId="3107" xr:uid="{6CEED52C-FB4F-4ED9-8A43-82359B7A3BDC}"/>
    <cellStyle name="Normal 19 2 6 2" xfId="8103" xr:uid="{D2453C35-B550-42AB-848B-498714CAF3CD}"/>
    <cellStyle name="Normal 19 2 7" xfId="5605" xr:uid="{D0065A5F-E371-42AC-8F1D-A471EFE34F57}"/>
    <cellStyle name="Normal 19 2 8" xfId="607" xr:uid="{AB172344-B945-4D25-9D90-1B8D3245DBC9}"/>
    <cellStyle name="Normal 19 3" xfId="735" xr:uid="{CDA2BF72-D665-4D35-8612-939C3CF2F7BC}"/>
    <cellStyle name="Normal 19 3 2" xfId="1986" xr:uid="{60AEC875-AF19-437D-A083-A9E7DF28690E}"/>
    <cellStyle name="Normal 19 3 2 2" xfId="4484" xr:uid="{BDAFC4ED-4239-4DD9-863A-01E7801BD418}"/>
    <cellStyle name="Normal 19 3 2 2 2" xfId="9480" xr:uid="{34F1BEBD-9BEB-45D6-B129-21D4B2C945FF}"/>
    <cellStyle name="Normal 19 3 2 3" xfId="6982" xr:uid="{0F962084-A5DC-4864-A10B-956F8E27B753}"/>
    <cellStyle name="Normal 19 3 3" xfId="3235" xr:uid="{6F54331E-0F85-41E7-9686-D8AFB68C1D5C}"/>
    <cellStyle name="Normal 19 3 3 2" xfId="8231" xr:uid="{30A472FC-2831-4FED-84EB-B645A10B229E}"/>
    <cellStyle name="Normal 19 3 4" xfId="5733" xr:uid="{0E73B291-23BE-4394-B932-2FA2A1DE9A95}"/>
    <cellStyle name="Normal 19 4" xfId="1048" xr:uid="{FB01F46A-F863-47AF-BBFD-F9902D386D82}"/>
    <cellStyle name="Normal 19 4 2" xfId="2298" xr:uid="{9CDDB956-1C89-45E7-AF23-F3A314504727}"/>
    <cellStyle name="Normal 19 4 2 2" xfId="4796" xr:uid="{E2C393D7-A295-4EEA-A7F6-19A0DCE7B082}"/>
    <cellStyle name="Normal 19 4 2 2 2" xfId="9792" xr:uid="{CD9DBA82-A163-46B2-A4D3-9328625C0671}"/>
    <cellStyle name="Normal 19 4 2 3" xfId="7294" xr:uid="{05F8E569-B5F1-4B62-9B27-8B76BFAF522F}"/>
    <cellStyle name="Normal 19 4 3" xfId="3547" xr:uid="{A0EDA7FE-9F6D-4CA4-994E-996D0E85395D}"/>
    <cellStyle name="Normal 19 4 3 2" xfId="8543" xr:uid="{7B63C009-73E3-4D52-84B9-7194C55EC5EC}"/>
    <cellStyle name="Normal 19 4 4" xfId="6045" xr:uid="{E747023F-981F-4CEF-A200-606425B94A63}"/>
    <cellStyle name="Normal 19 5" xfId="1414" xr:uid="{89E18B5D-B7A3-4F6C-9D04-8C9303819FB7}"/>
    <cellStyle name="Normal 19 5 2" xfId="2664" xr:uid="{1DF8C247-7B12-44C2-A7BC-AAF8C270D3CE}"/>
    <cellStyle name="Normal 19 5 2 2" xfId="5162" xr:uid="{859B7DCE-0FCC-4B50-9877-93BE2CADCD25}"/>
    <cellStyle name="Normal 19 5 2 2 2" xfId="10158" xr:uid="{86986C4A-CE47-43FB-B227-93846DDD4F24}"/>
    <cellStyle name="Normal 19 5 2 3" xfId="7660" xr:uid="{1F18B831-CB6C-4E43-8369-DF700E2DC2FF}"/>
    <cellStyle name="Normal 19 5 3" xfId="3913" xr:uid="{DD2AD15B-3710-420E-87DD-69C7A5E45B0C}"/>
    <cellStyle name="Normal 19 5 3 2" xfId="8909" xr:uid="{FCFA68A6-3889-4E10-B6BC-9659A8C069E5}"/>
    <cellStyle name="Normal 19 5 4" xfId="6411" xr:uid="{5B553859-3F70-4005-B28E-B3437630F9E0}"/>
    <cellStyle name="Normal 19 6" xfId="1745" xr:uid="{2B50265F-240B-4F8F-8D6E-49317FF1CC68}"/>
    <cellStyle name="Normal 19 6 2" xfId="4243" xr:uid="{84089BEB-926F-489A-80ED-4524D35FEBE1}"/>
    <cellStyle name="Normal 19 6 2 2" xfId="9239" xr:uid="{5E3BCFA3-DE25-4775-B7A2-F6FC4BE53F58}"/>
    <cellStyle name="Normal 19 6 3" xfId="6741" xr:uid="{2D71CD60-1D6B-407C-87D0-147B83D52585}"/>
    <cellStyle name="Normal 19 7" xfId="2994" xr:uid="{4F848284-2E20-4EA4-A835-9AF4B927D259}"/>
    <cellStyle name="Normal 19 7 2" xfId="7990" xr:uid="{E10087DA-6BB0-4151-9BF2-181AAAF70A05}"/>
    <cellStyle name="Normal 19 8" xfId="5492" xr:uid="{11B91542-824B-493B-8824-FC6510DD485E}"/>
    <cellStyle name="Normal 19 9" xfId="494" xr:uid="{842A8E4E-88FF-4649-A27F-46D27321240F}"/>
    <cellStyle name="Normal 2" xfId="5" xr:uid="{00000000-0005-0000-0000-000007000000}"/>
    <cellStyle name="Normal 2 2" xfId="13" xr:uid="{00000000-0005-0000-0000-000008000000}"/>
    <cellStyle name="Normal 2 2 2" xfId="17" xr:uid="{00000000-0005-0000-0000-000009000000}"/>
    <cellStyle name="Normal 2 2 2 2" xfId="249" xr:uid="{D74CE4CB-2277-4A2B-A727-DD6525267487}"/>
    <cellStyle name="Normal 2 3" xfId="15" xr:uid="{00000000-0005-0000-0000-00000A000000}"/>
    <cellStyle name="Normal 2 3 2" xfId="251" xr:uid="{86533EFD-F677-447B-8A1C-4EC0140ECDCF}"/>
    <cellStyle name="Normal 2 3 2 2" xfId="870" xr:uid="{AE274BF5-37AC-43D8-97CB-158ADDAC96C3}"/>
    <cellStyle name="Normal 2 3 2 2 2" xfId="2121" xr:uid="{1303841E-6AD0-459A-9836-842C08473C7E}"/>
    <cellStyle name="Normal 2 3 2 2 2 2" xfId="4619" xr:uid="{BC8FC5D2-E4D8-4E2B-A614-91FB63753C54}"/>
    <cellStyle name="Normal 2 3 2 2 2 2 2" xfId="9615" xr:uid="{65EECA99-8631-4B12-8144-BE9666F4EA87}"/>
    <cellStyle name="Normal 2 3 2 2 2 3" xfId="7117" xr:uid="{97FAE56B-478B-4944-B49D-86BFE87561CE}"/>
    <cellStyle name="Normal 2 3 2 2 3" xfId="3370" xr:uid="{0EACED37-8639-48F5-8D3A-F1AD4C0A095D}"/>
    <cellStyle name="Normal 2 3 2 2 3 2" xfId="8366" xr:uid="{69437537-F913-4418-A68F-2C1392DB9D50}"/>
    <cellStyle name="Normal 2 3 2 2 4" xfId="5868" xr:uid="{86DE4DE8-C3BF-47D8-8C6A-A8A262909D38}"/>
    <cellStyle name="Normal 2 3 2 3" xfId="1183" xr:uid="{9460664E-7D79-48D9-B453-95CD5A2D03DE}"/>
    <cellStyle name="Normal 2 3 2 3 2" xfId="2433" xr:uid="{BFE5C84A-A096-4E56-BE20-979F104BF1F2}"/>
    <cellStyle name="Normal 2 3 2 3 2 2" xfId="4931" xr:uid="{7B5F2003-CB22-4C29-95D9-7516776C507C}"/>
    <cellStyle name="Normal 2 3 2 3 2 2 2" xfId="9927" xr:uid="{5267A6F1-C3D1-43DB-9C3C-C6C405ACB473}"/>
    <cellStyle name="Normal 2 3 2 3 2 3" xfId="7429" xr:uid="{BC65D319-F33C-497A-A8E8-30E3A680D617}"/>
    <cellStyle name="Normal 2 3 2 3 3" xfId="3682" xr:uid="{433071FB-AF41-422F-B092-937E08F85B96}"/>
    <cellStyle name="Normal 2 3 2 3 3 2" xfId="8678" xr:uid="{6D8990EB-EC81-4139-8547-4B5420849250}"/>
    <cellStyle name="Normal 2 3 2 3 4" xfId="6180" xr:uid="{EFEFC2F8-A7E2-4264-AFD0-2DD33A6E8F94}"/>
    <cellStyle name="Normal 2 3 2 4" xfId="1528" xr:uid="{700CE1A0-3859-4A69-B74B-39008E39939F}"/>
    <cellStyle name="Normal 2 3 2 4 2" xfId="2778" xr:uid="{42BA3FDE-162A-4D1E-9561-2A10DDD6D147}"/>
    <cellStyle name="Normal 2 3 2 4 2 2" xfId="5276" xr:uid="{B025CB8B-0F1A-4DB9-B6DC-73DBC3BAF67B}"/>
    <cellStyle name="Normal 2 3 2 4 2 2 2" xfId="10272" xr:uid="{43730073-F398-419B-8406-884D90C24CA9}"/>
    <cellStyle name="Normal 2 3 2 4 2 3" xfId="7774" xr:uid="{6A309D01-1A9B-44BF-8CC3-9D4510747E06}"/>
    <cellStyle name="Normal 2 3 2 4 3" xfId="4027" xr:uid="{B307FC5A-4A80-40AF-8D37-FB6617D9AB6C}"/>
    <cellStyle name="Normal 2 3 2 4 3 2" xfId="9023" xr:uid="{FD7BB70B-815E-4F10-91C6-C1AA5289ED11}"/>
    <cellStyle name="Normal 2 3 2 4 4" xfId="6525" xr:uid="{EC83A128-35E8-420A-8233-28B6F11BBD50}"/>
    <cellStyle name="Normal 2 3 2 5" xfId="1859" xr:uid="{99CEEB4A-6F4E-4ED4-ADED-9E806B6215B5}"/>
    <cellStyle name="Normal 2 3 2 5 2" xfId="4357" xr:uid="{BD7BE065-BF0E-4D37-8D13-03AEB16E542C}"/>
    <cellStyle name="Normal 2 3 2 5 2 2" xfId="9353" xr:uid="{665267FB-29B9-43E1-B9A7-F9AA73F62DB0}"/>
    <cellStyle name="Normal 2 3 2 5 3" xfId="6855" xr:uid="{A001125F-1B9E-4D25-B852-BD0F4407B728}"/>
    <cellStyle name="Normal 2 3 2 6" xfId="3108" xr:uid="{509BD110-0363-4E9A-82AB-2F242971B4EA}"/>
    <cellStyle name="Normal 2 3 2 6 2" xfId="8104" xr:uid="{7CCACC9C-5BED-4384-8234-DE915B969066}"/>
    <cellStyle name="Normal 2 3 2 7" xfId="5606" xr:uid="{10ADF646-B639-498F-A30B-8A8F84327534}"/>
    <cellStyle name="Normal 2 3 2 8" xfId="608" xr:uid="{DD9DC9AF-4599-4A30-98BC-443A21605F1C}"/>
    <cellStyle name="Normal 2 3 3" xfId="250" xr:uid="{22CC8B4A-F722-4E14-96DF-C27E42301D6C}"/>
    <cellStyle name="Normal 2 3 3 2" xfId="2120" xr:uid="{FD416584-B9D4-4781-AB7F-BE938C20E1D4}"/>
    <cellStyle name="Normal 2 3 3 2 2" xfId="4618" xr:uid="{3D0C4883-6C45-47EF-B6DA-00DA85942CC4}"/>
    <cellStyle name="Normal 2 3 3 2 2 2" xfId="9614" xr:uid="{A855E1CA-7E73-46AF-866B-CFDCE91D97C2}"/>
    <cellStyle name="Normal 2 3 3 2 3" xfId="7116" xr:uid="{EDEC52B8-B2E9-47BE-B4D8-941D1AC53F32}"/>
    <cellStyle name="Normal 2 3 3 3" xfId="3369" xr:uid="{89CF6290-E7C6-4679-AAEF-4E7A46AF0F97}"/>
    <cellStyle name="Normal 2 3 3 3 2" xfId="8365" xr:uid="{558115BC-74A7-49D3-A1AD-AF6C7BE5782E}"/>
    <cellStyle name="Normal 2 3 3 4" xfId="5867" xr:uid="{394B9813-1143-4D6A-A1C4-285A6991F825}"/>
    <cellStyle name="Normal 2 3 3 5" xfId="869" xr:uid="{C72A133D-9146-481E-B3FF-6101F6937BDC}"/>
    <cellStyle name="Normal 2 3 4" xfId="1182" xr:uid="{165785AD-E90A-4B41-884E-D9780D53F6FD}"/>
    <cellStyle name="Normal 2 3 4 2" xfId="2432" xr:uid="{B255F9B3-D275-4F52-936B-841BC18DA500}"/>
    <cellStyle name="Normal 2 3 4 2 2" xfId="4930" xr:uid="{97082410-FDF4-47EB-BEBE-0C13D0773E01}"/>
    <cellStyle name="Normal 2 3 4 2 2 2" xfId="9926" xr:uid="{709AD50C-0C6D-4554-B24C-ED97E8B27D7A}"/>
    <cellStyle name="Normal 2 3 4 2 3" xfId="7428" xr:uid="{D1772484-16D7-467E-B7F3-BC20BCE96DFB}"/>
    <cellStyle name="Normal 2 3 4 3" xfId="3681" xr:uid="{7AEF416B-0D87-4A08-9EFA-5ABC5F3024C2}"/>
    <cellStyle name="Normal 2 3 4 3 2" xfId="8677" xr:uid="{8B7D358C-C1FA-4EFA-A8B3-C9C2844DAD25}"/>
    <cellStyle name="Normal 2 3 4 4" xfId="6179" xr:uid="{B26D5F57-133A-4887-B07B-6650B8734862}"/>
    <cellStyle name="Normal 2 3 5" xfId="1345" xr:uid="{8AD121DA-25D4-4E13-ABBD-098CDC3BF5FF}"/>
    <cellStyle name="Normal 2 3 5 2" xfId="2595" xr:uid="{17338EF6-255A-4C94-A425-2034F367B269}"/>
    <cellStyle name="Normal 2 3 5 2 2" xfId="5093" xr:uid="{81A76723-C92C-4DB9-85CB-187F89C137CB}"/>
    <cellStyle name="Normal 2 3 5 2 2 2" xfId="10089" xr:uid="{FE54BE68-5636-470C-A902-C0C4EA6AEAA3}"/>
    <cellStyle name="Normal 2 3 5 2 3" xfId="7591" xr:uid="{82FB31EA-40B8-4DFE-AC38-A6516566321C}"/>
    <cellStyle name="Normal 2 3 5 3" xfId="3844" xr:uid="{635F8120-F484-4AFC-A646-FD3FDA81E89D}"/>
    <cellStyle name="Normal 2 3 5 3 2" xfId="8840" xr:uid="{60E2913B-26C1-4958-A849-CCF713F4B939}"/>
    <cellStyle name="Normal 2 3 5 4" xfId="6342" xr:uid="{D0487A87-85D6-4F4F-98C1-1A6CCEBD8028}"/>
    <cellStyle name="Normal 2 3 6" xfId="1676" xr:uid="{F5F02978-487A-4BBC-968E-F9EAC95FA0D4}"/>
    <cellStyle name="Normal 2 3 6 2" xfId="4174" xr:uid="{131EBE75-FE34-4D9D-AA9A-BB1C4DD99E9B}"/>
    <cellStyle name="Normal 2 3 6 2 2" xfId="9170" xr:uid="{8AED7B76-C4FB-43AA-B93F-03A4641B54F1}"/>
    <cellStyle name="Normal 2 3 6 3" xfId="6672" xr:uid="{A58839DC-AEC0-4856-8650-9867A79CBDDD}"/>
    <cellStyle name="Normal 2 3 7" xfId="2925" xr:uid="{10B557E3-85EE-42F1-8E54-ED8B03814EF6}"/>
    <cellStyle name="Normal 2 3 7 2" xfId="7921" xr:uid="{1B1F4CC5-175F-4A7B-AC4D-CF34F65BF9B6}"/>
    <cellStyle name="Normal 2 3 8" xfId="5423" xr:uid="{CDAD180E-BE40-4F22-8DA8-5F4EE5BF932B}"/>
    <cellStyle name="Normal 2 3 9" xfId="425" xr:uid="{3DEE0C74-6B42-423F-8756-EA3E798255C7}"/>
    <cellStyle name="Normal 2 4" xfId="252" xr:uid="{2147F1AF-4082-4593-8A70-CB5A36B43271}"/>
    <cellStyle name="Normal 2 4 2" xfId="253" xr:uid="{5ABB2618-4613-4F31-85E9-E513002A2DDD}"/>
    <cellStyle name="Normal 2 4 2 2" xfId="872" xr:uid="{1DAE2910-4634-493C-B13E-3EC7F6E9F5CD}"/>
    <cellStyle name="Normal 2 4 2 2 2" xfId="2123" xr:uid="{615D3745-2E9B-4D02-9AA8-8650F1320C00}"/>
    <cellStyle name="Normal 2 4 2 2 2 2" xfId="4621" xr:uid="{7F0CA929-8DDD-4589-949E-20575CE93BE0}"/>
    <cellStyle name="Normal 2 4 2 2 2 2 2" xfId="9617" xr:uid="{C5CC6E9A-1568-40A6-8C28-72FF492F2244}"/>
    <cellStyle name="Normal 2 4 2 2 2 3" xfId="7119" xr:uid="{4AC60D4B-3FBD-49F3-BE81-AC134E6A35CF}"/>
    <cellStyle name="Normal 2 4 2 2 3" xfId="3372" xr:uid="{2C48C9C5-A344-4333-8995-07770AE64122}"/>
    <cellStyle name="Normal 2 4 2 2 3 2" xfId="8368" xr:uid="{763BF22E-E639-42AA-926C-C049B19A4A37}"/>
    <cellStyle name="Normal 2 4 2 2 4" xfId="5870" xr:uid="{D3583DEF-F2CE-4D06-BE86-FA5FB6A7CF32}"/>
    <cellStyle name="Normal 2 4 2 3" xfId="1185" xr:uid="{C0264212-AA4E-4A80-9895-A859E8FB54CD}"/>
    <cellStyle name="Normal 2 4 2 3 2" xfId="2435" xr:uid="{911F6803-0595-4EC6-AF22-8CAFB9348AC2}"/>
    <cellStyle name="Normal 2 4 2 3 2 2" xfId="4933" xr:uid="{319BDB62-7696-40B9-A4A3-877D78580235}"/>
    <cellStyle name="Normal 2 4 2 3 2 2 2" xfId="9929" xr:uid="{0F7E8A48-24C1-4C83-A98D-1D598EF91497}"/>
    <cellStyle name="Normal 2 4 2 3 2 3" xfId="7431" xr:uid="{667C6586-A0B2-43A7-886A-CB91092EE711}"/>
    <cellStyle name="Normal 2 4 2 3 3" xfId="3684" xr:uid="{DC00EC97-20C0-47BC-9867-13E01809B9AB}"/>
    <cellStyle name="Normal 2 4 2 3 3 2" xfId="8680" xr:uid="{FB38A0D3-F33F-4208-9647-56170344E7E4}"/>
    <cellStyle name="Normal 2 4 2 3 4" xfId="6182" xr:uid="{B9D25BE1-9900-4729-A1C1-8D39B70E568C}"/>
    <cellStyle name="Normal 2 4 2 4" xfId="1529" xr:uid="{B6935113-7548-4D7F-ADED-3C74F98F3630}"/>
    <cellStyle name="Normal 2 4 2 4 2" xfId="2779" xr:uid="{CDF2A0D7-73F7-4EB1-861E-2783CC0C7FF5}"/>
    <cellStyle name="Normal 2 4 2 4 2 2" xfId="5277" xr:uid="{1C1DAEC2-51FA-485E-A5C5-945E25F0346E}"/>
    <cellStyle name="Normal 2 4 2 4 2 2 2" xfId="10273" xr:uid="{08274446-A088-4E29-8CD5-F8AD0560F5E7}"/>
    <cellStyle name="Normal 2 4 2 4 2 3" xfId="7775" xr:uid="{F6243F28-9878-407C-AEF2-CB0D45816232}"/>
    <cellStyle name="Normal 2 4 2 4 3" xfId="4028" xr:uid="{D4AE569D-736D-4704-B320-512EA7915F76}"/>
    <cellStyle name="Normal 2 4 2 4 3 2" xfId="9024" xr:uid="{7B16D28D-65CE-4BED-8F94-3E0F3DD8E624}"/>
    <cellStyle name="Normal 2 4 2 4 4" xfId="6526" xr:uid="{13DE6306-53BE-457B-BA53-5FEF9CE45C26}"/>
    <cellStyle name="Normal 2 4 2 5" xfId="1860" xr:uid="{A5122586-C04B-40B7-8CD9-B9BB340A7707}"/>
    <cellStyle name="Normal 2 4 2 5 2" xfId="4358" xr:uid="{AC2F11E8-B7A1-4C6E-8622-A2680E3EB476}"/>
    <cellStyle name="Normal 2 4 2 5 2 2" xfId="9354" xr:uid="{121E6DA2-90A6-4EC1-8DEA-67A6ED1A296B}"/>
    <cellStyle name="Normal 2 4 2 5 3" xfId="6856" xr:uid="{D9110371-8279-4891-AEBB-1D296DE2ECD1}"/>
    <cellStyle name="Normal 2 4 2 6" xfId="3109" xr:uid="{F803C5E5-8BD3-4512-AC17-534833A398E6}"/>
    <cellStyle name="Normal 2 4 2 6 2" xfId="8105" xr:uid="{D9672F8F-98AD-4843-93DD-044BFF7DC276}"/>
    <cellStyle name="Normal 2 4 2 7" xfId="5607" xr:uid="{E77C4058-5ED6-4C1B-9496-7307584D0675}"/>
    <cellStyle name="Normal 2 4 2 8" xfId="609" xr:uid="{F78EE7E2-CC14-4122-B20B-A74B3FB4A274}"/>
    <cellStyle name="Normal 2 4 3" xfId="871" xr:uid="{32D24EE0-14ED-4887-9771-AF57369EF756}"/>
    <cellStyle name="Normal 2 4 3 2" xfId="2122" xr:uid="{1A43B8DC-9AA4-4FFC-B63A-DE5502B89C57}"/>
    <cellStyle name="Normal 2 4 3 2 2" xfId="4620" xr:uid="{8F570C9B-9194-4BA8-AB38-9A73744DF74C}"/>
    <cellStyle name="Normal 2 4 3 2 2 2" xfId="9616" xr:uid="{F03740BD-D7E3-4769-B4A0-9B9EA9E41F47}"/>
    <cellStyle name="Normal 2 4 3 2 3" xfId="7118" xr:uid="{69F7B456-B46F-4C4C-B4E5-01272374B92A}"/>
    <cellStyle name="Normal 2 4 3 3" xfId="3371" xr:uid="{0ED6EACE-0698-4C4B-8EAD-9C484284415D}"/>
    <cellStyle name="Normal 2 4 3 3 2" xfId="8367" xr:uid="{DBC1617C-909D-40A0-9B82-2330870990C5}"/>
    <cellStyle name="Normal 2 4 3 4" xfId="5869" xr:uid="{9C760889-2F0E-47C1-861F-5323FF389405}"/>
    <cellStyle name="Normal 2 4 4" xfId="1184" xr:uid="{EA041E64-8D6D-49CA-9E2E-DCBB06BE2282}"/>
    <cellStyle name="Normal 2 4 4 2" xfId="2434" xr:uid="{3961EA0B-050D-4F22-BE84-09388070BB27}"/>
    <cellStyle name="Normal 2 4 4 2 2" xfId="4932" xr:uid="{4B7CC10D-207C-43AF-9A4A-D12640EAA83A}"/>
    <cellStyle name="Normal 2 4 4 2 2 2" xfId="9928" xr:uid="{FF60C36E-7F78-4A58-B68F-049E2BB763F2}"/>
    <cellStyle name="Normal 2 4 4 2 3" xfId="7430" xr:uid="{F324C570-4BEE-4934-8A63-9533EF64C931}"/>
    <cellStyle name="Normal 2 4 4 3" xfId="3683" xr:uid="{83406DD6-E22B-42F2-8815-680A867D72F6}"/>
    <cellStyle name="Normal 2 4 4 3 2" xfId="8679" xr:uid="{4C3C687E-E0EC-423D-98CA-A5F690D5B343}"/>
    <cellStyle name="Normal 2 4 4 4" xfId="6181" xr:uid="{2CF4630F-0D91-446F-8E30-1D90CAAE12D7}"/>
    <cellStyle name="Normal 2 4 5" xfId="1346" xr:uid="{CE706A45-FC08-4F3A-A053-F429065F1BF0}"/>
    <cellStyle name="Normal 2 4 5 2" xfId="2596" xr:uid="{F3E1005A-DE19-4886-B299-9A7F5F99A138}"/>
    <cellStyle name="Normal 2 4 5 2 2" xfId="5094" xr:uid="{A8F6A087-2505-4E7E-A27C-6EE8F6F07C1A}"/>
    <cellStyle name="Normal 2 4 5 2 2 2" xfId="10090" xr:uid="{2BFD88EE-8AAB-43F5-94B6-4034A558D32D}"/>
    <cellStyle name="Normal 2 4 5 2 3" xfId="7592" xr:uid="{8FD0028E-D4F9-4F83-9C72-706F0FE66434}"/>
    <cellStyle name="Normal 2 4 5 3" xfId="3845" xr:uid="{DABFC828-D627-49FA-B836-615C6C8EC2D4}"/>
    <cellStyle name="Normal 2 4 5 3 2" xfId="8841" xr:uid="{A13835E5-8FD2-4BF2-BA85-AE17F3DF2415}"/>
    <cellStyle name="Normal 2 4 5 4" xfId="6343" xr:uid="{A3723275-B834-40A2-A849-1C47CC943EC6}"/>
    <cellStyle name="Normal 2 4 6" xfId="1677" xr:uid="{F4E670D0-226C-40AE-924C-BB31578978E3}"/>
    <cellStyle name="Normal 2 4 6 2" xfId="4175" xr:uid="{3E910503-834B-406A-80D2-488B20B945BA}"/>
    <cellStyle name="Normal 2 4 6 2 2" xfId="9171" xr:uid="{BC13B520-DEC8-4353-90FD-D29BF6FAA025}"/>
    <cellStyle name="Normal 2 4 6 3" xfId="6673" xr:uid="{D2301675-C252-4C93-AA72-A9B6964F709D}"/>
    <cellStyle name="Normal 2 4 7" xfId="2926" xr:uid="{25B8BF7A-4A08-435C-862D-63EFD746F244}"/>
    <cellStyle name="Normal 2 4 7 2" xfId="7922" xr:uid="{41213FAC-9AAB-4866-8273-0DA1148D063B}"/>
    <cellStyle name="Normal 2 4 8" xfId="5424" xr:uid="{85D53C51-896E-48CD-BED6-529E589D7803}"/>
    <cellStyle name="Normal 2 4 9" xfId="426" xr:uid="{ECD38CD1-6B7D-4410-A0B1-7ECCA3F7BBF6}"/>
    <cellStyle name="Normal 2 5" xfId="254" xr:uid="{D1A62A7F-E42A-43FD-B542-D0F84D5F6ADC}"/>
    <cellStyle name="Normal 2 5 2" xfId="255" xr:uid="{7B1243EB-68A6-4F8C-BAEC-534E3FFABAC4}"/>
    <cellStyle name="Normal 2 5 2 2" xfId="874" xr:uid="{E49AB8DC-1A9D-41A5-8F06-703B5E839866}"/>
    <cellStyle name="Normal 2 5 2 2 2" xfId="2125" xr:uid="{DA72A1C1-21AC-44B1-B159-E6CC90724AF5}"/>
    <cellStyle name="Normal 2 5 2 2 2 2" xfId="4623" xr:uid="{95F57B65-E78E-493F-970A-FA6C39B551BE}"/>
    <cellStyle name="Normal 2 5 2 2 2 2 2" xfId="9619" xr:uid="{0FE4CBB5-16B7-4247-AA68-8919BD89D8B5}"/>
    <cellStyle name="Normal 2 5 2 2 2 3" xfId="7121" xr:uid="{276B2348-5E2C-4815-8F35-D70BDA28C27C}"/>
    <cellStyle name="Normal 2 5 2 2 3" xfId="3374" xr:uid="{4AAA2705-674E-42EE-A8F9-A03852144ED2}"/>
    <cellStyle name="Normal 2 5 2 2 3 2" xfId="8370" xr:uid="{D2E6E8BF-7D7A-4345-B3CD-DC4562905909}"/>
    <cellStyle name="Normal 2 5 2 2 4" xfId="5872" xr:uid="{F744F664-1DE2-4A52-8EAB-06DA8976A3BC}"/>
    <cellStyle name="Normal 2 5 2 3" xfId="1187" xr:uid="{38325115-7F66-4C41-B776-5635C704FCF9}"/>
    <cellStyle name="Normal 2 5 2 3 2" xfId="2437" xr:uid="{AC6A7B79-5B19-441D-8AE2-2E4475D35247}"/>
    <cellStyle name="Normal 2 5 2 3 2 2" xfId="4935" xr:uid="{599EB55C-3937-41E6-B22E-2D6BD5085DA7}"/>
    <cellStyle name="Normal 2 5 2 3 2 2 2" xfId="9931" xr:uid="{1F5AC43D-E180-4043-96D5-5ABE61AA8AE2}"/>
    <cellStyle name="Normal 2 5 2 3 2 3" xfId="7433" xr:uid="{7373B090-41D8-40ED-A9D5-5E9CB4F5EF69}"/>
    <cellStyle name="Normal 2 5 2 3 3" xfId="3686" xr:uid="{DA847089-9665-4AD3-99A5-4054E8B1C5EB}"/>
    <cellStyle name="Normal 2 5 2 3 3 2" xfId="8682" xr:uid="{AEC74CE7-4D87-4128-A90C-DE86EBAC1993}"/>
    <cellStyle name="Normal 2 5 2 3 4" xfId="6184" xr:uid="{15885297-BAB7-487E-A015-736C62A41548}"/>
    <cellStyle name="Normal 2 5 2 4" xfId="1530" xr:uid="{C17B9434-8A16-4717-9466-7C5685DB43AC}"/>
    <cellStyle name="Normal 2 5 2 4 2" xfId="2780" xr:uid="{A9D6D89C-BB9C-4540-8644-0A714E7AF513}"/>
    <cellStyle name="Normal 2 5 2 4 2 2" xfId="5278" xr:uid="{D7E0C3F7-30DF-495F-89F3-18B418227609}"/>
    <cellStyle name="Normal 2 5 2 4 2 2 2" xfId="10274" xr:uid="{32496245-2B2A-4692-9532-58D9C93A7046}"/>
    <cellStyle name="Normal 2 5 2 4 2 3" xfId="7776" xr:uid="{A6D3C484-132A-4633-8A37-7DDCF36880CE}"/>
    <cellStyle name="Normal 2 5 2 4 3" xfId="4029" xr:uid="{3881325E-C6D2-439A-B43A-644966E0AA9D}"/>
    <cellStyle name="Normal 2 5 2 4 3 2" xfId="9025" xr:uid="{912D8B21-DD9A-4801-8E8D-E7D039BA6BBD}"/>
    <cellStyle name="Normal 2 5 2 4 4" xfId="6527" xr:uid="{34B6B5DB-C46E-4AB2-AC36-E758696DE8E4}"/>
    <cellStyle name="Normal 2 5 2 5" xfId="1861" xr:uid="{0EF00804-7E51-4D7A-A232-47DE4FDB667E}"/>
    <cellStyle name="Normal 2 5 2 5 2" xfId="4359" xr:uid="{89DF97A0-6F47-4019-9BCF-5AC8A2075E8D}"/>
    <cellStyle name="Normal 2 5 2 5 2 2" xfId="9355" xr:uid="{F1279890-7DBD-4B59-BD2C-3CF33EE63EEE}"/>
    <cellStyle name="Normal 2 5 2 5 3" xfId="6857" xr:uid="{56FD44C1-4B9B-4604-9217-C23D4933BFD4}"/>
    <cellStyle name="Normal 2 5 2 6" xfId="3110" xr:uid="{B329B4E3-0549-4EB7-A34D-FE61FA285300}"/>
    <cellStyle name="Normal 2 5 2 6 2" xfId="8106" xr:uid="{9A9B909E-9260-4084-B934-445D74042A62}"/>
    <cellStyle name="Normal 2 5 2 7" xfId="5608" xr:uid="{AED68AEA-9101-4D2F-BEAE-1AD3291E90FF}"/>
    <cellStyle name="Normal 2 5 2 8" xfId="610" xr:uid="{6C314939-21F4-47D4-8272-BE8074F6CDAB}"/>
    <cellStyle name="Normal 2 5 3" xfId="873" xr:uid="{C3A8AF3A-BA7B-4CB3-9FB7-F90A897610B6}"/>
    <cellStyle name="Normal 2 5 3 2" xfId="2124" xr:uid="{262D3B8A-C9FA-4E17-B98E-7A55F319E131}"/>
    <cellStyle name="Normal 2 5 3 2 2" xfId="4622" xr:uid="{56168842-6CA8-4CC6-BCFF-D8049ADADF6B}"/>
    <cellStyle name="Normal 2 5 3 2 2 2" xfId="9618" xr:uid="{949ECDE6-4DE4-43B2-8F4E-8E9FC59B59CE}"/>
    <cellStyle name="Normal 2 5 3 2 3" xfId="7120" xr:uid="{0601597E-B708-417F-86E6-B6DB640F7AF2}"/>
    <cellStyle name="Normal 2 5 3 3" xfId="3373" xr:uid="{22D9D0CC-EFBB-48C7-B211-231B972BAC42}"/>
    <cellStyle name="Normal 2 5 3 3 2" xfId="8369" xr:uid="{31D4F34E-8912-415B-A857-A7E5FA1D4473}"/>
    <cellStyle name="Normal 2 5 3 4" xfId="5871" xr:uid="{51720833-CCCB-4798-8CF1-421F4E5D636B}"/>
    <cellStyle name="Normal 2 5 4" xfId="1186" xr:uid="{106C56FE-7EA4-4C47-A678-E13018E2BC13}"/>
    <cellStyle name="Normal 2 5 4 2" xfId="2436" xr:uid="{AC6E6A7A-5E6F-4E79-BE5F-472B248FFA66}"/>
    <cellStyle name="Normal 2 5 4 2 2" xfId="4934" xr:uid="{AC7E2B6E-5EC5-4763-983C-191D7CE517A6}"/>
    <cellStyle name="Normal 2 5 4 2 2 2" xfId="9930" xr:uid="{6465D8D9-6778-4FC0-98B8-A91F09E32A94}"/>
    <cellStyle name="Normal 2 5 4 2 3" xfId="7432" xr:uid="{88FDF6CE-394E-40D0-8B95-1D87EDD772F7}"/>
    <cellStyle name="Normal 2 5 4 3" xfId="3685" xr:uid="{B602CF6A-3F45-477A-8EFE-A1B0B60C3594}"/>
    <cellStyle name="Normal 2 5 4 3 2" xfId="8681" xr:uid="{44D49182-0F50-438E-AE01-EF5177623C0F}"/>
    <cellStyle name="Normal 2 5 4 4" xfId="6183" xr:uid="{760534F0-B4C6-4BC7-868E-4405F22BE5C3}"/>
    <cellStyle name="Normal 2 5 5" xfId="1363" xr:uid="{05769E1F-A3BF-48D7-A8CC-392D7199AE8E}"/>
    <cellStyle name="Normal 2 5 5 2" xfId="2613" xr:uid="{8511F410-9BB9-448A-A424-96AFB5A17AC2}"/>
    <cellStyle name="Normal 2 5 5 2 2" xfId="5111" xr:uid="{0B91762B-DA6A-4058-B1DC-51DE5FD642EA}"/>
    <cellStyle name="Normal 2 5 5 2 2 2" xfId="10107" xr:uid="{82EE5462-40AA-4A53-B8AD-84C8949AC232}"/>
    <cellStyle name="Normal 2 5 5 2 3" xfId="7609" xr:uid="{19C5FD3E-6970-4FB5-BEBC-2F56BB0AA903}"/>
    <cellStyle name="Normal 2 5 5 3" xfId="3862" xr:uid="{262CD477-23FE-4A91-908D-A20A9CDD163B}"/>
    <cellStyle name="Normal 2 5 5 3 2" xfId="8858" xr:uid="{3D10BFED-B89D-4470-860C-BDB2B6B91C9F}"/>
    <cellStyle name="Normal 2 5 5 4" xfId="6360" xr:uid="{33617AE9-C09D-46F1-A5A0-FCB1C6AD4A1B}"/>
    <cellStyle name="Normal 2 5 6" xfId="1694" xr:uid="{3C64DC10-0B47-4F10-A25A-30BBC9ABDED3}"/>
    <cellStyle name="Normal 2 5 6 2" xfId="4192" xr:uid="{E9D6CAD5-358B-4C0E-859B-A59071F9D3AA}"/>
    <cellStyle name="Normal 2 5 6 2 2" xfId="9188" xr:uid="{D35D38D7-CC34-4097-B21E-5B427AB1011F}"/>
    <cellStyle name="Normal 2 5 6 3" xfId="6690" xr:uid="{E9782511-FA94-4D11-ACD9-AACAD2A90430}"/>
    <cellStyle name="Normal 2 5 7" xfId="2943" xr:uid="{8CE98E3E-C743-4E5B-8E74-2B3808DCBB6B}"/>
    <cellStyle name="Normal 2 5 7 2" xfId="7939" xr:uid="{02BAF466-90B1-4889-B40E-5AE2C188FC73}"/>
    <cellStyle name="Normal 2 5 8" xfId="5441" xr:uid="{0EE26813-B4B6-4AB4-A252-730F433D1F91}"/>
    <cellStyle name="Normal 2 5 9" xfId="443" xr:uid="{BC3EB83F-D944-4550-BFFA-65526CEA284F}"/>
    <cellStyle name="Normal 20" xfId="105" xr:uid="{55F5866F-9585-44CA-9B65-1B401541E551}"/>
    <cellStyle name="Normal 20 2" xfId="256" xr:uid="{92500915-3141-4B8F-A4F1-1DED19C4CED7}"/>
    <cellStyle name="Normal 20 2 2" xfId="875" xr:uid="{B4455251-B75B-4D49-AF77-6733E7E3B927}"/>
    <cellStyle name="Normal 20 2 2 2" xfId="2126" xr:uid="{F77B911D-6C44-4373-9FAC-72DDBC971C46}"/>
    <cellStyle name="Normal 20 2 2 2 2" xfId="4624" xr:uid="{6F1974AE-5248-488A-B458-653C6CDB1E0E}"/>
    <cellStyle name="Normal 20 2 2 2 2 2" xfId="9620" xr:uid="{D12281CD-E956-4ADB-B263-19857DA0F521}"/>
    <cellStyle name="Normal 20 2 2 2 3" xfId="7122" xr:uid="{1582B500-F276-4B66-B39D-0FEF9A1D77CD}"/>
    <cellStyle name="Normal 20 2 2 3" xfId="3375" xr:uid="{495BBA50-A637-4413-AB8B-FD81F9D348E3}"/>
    <cellStyle name="Normal 20 2 2 3 2" xfId="8371" xr:uid="{D162F218-9415-4BF8-B869-03E27E2BF3D6}"/>
    <cellStyle name="Normal 20 2 2 4" xfId="5873" xr:uid="{71A157EB-4D4D-42BB-B2B9-0EB27307C880}"/>
    <cellStyle name="Normal 20 2 3" xfId="1188" xr:uid="{BA105C46-2C1E-4E7C-B9FE-08DD8D963179}"/>
    <cellStyle name="Normal 20 2 3 2" xfId="2438" xr:uid="{B120F6C3-DBF0-4B56-9F8B-D2F0D6E86BF7}"/>
    <cellStyle name="Normal 20 2 3 2 2" xfId="4936" xr:uid="{9D7F9515-F71C-4C1C-8D9F-AC38833E26F1}"/>
    <cellStyle name="Normal 20 2 3 2 2 2" xfId="9932" xr:uid="{B8892FD6-4569-45EF-8D14-7EA940B7F314}"/>
    <cellStyle name="Normal 20 2 3 2 3" xfId="7434" xr:uid="{656A255E-B76F-49B7-8883-F29051A7E135}"/>
    <cellStyle name="Normal 20 2 3 3" xfId="3687" xr:uid="{4FE7A18F-135A-4D5E-884F-7620B3909AD5}"/>
    <cellStyle name="Normal 20 2 3 3 2" xfId="8683" xr:uid="{75F93EA2-4E8C-432F-889E-956263FC2DDC}"/>
    <cellStyle name="Normal 20 2 3 4" xfId="6185" xr:uid="{17CEE960-68AD-4032-AAB7-C63C13F63EDF}"/>
    <cellStyle name="Normal 20 2 4" xfId="1531" xr:uid="{C1C66BEE-B3CB-47BD-8D62-1D5C08EBFBD2}"/>
    <cellStyle name="Normal 20 2 4 2" xfId="2781" xr:uid="{983A1B68-C7F7-4A82-9FAD-612E62A01F82}"/>
    <cellStyle name="Normal 20 2 4 2 2" xfId="5279" xr:uid="{C8B169D4-1E89-4094-8E88-D8D08B0F66C9}"/>
    <cellStyle name="Normal 20 2 4 2 2 2" xfId="10275" xr:uid="{22151949-924A-4ABE-B8FA-F5DCB857FEA0}"/>
    <cellStyle name="Normal 20 2 4 2 3" xfId="7777" xr:uid="{8623C777-CE75-4C58-B4B4-DC1FB8BB8C1B}"/>
    <cellStyle name="Normal 20 2 4 3" xfId="4030" xr:uid="{A705E3EC-10FC-47D8-9070-F582C33C848A}"/>
    <cellStyle name="Normal 20 2 4 3 2" xfId="9026" xr:uid="{46E89192-0813-4A01-AA20-D2A714D2400C}"/>
    <cellStyle name="Normal 20 2 4 4" xfId="6528" xr:uid="{CAF246DE-5754-4852-93A0-6A4D48D452A5}"/>
    <cellStyle name="Normal 20 2 5" xfId="1862" xr:uid="{8515785D-7C6E-4AA1-B23B-323A4DF0554E}"/>
    <cellStyle name="Normal 20 2 5 2" xfId="4360" xr:uid="{A99EB5D6-E7E9-4274-8D95-19DB55110A9C}"/>
    <cellStyle name="Normal 20 2 5 2 2" xfId="9356" xr:uid="{36A69400-E8D3-4209-B6D3-B877A7BB722E}"/>
    <cellStyle name="Normal 20 2 5 3" xfId="6858" xr:uid="{27D34E48-8124-4E9F-A727-6133363E8BCD}"/>
    <cellStyle name="Normal 20 2 6" xfId="3111" xr:uid="{982E7D7B-C653-4F23-8021-2110D4F649D2}"/>
    <cellStyle name="Normal 20 2 6 2" xfId="8107" xr:uid="{5EB08ABB-55E0-4936-890A-EA3A195895DB}"/>
    <cellStyle name="Normal 20 2 7" xfId="5609" xr:uid="{77F03A75-5A10-4636-BBC5-CC30BBB448F9}"/>
    <cellStyle name="Normal 20 2 8" xfId="611" xr:uid="{663424DF-4D79-4AD8-AD91-4C040D98EBBE}"/>
    <cellStyle name="Normal 20 3" xfId="759" xr:uid="{D87595BE-216E-44DA-ADCD-87A5815942F7}"/>
    <cellStyle name="Normal 20 3 2" xfId="2010" xr:uid="{3AE2E7D9-2E7E-459E-923B-56E0B5F01A91}"/>
    <cellStyle name="Normal 20 3 2 2" xfId="4508" xr:uid="{3AF9BC48-2A31-4D0D-B114-78829DD372CA}"/>
    <cellStyle name="Normal 20 3 2 2 2" xfId="9504" xr:uid="{039AF21C-A999-4E25-B6AB-23F11EDFEBCF}"/>
    <cellStyle name="Normal 20 3 2 3" xfId="7006" xr:uid="{17293A7F-F6DD-4426-94AD-8DBA3BBC5F99}"/>
    <cellStyle name="Normal 20 3 3" xfId="3259" xr:uid="{DCAB1E7D-E092-4F56-96A5-6FD608C392D7}"/>
    <cellStyle name="Normal 20 3 3 2" xfId="8255" xr:uid="{79D26D26-7458-4899-8981-3B87D446D5E4}"/>
    <cellStyle name="Normal 20 3 4" xfId="5757" xr:uid="{82808CB5-0D03-4CC0-B4D1-DF7A02F0DADF}"/>
    <cellStyle name="Normal 20 4" xfId="1072" xr:uid="{99D776EF-0018-40EF-8299-9C9FDF86D201}"/>
    <cellStyle name="Normal 20 4 2" xfId="2322" xr:uid="{FCC5C65D-82FA-40E9-8E17-32D5C3E493AA}"/>
    <cellStyle name="Normal 20 4 2 2" xfId="4820" xr:uid="{5E533BE6-6800-4F3F-B6BC-215CD356A177}"/>
    <cellStyle name="Normal 20 4 2 2 2" xfId="9816" xr:uid="{9BB414D1-AD46-424B-AAAF-47968887C9B5}"/>
    <cellStyle name="Normal 20 4 2 3" xfId="7318" xr:uid="{005488A1-8FF6-48B7-813C-B42C992BEAD2}"/>
    <cellStyle name="Normal 20 4 3" xfId="3571" xr:uid="{6C579F03-F522-4412-8C0E-4E4BFDF605F0}"/>
    <cellStyle name="Normal 20 4 3 2" xfId="8567" xr:uid="{0900E237-F244-44B8-84EC-9FDF8D91D3F5}"/>
    <cellStyle name="Normal 20 4 4" xfId="6069" xr:uid="{83131D0D-9928-45D4-8FFB-DC6B3E9271BC}"/>
    <cellStyle name="Normal 20 5" xfId="1445" xr:uid="{17582426-A451-4FC3-AD2D-7A73528351A1}"/>
    <cellStyle name="Normal 20 5 2" xfId="2695" xr:uid="{5C70E080-1CC8-4322-8449-6E433AA52022}"/>
    <cellStyle name="Normal 20 5 2 2" xfId="5193" xr:uid="{9C820255-05DF-4F42-9A6F-0772C34074CE}"/>
    <cellStyle name="Normal 20 5 2 2 2" xfId="10189" xr:uid="{23C96381-049F-4C37-981E-44B9D62C8CC7}"/>
    <cellStyle name="Normal 20 5 2 3" xfId="7691" xr:uid="{F5C542E3-A376-4464-A845-B9EEB9968716}"/>
    <cellStyle name="Normal 20 5 3" xfId="3944" xr:uid="{F8235481-8F84-467F-8601-B930DDCBBFD9}"/>
    <cellStyle name="Normal 20 5 3 2" xfId="8940" xr:uid="{7622102D-EC19-4615-A25E-A0431DA48C64}"/>
    <cellStyle name="Normal 20 5 4" xfId="6442" xr:uid="{E681FBA0-26F4-411A-9683-DB751EC0D7EF}"/>
    <cellStyle name="Normal 20 6" xfId="1776" xr:uid="{56EFE035-627C-45D7-8809-E6DB40E5EA9E}"/>
    <cellStyle name="Normal 20 6 2" xfId="4274" xr:uid="{78BCACA1-229B-40E9-8DA4-26A722BE9C13}"/>
    <cellStyle name="Normal 20 6 2 2" xfId="9270" xr:uid="{3AF938F7-695E-41B7-B36F-59BB473EB2F9}"/>
    <cellStyle name="Normal 20 6 3" xfId="6772" xr:uid="{E61C8D9C-FF96-4953-A406-820502F00AB9}"/>
    <cellStyle name="Normal 20 7" xfId="3025" xr:uid="{5A1E3CEF-E7C4-4205-A8E8-B6133AE71CD8}"/>
    <cellStyle name="Normal 20 7 2" xfId="8021" xr:uid="{8D7E53BD-BE79-4041-B1F2-3C3054918AC5}"/>
    <cellStyle name="Normal 20 8" xfId="5523" xr:uid="{CB9741BA-2640-45B1-9C99-DD7BBBEAE4CB}"/>
    <cellStyle name="Normal 20 9" xfId="525" xr:uid="{84B64113-09B5-4085-B848-39305AB86500}"/>
    <cellStyle name="Normal 21" xfId="257" xr:uid="{A1E884DD-2D1F-484B-A7D9-7A28B7BB0799}"/>
    <cellStyle name="Normal 21 2" xfId="876" xr:uid="{EAB3513B-7505-43E6-9A7F-80BDA9080D51}"/>
    <cellStyle name="Normal 21 2 2" xfId="2127" xr:uid="{35644900-286B-4F91-AED3-F7FCD51BB192}"/>
    <cellStyle name="Normal 21 2 2 2" xfId="4625" xr:uid="{CF4C8E3D-E22E-4360-8AC7-E06FF0B48693}"/>
    <cellStyle name="Normal 21 2 2 2 2" xfId="9621" xr:uid="{BFDC8E20-BE19-4A12-B693-9B7AB95F4121}"/>
    <cellStyle name="Normal 21 2 2 3" xfId="7123" xr:uid="{79D1E86C-F834-41DC-93B9-83D53F77D083}"/>
    <cellStyle name="Normal 21 2 3" xfId="3376" xr:uid="{65AB439E-29A4-4837-92C8-65D6992C0411}"/>
    <cellStyle name="Normal 21 2 3 2" xfId="8372" xr:uid="{2738531B-DB42-4FEB-A3BF-60DFE28F0BD9}"/>
    <cellStyle name="Normal 21 2 4" xfId="5874" xr:uid="{4BD1D187-11AB-4540-AE07-13FA7373D2D8}"/>
    <cellStyle name="Normal 21 3" xfId="1189" xr:uid="{A30B6CDD-E3F8-4BA6-98B3-AD70051267EB}"/>
    <cellStyle name="Normal 21 3 2" xfId="2439" xr:uid="{6D471985-5580-4159-9D28-58D62BB7BF0F}"/>
    <cellStyle name="Normal 21 3 2 2" xfId="4937" xr:uid="{88023783-A41B-4AF0-A42D-7EAC18DDCC1A}"/>
    <cellStyle name="Normal 21 3 2 2 2" xfId="9933" xr:uid="{0CC883EB-844D-42F8-99CF-3DBE5496BC9D}"/>
    <cellStyle name="Normal 21 3 2 3" xfId="7435" xr:uid="{E3DCAC23-FD00-4938-B266-757570B2A1F4}"/>
    <cellStyle name="Normal 21 3 3" xfId="3688" xr:uid="{6BD9DC27-7AA4-4019-90DE-301EA4F7E36A}"/>
    <cellStyle name="Normal 21 3 3 2" xfId="8684" xr:uid="{7C83EC6B-23D7-4DE1-801C-7ABD4AAE855D}"/>
    <cellStyle name="Normal 21 3 4" xfId="6186" xr:uid="{F0DD417A-FB02-4E2D-A1D2-FEBB75CA89BF}"/>
    <cellStyle name="Normal 21 4" xfId="1450" xr:uid="{434A69BE-3279-4D5E-A6B0-722BC4B68BBF}"/>
    <cellStyle name="Normal 21 4 2" xfId="2700" xr:uid="{F7473729-D56E-473C-9014-27375029D265}"/>
    <cellStyle name="Normal 21 4 2 2" xfId="5198" xr:uid="{B4514F0D-7AA6-4BE8-A9BF-585862B1BC7D}"/>
    <cellStyle name="Normal 21 4 2 2 2" xfId="10194" xr:uid="{FE5F08A6-5060-4560-8A42-ECB51724E3A4}"/>
    <cellStyle name="Normal 21 4 2 3" xfId="7696" xr:uid="{8F36394E-6BAE-4DD5-9914-34D4C2FFB350}"/>
    <cellStyle name="Normal 21 4 3" xfId="3949" xr:uid="{F26B3AE0-87D4-4087-90F5-AFD618A3E7FD}"/>
    <cellStyle name="Normal 21 4 3 2" xfId="8945" xr:uid="{BA43DE00-9DDF-4187-A333-10ECFAD9D22D}"/>
    <cellStyle name="Normal 21 4 4" xfId="6447" xr:uid="{20C66BE5-8DF0-46BD-9A3C-6821B47FF340}"/>
    <cellStyle name="Normal 21 5" xfId="1781" xr:uid="{61BDAEE7-640F-44CA-A21E-760DF351A303}"/>
    <cellStyle name="Normal 21 5 2" xfId="4279" xr:uid="{F529DF23-346A-4E30-95BE-F1FA35ACC839}"/>
    <cellStyle name="Normal 21 5 2 2" xfId="9275" xr:uid="{1DB6B261-BC9B-48F6-B50B-D56F0763BDCB}"/>
    <cellStyle name="Normal 21 5 3" xfId="6777" xr:uid="{748C86F2-D12C-40E0-8D08-A16B071350F2}"/>
    <cellStyle name="Normal 21 6" xfId="3030" xr:uid="{C15E4F18-0FB4-4531-8EAC-24289EE70D6A}"/>
    <cellStyle name="Normal 21 6 2" xfId="8026" xr:uid="{42A4B624-E91B-4152-B933-E329977B1BD1}"/>
    <cellStyle name="Normal 21 7" xfId="5528" xr:uid="{D5A3DFBF-7F50-4920-A182-A55D615195AC}"/>
    <cellStyle name="Normal 21 8" xfId="530" xr:uid="{11D19A92-3FDD-4FCC-B82E-16800A90B8E7}"/>
    <cellStyle name="Normal 22" xfId="672" xr:uid="{413D0392-3446-41BB-9667-CDF339FE20FC}"/>
    <cellStyle name="Normal 22 2" xfId="386" xr:uid="{AA1D7C5B-9CCB-443A-AA0F-56A5505FF626}"/>
    <cellStyle name="Normal 22 2 2" xfId="2842" xr:uid="{0F54E828-0486-4CBC-B912-D8CB2C9F0887}"/>
    <cellStyle name="Normal 22 2 2 2" xfId="5340" xr:uid="{5CAA641E-701C-4848-B5CE-2E23BB088A35}"/>
    <cellStyle name="Normal 22 2 2 2 2" xfId="10336" xr:uid="{CFB3D540-F6E2-430A-B975-0B0F6A8C473D}"/>
    <cellStyle name="Normal 22 2 2 3" xfId="7838" xr:uid="{778030A8-AA3B-499A-8C4D-2F9C3FC7FD4F}"/>
    <cellStyle name="Normal 22 2 3" xfId="4091" xr:uid="{B7396DFF-0809-435F-A761-801A4FA6F12C}"/>
    <cellStyle name="Normal 22 2 3 2" xfId="9087" xr:uid="{00621697-8082-46BB-9DCF-F3C68A215F7E}"/>
    <cellStyle name="Normal 22 2 4" xfId="6589" xr:uid="{C36019CD-2A78-46BA-B7A6-B8EE1C045EAE}"/>
    <cellStyle name="Normal 22 2 5" xfId="1592" xr:uid="{F63BB52C-934C-4673-9E07-C7EA7060D43C}"/>
    <cellStyle name="Normal 22 3" xfId="1923" xr:uid="{48952D34-D1F2-481D-A36D-23DD2E3F364D}"/>
    <cellStyle name="Normal 22 3 2" xfId="4421" xr:uid="{70BA8E77-06FA-4032-9395-E6CC869D5764}"/>
    <cellStyle name="Normal 22 3 2 2" xfId="9417" xr:uid="{C68FC80A-68DE-4237-B107-AC656D37C3CB}"/>
    <cellStyle name="Normal 22 3 3" xfId="6919" xr:uid="{CEDD8821-8CA4-4748-BC06-67F0335EE6EE}"/>
    <cellStyle name="Normal 22 4" xfId="3172" xr:uid="{BE89D34F-A5FD-4DA4-93B5-4AFB22B8596C}"/>
    <cellStyle name="Normal 22 4 2" xfId="8168" xr:uid="{56BCD21C-5959-4E87-989A-D624FCF54F93}"/>
    <cellStyle name="Normal 22 5" xfId="5670" xr:uid="{E3D3031C-88D3-49B1-A689-F06C26C17F08}"/>
    <cellStyle name="Normal 23" xfId="677" xr:uid="{80B3DC4C-7312-4DEE-9812-2BF079480B24}"/>
    <cellStyle name="Normal 23 2" xfId="1597" xr:uid="{8336CA5C-813C-4058-B3B9-BB8F4C781AD2}"/>
    <cellStyle name="Normal 23 2 2" xfId="2847" xr:uid="{4840FE3E-3DCE-4BB7-BAD6-0DF61BA71416}"/>
    <cellStyle name="Normal 23 2 2 2" xfId="5345" xr:uid="{C147B68A-324C-4799-9F80-0AB9D81BD654}"/>
    <cellStyle name="Normal 23 2 2 2 2" xfId="10341" xr:uid="{541B63C5-52AE-4B31-9C30-9E7A52B908A7}"/>
    <cellStyle name="Normal 23 2 2 3" xfId="7843" xr:uid="{E52AFE51-81FE-4684-B60F-5EEC30AA8856}"/>
    <cellStyle name="Normal 23 2 3" xfId="4096" xr:uid="{D4DD7A97-5A22-465C-8F6E-131A71BC8245}"/>
    <cellStyle name="Normal 23 2 3 2" xfId="9092" xr:uid="{789E8D92-051E-4FFA-9DB3-A8B415935CC6}"/>
    <cellStyle name="Normal 23 2 4" xfId="6594" xr:uid="{DC5A180B-CD1D-40E4-B04C-21EED509DEC9}"/>
    <cellStyle name="Normal 23 3" xfId="1928" xr:uid="{08E0BD49-77ED-4F86-A817-91A251FCA412}"/>
    <cellStyle name="Normal 23 3 2" xfId="4426" xr:uid="{9727D5C6-6617-4ADF-96D4-53A275F719A6}"/>
    <cellStyle name="Normal 23 3 2 2" xfId="9422" xr:uid="{83443CE7-2769-4368-84B4-D2582B4FF869}"/>
    <cellStyle name="Normal 23 3 3" xfId="6924" xr:uid="{2C40B9E8-6551-48B5-9E02-917AFB4141A2}"/>
    <cellStyle name="Normal 23 4" xfId="3177" xr:uid="{EC53B7C4-8290-4B8F-BE71-F7DB481F5AF4}"/>
    <cellStyle name="Normal 23 4 2" xfId="8173" xr:uid="{E1CECDBD-7E89-4A55-ADD5-9065B6E4FF79}"/>
    <cellStyle name="Normal 23 5" xfId="5675" xr:uid="{3FFE448B-4956-4D3B-9BAD-CE0FA9A1D999}"/>
    <cellStyle name="Normal 24" xfId="1602" xr:uid="{85CE83B6-B744-4CC2-826E-1B6697AAD1F8}"/>
    <cellStyle name="Normal 24 2" xfId="2852" xr:uid="{64223BE4-D82D-44BA-8E5A-D3F4FB89E336}"/>
    <cellStyle name="Normal 24 2 2" xfId="5350" xr:uid="{9716C831-D31B-41C7-8ECE-476143A85244}"/>
    <cellStyle name="Normal 24 2 2 2" xfId="10346" xr:uid="{6CFF2945-8F58-41E2-A5E4-3053A9DE2D10}"/>
    <cellStyle name="Normal 24 2 3" xfId="7848" xr:uid="{FEBB9EF5-29A1-4C72-88BC-11A3281579F7}"/>
    <cellStyle name="Normal 24 3" xfId="4101" xr:uid="{741CD708-31FE-4AA7-9013-1B570065FCC5}"/>
    <cellStyle name="Normal 24 3 2" xfId="9097" xr:uid="{23CA8C67-2BE9-469E-958A-E29E82054B58}"/>
    <cellStyle name="Normal 24 4" xfId="6599" xr:uid="{FC31950E-4C9E-4EF8-9459-6AB550C3165F}"/>
    <cellStyle name="Normal 25" xfId="1608" xr:uid="{B64F3FBC-245A-4002-BFE4-F7813EF37F68}"/>
    <cellStyle name="Normal 25 2" xfId="2857" xr:uid="{C6D9EBDD-EBCE-4F9E-82D0-58982E06CF67}"/>
    <cellStyle name="Normal 25 2 2" xfId="5355" xr:uid="{587165F7-D0CD-4B14-A79A-29941D554646}"/>
    <cellStyle name="Normal 25 2 2 2" xfId="10351" xr:uid="{CAB56055-90C7-42D5-98B3-96AC58917F42}"/>
    <cellStyle name="Normal 25 2 3" xfId="7853" xr:uid="{DF923BEE-31D9-43DC-AE5B-CFADAC08235E}"/>
    <cellStyle name="Normal 25 3" xfId="4106" xr:uid="{964A0FF2-8BDF-48D5-AA13-8C9ED609BDED}"/>
    <cellStyle name="Normal 25 3 2" xfId="9102" xr:uid="{C6C49854-8623-4B9F-B5DF-CC44DF1FDBB8}"/>
    <cellStyle name="Normal 25 4" xfId="6604" xr:uid="{59C0E297-CF17-4372-9A32-D798D03B4A40}"/>
    <cellStyle name="Normal 26" xfId="1613" xr:uid="{AD147ABF-6AE3-4089-A387-71AF1A2A6CB1}"/>
    <cellStyle name="Normal 26 2" xfId="2862" xr:uid="{990E733D-4750-487E-941E-DB25B4926762}"/>
    <cellStyle name="Normal 26 2 2" xfId="5360" xr:uid="{6A5AE4E8-73F2-4C54-8CA7-666A574D8DF2}"/>
    <cellStyle name="Normal 26 2 2 2" xfId="10356" xr:uid="{63766F93-AA26-4204-93C5-0E1402C8E1D2}"/>
    <cellStyle name="Normal 26 2 3" xfId="7858" xr:uid="{4A2CEA5A-CD85-4714-A318-9A30CDE41DBF}"/>
    <cellStyle name="Normal 26 3" xfId="4111" xr:uid="{54557939-AC58-48C7-B1B6-839F49DE0DA9}"/>
    <cellStyle name="Normal 26 3 2" xfId="9107" xr:uid="{E3AD6421-749E-442F-B4F2-56DF33A39B67}"/>
    <cellStyle name="Normal 26 4" xfId="6609" xr:uid="{EAE76FFD-37E9-4463-A88C-7A8F69D213B9}"/>
    <cellStyle name="Normal 27" xfId="1618" xr:uid="{A737A990-7FF9-4343-B4E2-856E15B202D0}"/>
    <cellStyle name="Normal 27 2" xfId="2867" xr:uid="{5CACDF14-1CA6-4535-9CBF-EA7466BA83FB}"/>
    <cellStyle name="Normal 27 2 2" xfId="5365" xr:uid="{2E70B877-6906-4D8E-9144-9002DCBED2C5}"/>
    <cellStyle name="Normal 27 2 2 2" xfId="10361" xr:uid="{3A88563A-DFB8-4668-98AA-9B85E474023A}"/>
    <cellStyle name="Normal 27 2 3" xfId="7863" xr:uid="{CA4B509D-C4CA-442D-A976-A8AB1AFCEB3C}"/>
    <cellStyle name="Normal 27 3" xfId="4116" xr:uid="{B55BC926-2C4D-4C06-812F-A86755D5269A}"/>
    <cellStyle name="Normal 27 3 2" xfId="9112" xr:uid="{6A8EA6EF-BD22-4510-AF28-70F911E5FA22}"/>
    <cellStyle name="Normal 27 4" xfId="6614" xr:uid="{74F6C66A-9A75-4A46-B28F-56EF3A51685A}"/>
    <cellStyle name="Normal 28" xfId="1623" xr:uid="{67F70CFE-F39C-4499-8958-FB9F2DEED1CD}"/>
    <cellStyle name="Normal 28 2" xfId="2872" xr:uid="{A206F3C5-9D39-4BCC-B7E1-A56850782E93}"/>
    <cellStyle name="Normal 28 2 2" xfId="5370" xr:uid="{69A5489F-2132-4085-A37B-E6162F72FC31}"/>
    <cellStyle name="Normal 28 2 2 2" xfId="10366" xr:uid="{D4A45640-3018-4B5B-BCFE-C9E52971B259}"/>
    <cellStyle name="Normal 28 2 3" xfId="7868" xr:uid="{82FF5462-73E2-4B49-A344-AFACB14C0A9C}"/>
    <cellStyle name="Normal 28 3" xfId="4121" xr:uid="{65DB8E32-E386-4956-9519-A0EAFDEA5275}"/>
    <cellStyle name="Normal 28 3 2" xfId="9117" xr:uid="{9776F30D-6741-4142-B622-0CB8265CE829}"/>
    <cellStyle name="Normal 28 4" xfId="6619" xr:uid="{506DC4D5-FF20-4438-82A8-4D826CD4D451}"/>
    <cellStyle name="Normal 29" xfId="1628" xr:uid="{C7EB602B-CACB-41D8-8ACD-28D11EDA3A81}"/>
    <cellStyle name="Normal 29 2" xfId="2877" xr:uid="{9D958E06-73D7-4B72-BBA6-5B40ED881F11}"/>
    <cellStyle name="Normal 29 2 2" xfId="5375" xr:uid="{30E24887-A6E5-4042-A475-A1C2090BEAFC}"/>
    <cellStyle name="Normal 29 2 2 2" xfId="10371" xr:uid="{1B385CD4-6A95-4CB6-8EC2-7906EED82BF0}"/>
    <cellStyle name="Normal 29 2 3" xfId="7873" xr:uid="{10E26A0C-AD76-4778-92B2-00598168AFA1}"/>
    <cellStyle name="Normal 29 3" xfId="4126" xr:uid="{28F8EA96-03CF-49D0-AD52-4D0F3EB4D024}"/>
    <cellStyle name="Normal 29 3 2" xfId="9122" xr:uid="{A91106AF-298E-4861-8C61-3306CDCDD38E}"/>
    <cellStyle name="Normal 29 4" xfId="6624" xr:uid="{F5AF88F1-0C41-4BD0-8070-8564644238E1}"/>
    <cellStyle name="Normal 3" xfId="4" xr:uid="{00000000-0005-0000-0000-00000B000000}"/>
    <cellStyle name="Normal 3 2" xfId="258" xr:uid="{0C8862C2-2CE3-4B04-9A69-0660C5778566}"/>
    <cellStyle name="Normal 3 2 2" xfId="259" xr:uid="{9D15F116-6641-46FE-B7E6-DA335326A091}"/>
    <cellStyle name="Normal 3 2 2 2" xfId="878" xr:uid="{90163E1F-E84E-4C73-AB0A-17EC17D4E2DA}"/>
    <cellStyle name="Normal 3 2 2 2 2" xfId="2129" xr:uid="{71E93BE3-DF27-4EA7-B888-EC0BB99F992D}"/>
    <cellStyle name="Normal 3 2 2 2 2 2" xfId="4627" xr:uid="{071982DF-94DA-49C2-9138-506846B4ECB0}"/>
    <cellStyle name="Normal 3 2 2 2 2 2 2" xfId="9623" xr:uid="{29C4C3A2-0649-4D36-A123-9B8E7470FED8}"/>
    <cellStyle name="Normal 3 2 2 2 2 3" xfId="7125" xr:uid="{595446FC-2873-4182-8305-D184BBC00561}"/>
    <cellStyle name="Normal 3 2 2 2 3" xfId="3378" xr:uid="{E08CA18C-4A1A-421F-ADE8-A65AC9A3E8D2}"/>
    <cellStyle name="Normal 3 2 2 2 3 2" xfId="8374" xr:uid="{87968FAD-01C5-4936-81D1-74A240321334}"/>
    <cellStyle name="Normal 3 2 2 2 4" xfId="5876" xr:uid="{AD805B7B-DE68-4046-A85D-6B53F409ECA9}"/>
    <cellStyle name="Normal 3 2 2 3" xfId="1191" xr:uid="{10485486-6966-4C85-A5EA-436ED51B60B9}"/>
    <cellStyle name="Normal 3 2 2 3 2" xfId="2441" xr:uid="{F4D00D24-7026-48E1-BB09-243C614397E9}"/>
    <cellStyle name="Normal 3 2 2 3 2 2" xfId="4939" xr:uid="{6D2A539D-7723-4BC8-B697-83E2DFA0AC3D}"/>
    <cellStyle name="Normal 3 2 2 3 2 2 2" xfId="9935" xr:uid="{7A57B977-3E19-4737-AC4E-DC132307ED1B}"/>
    <cellStyle name="Normal 3 2 2 3 2 3" xfId="7437" xr:uid="{4FCF3B88-B32F-422A-A300-4877515C74A0}"/>
    <cellStyle name="Normal 3 2 2 3 3" xfId="3690" xr:uid="{80B3E791-4CBD-4B79-90DE-E227CD3C6C39}"/>
    <cellStyle name="Normal 3 2 2 3 3 2" xfId="8686" xr:uid="{2B6B9A35-25DA-4274-871B-0CAD073F7F11}"/>
    <cellStyle name="Normal 3 2 2 3 4" xfId="6188" xr:uid="{562EB8EE-B04E-450C-9599-64643582BDAD}"/>
    <cellStyle name="Normal 3 2 2 4" xfId="1532" xr:uid="{C70F00F3-093B-4ECD-8AE0-6E0E5FDCD2D9}"/>
    <cellStyle name="Normal 3 2 2 4 2" xfId="2782" xr:uid="{1D19B804-671C-4A28-8821-698478A18CD9}"/>
    <cellStyle name="Normal 3 2 2 4 2 2" xfId="5280" xr:uid="{B9473A94-E553-4104-8CCB-441C21D99BCF}"/>
    <cellStyle name="Normal 3 2 2 4 2 2 2" xfId="10276" xr:uid="{0FA737B5-F142-45A2-82F6-04D27F1337C7}"/>
    <cellStyle name="Normal 3 2 2 4 2 3" xfId="7778" xr:uid="{2956730A-7B11-4B6A-ABC9-400E665AB263}"/>
    <cellStyle name="Normal 3 2 2 4 3" xfId="4031" xr:uid="{714E1210-6D53-43AB-9038-91264156FE75}"/>
    <cellStyle name="Normal 3 2 2 4 3 2" xfId="9027" xr:uid="{AC2D21EA-BE31-4736-A508-75A9E983730D}"/>
    <cellStyle name="Normal 3 2 2 4 4" xfId="6529" xr:uid="{33E359F0-0400-4A4E-93F5-B7A7EF9954E8}"/>
    <cellStyle name="Normal 3 2 2 5" xfId="1863" xr:uid="{2B1B308A-8404-4A88-9A40-2FE86E84B1C7}"/>
    <cellStyle name="Normal 3 2 2 5 2" xfId="4361" xr:uid="{F5BE4404-87C0-48AC-98D2-9777D6FE894B}"/>
    <cellStyle name="Normal 3 2 2 5 2 2" xfId="9357" xr:uid="{4F2E6BE6-C65F-42E9-83D8-304E1A3FB463}"/>
    <cellStyle name="Normal 3 2 2 5 3" xfId="6859" xr:uid="{300B35EF-8811-43DC-931C-E1C3371459D9}"/>
    <cellStyle name="Normal 3 2 2 6" xfId="3112" xr:uid="{AE1EB6B8-5B1D-4DC8-9849-1C7D5153EEA5}"/>
    <cellStyle name="Normal 3 2 2 6 2" xfId="8108" xr:uid="{15BF55EC-4348-459B-9899-884441B9135C}"/>
    <cellStyle name="Normal 3 2 2 7" xfId="5610" xr:uid="{E337A6EA-5418-46D2-8D7F-25F0AAC3A558}"/>
    <cellStyle name="Normal 3 2 2 8" xfId="612" xr:uid="{C19CD437-9E18-4028-8919-4631C4C02BA2}"/>
    <cellStyle name="Normal 3 2 3" xfId="877" xr:uid="{9BDFC1D0-FE69-42A7-A192-73C23CE78BB0}"/>
    <cellStyle name="Normal 3 2 3 2" xfId="2128" xr:uid="{D172EEA5-2165-4226-AC69-076DD8158F07}"/>
    <cellStyle name="Normal 3 2 3 2 2" xfId="4626" xr:uid="{914CD0C2-7E98-4197-B55D-926D08567F36}"/>
    <cellStyle name="Normal 3 2 3 2 2 2" xfId="9622" xr:uid="{D67F6E8B-94E1-4209-8491-6DF8FB1EFF4E}"/>
    <cellStyle name="Normal 3 2 3 2 3" xfId="7124" xr:uid="{720E6456-A90D-4EBE-8DB8-919FF6376D41}"/>
    <cellStyle name="Normal 3 2 3 3" xfId="3377" xr:uid="{E66970FC-CA72-4787-9CEE-B0EBE9324DC9}"/>
    <cellStyle name="Normal 3 2 3 3 2" xfId="8373" xr:uid="{F35836E3-FB86-448A-8214-A5B3EE4401AE}"/>
    <cellStyle name="Normal 3 2 3 4" xfId="5875" xr:uid="{BEB0B72B-B417-4B6E-B5E2-CF8971738722}"/>
    <cellStyle name="Normal 3 2 4" xfId="1190" xr:uid="{7FD9474B-B590-4172-8ACD-1EA8C0B4DA4B}"/>
    <cellStyle name="Normal 3 2 4 2" xfId="2440" xr:uid="{965E3191-935E-4333-BD1D-102A13952D9B}"/>
    <cellStyle name="Normal 3 2 4 2 2" xfId="4938" xr:uid="{C81EB70F-E3C5-43A4-BB91-0A1E33F1562D}"/>
    <cellStyle name="Normal 3 2 4 2 2 2" xfId="9934" xr:uid="{EE536AAA-5298-407F-A6C5-C4632F4515F5}"/>
    <cellStyle name="Normal 3 2 4 2 3" xfId="7436" xr:uid="{67F070DA-6087-418E-8E7D-F93C36C71FF2}"/>
    <cellStyle name="Normal 3 2 4 3" xfId="3689" xr:uid="{63449F5D-7CF5-4F68-B197-7BAA319EA8EF}"/>
    <cellStyle name="Normal 3 2 4 3 2" xfId="8685" xr:uid="{E47D8ABB-B1EE-4669-A8B9-09E74635956F}"/>
    <cellStyle name="Normal 3 2 4 4" xfId="6187" xr:uid="{BB002D4C-14D5-44A7-8D08-7B6EF4DD8187}"/>
    <cellStyle name="Normal 3 2 5" xfId="1360" xr:uid="{C06CECC0-E8BC-451C-9273-F792BFE3FBF3}"/>
    <cellStyle name="Normal 3 2 5 2" xfId="2610" xr:uid="{A4461CAB-E46A-42F1-B783-B513B370E5FA}"/>
    <cellStyle name="Normal 3 2 5 2 2" xfId="5108" xr:uid="{5F74CA57-E648-41B8-AFA2-2C5A8DBD432D}"/>
    <cellStyle name="Normal 3 2 5 2 2 2" xfId="10104" xr:uid="{CFFBD35F-63D1-443D-A84E-F6EAC5A09684}"/>
    <cellStyle name="Normal 3 2 5 2 3" xfId="7606" xr:uid="{AF96CAAD-3852-4D98-95FA-BCD7ADD78EB6}"/>
    <cellStyle name="Normal 3 2 5 3" xfId="3859" xr:uid="{42A21F08-58E6-41CA-969E-B26FE0207C25}"/>
    <cellStyle name="Normal 3 2 5 3 2" xfId="8855" xr:uid="{1FAE6774-8E55-4DCA-844B-382A987BA6A8}"/>
    <cellStyle name="Normal 3 2 5 4" xfId="6357" xr:uid="{D8F4213C-AD21-478D-A8B4-D69CC104B2B0}"/>
    <cellStyle name="Normal 3 2 6" xfId="1691" xr:uid="{D4312830-3D33-41E4-8133-98DB63830C14}"/>
    <cellStyle name="Normal 3 2 6 2" xfId="4189" xr:uid="{1990A981-71E0-43B9-A7B4-1413C76D1385}"/>
    <cellStyle name="Normal 3 2 6 2 2" xfId="9185" xr:uid="{3E877B8D-F69A-4B16-9427-CB4D057B89E9}"/>
    <cellStyle name="Normal 3 2 6 3" xfId="6687" xr:uid="{22CABA77-D38C-4FA7-A976-65B0C1DB76C4}"/>
    <cellStyle name="Normal 3 2 7" xfId="2940" xr:uid="{67408875-2BE4-40AE-B88B-8B8173AF3B4B}"/>
    <cellStyle name="Normal 3 2 7 2" xfId="7936" xr:uid="{EB419143-6150-40B5-9BA9-5AE3167E14E2}"/>
    <cellStyle name="Normal 3 2 8" xfId="5438" xr:uid="{7CDABCC8-53E8-4189-A481-C8F9A9E0D97C}"/>
    <cellStyle name="Normal 3 2 9" xfId="440" xr:uid="{93E10C7D-4446-4332-9369-FB7ACF1522FD}"/>
    <cellStyle name="Normal 3 3" xfId="260" xr:uid="{02BC7784-D8D7-43D6-8DBA-7721D0DDD02D}"/>
    <cellStyle name="Normal 3 3 2" xfId="261" xr:uid="{D70E6887-50A1-4421-9AFB-54750DAB03CB}"/>
    <cellStyle name="Normal 3 3 2 2" xfId="880" xr:uid="{04EED8CC-E1E8-4FA2-A190-C17BDBD898D1}"/>
    <cellStyle name="Normal 3 3 2 2 2" xfId="2131" xr:uid="{2B224CCD-DDCB-4B3D-A947-47DF62BFADFF}"/>
    <cellStyle name="Normal 3 3 2 2 2 2" xfId="4629" xr:uid="{F439C9E4-F6D6-4623-8008-C8458C922958}"/>
    <cellStyle name="Normal 3 3 2 2 2 2 2" xfId="9625" xr:uid="{BA932FD7-9335-43D3-B4CE-964D543E9B4E}"/>
    <cellStyle name="Normal 3 3 2 2 2 3" xfId="7127" xr:uid="{2E954DA1-DBEF-4EEC-A2C1-78447983F263}"/>
    <cellStyle name="Normal 3 3 2 2 3" xfId="3380" xr:uid="{A96655FF-EDC0-473E-9234-444B23756ADC}"/>
    <cellStyle name="Normal 3 3 2 2 3 2" xfId="8376" xr:uid="{A179303C-EE15-413D-9018-25FF4A45101E}"/>
    <cellStyle name="Normal 3 3 2 2 4" xfId="5878" xr:uid="{1C75990D-3E95-4652-B1F5-5E40EA4E7A19}"/>
    <cellStyle name="Normal 3 3 2 3" xfId="1193" xr:uid="{E697C957-4FBD-4A90-8734-3C889AF23EC4}"/>
    <cellStyle name="Normal 3 3 2 3 2" xfId="2443" xr:uid="{29583E7C-1FAD-45E0-A61C-DDE1B10E5D3C}"/>
    <cellStyle name="Normal 3 3 2 3 2 2" xfId="4941" xr:uid="{3AB9580C-AF43-4C83-A340-A6DCD8C80769}"/>
    <cellStyle name="Normal 3 3 2 3 2 2 2" xfId="9937" xr:uid="{E07898AF-7261-4814-B2A4-6A7B23569321}"/>
    <cellStyle name="Normal 3 3 2 3 2 3" xfId="7439" xr:uid="{D046B1F6-9E6E-4C81-A2E9-3C8A530D8E5D}"/>
    <cellStyle name="Normal 3 3 2 3 3" xfId="3692" xr:uid="{A92FF8D2-E024-45E5-8C78-E1B03ABCD949}"/>
    <cellStyle name="Normal 3 3 2 3 3 2" xfId="8688" xr:uid="{CBE485BD-8587-4F62-B6DE-E3DBEF16FE5A}"/>
    <cellStyle name="Normal 3 3 2 3 4" xfId="6190" xr:uid="{16689BD1-2610-40BD-8008-D08DA76BB0DC}"/>
    <cellStyle name="Normal 3 3 2 4" xfId="1533" xr:uid="{F1FA1C2E-C0FE-4649-BEE4-A00D74134ECA}"/>
    <cellStyle name="Normal 3 3 2 4 2" xfId="2783" xr:uid="{7093269E-70AD-4066-9890-C17293FA5854}"/>
    <cellStyle name="Normal 3 3 2 4 2 2" xfId="5281" xr:uid="{BF42B1DB-6D06-44CB-84EC-148CD2A84624}"/>
    <cellStyle name="Normal 3 3 2 4 2 2 2" xfId="10277" xr:uid="{AA07FC09-1447-4347-899C-17622E23F72A}"/>
    <cellStyle name="Normal 3 3 2 4 2 3" xfId="7779" xr:uid="{792EDECA-7808-4882-AE8C-F2553B2693CD}"/>
    <cellStyle name="Normal 3 3 2 4 3" xfId="4032" xr:uid="{606400C0-CFE9-4055-9DBB-CFBB2AC7FAD8}"/>
    <cellStyle name="Normal 3 3 2 4 3 2" xfId="9028" xr:uid="{BA910C11-B0D6-440E-928C-408044E99DEA}"/>
    <cellStyle name="Normal 3 3 2 4 4" xfId="6530" xr:uid="{D6F0C3FD-3A49-4D3E-AFF7-AFE48BA88191}"/>
    <cellStyle name="Normal 3 3 2 5" xfId="1864" xr:uid="{E46DC124-B569-4B4F-BE03-D47AC8638769}"/>
    <cellStyle name="Normal 3 3 2 5 2" xfId="4362" xr:uid="{45CDBFA2-3F4D-4624-9C3D-855C8895BE05}"/>
    <cellStyle name="Normal 3 3 2 5 2 2" xfId="9358" xr:uid="{7DB14F77-A400-4D59-B8B7-236D76A19F8B}"/>
    <cellStyle name="Normal 3 3 2 5 3" xfId="6860" xr:uid="{9F3CFDB2-266D-40FE-814A-47FDEC3DF410}"/>
    <cellStyle name="Normal 3 3 2 6" xfId="3113" xr:uid="{703F52D4-0E46-4BDF-A3EF-B8FEF1CC2AF5}"/>
    <cellStyle name="Normal 3 3 2 6 2" xfId="8109" xr:uid="{A1A53EFE-BE67-4BAF-A633-600F00AF2189}"/>
    <cellStyle name="Normal 3 3 2 7" xfId="5611" xr:uid="{2622A798-0F09-4B4A-B0CE-0949E839F974}"/>
    <cellStyle name="Normal 3 3 2 8" xfId="613" xr:uid="{ADF7575E-9E5C-435D-8294-589C2889C835}"/>
    <cellStyle name="Normal 3 3 3" xfId="879" xr:uid="{47DACEDF-0556-4874-B807-6C5EDE0618AA}"/>
    <cellStyle name="Normal 3 3 3 2" xfId="2130" xr:uid="{42C68EBE-23D8-40E4-A2D9-E4A880AFA9A3}"/>
    <cellStyle name="Normal 3 3 3 2 2" xfId="4628" xr:uid="{FE291231-386C-4361-A7A8-0BB7DDE5E6C5}"/>
    <cellStyle name="Normal 3 3 3 2 2 2" xfId="9624" xr:uid="{B13E2BEF-4910-49BD-8257-0B9FD6C9BB13}"/>
    <cellStyle name="Normal 3 3 3 2 3" xfId="7126" xr:uid="{71C2908E-C10C-4B69-9351-57E72DF8CA92}"/>
    <cellStyle name="Normal 3 3 3 3" xfId="3379" xr:uid="{BA4AF2E2-9B2A-497C-8728-93C58E5CDE8A}"/>
    <cellStyle name="Normal 3 3 3 3 2" xfId="8375" xr:uid="{2BB1C154-6ACF-40FB-AFCE-5BAA20DF9191}"/>
    <cellStyle name="Normal 3 3 3 4" xfId="5877" xr:uid="{CA2D118B-AC63-41A3-B919-9962FFD94A47}"/>
    <cellStyle name="Normal 3 3 4" xfId="1192" xr:uid="{9D780E9A-B83D-4BB7-9D20-BF9DB5F48E27}"/>
    <cellStyle name="Normal 3 3 4 2" xfId="2442" xr:uid="{6CEB4853-86B7-4B63-A799-744BD73B945D}"/>
    <cellStyle name="Normal 3 3 4 2 2" xfId="4940" xr:uid="{484C2F59-F7ED-4AFE-949D-7C324B15F36F}"/>
    <cellStyle name="Normal 3 3 4 2 2 2" xfId="9936" xr:uid="{9E91EADA-663A-49B7-951A-CCFC37743CC4}"/>
    <cellStyle name="Normal 3 3 4 2 3" xfId="7438" xr:uid="{F8FEC61A-FF5E-4740-B969-005506C29EFA}"/>
    <cellStyle name="Normal 3 3 4 3" xfId="3691" xr:uid="{40338796-9471-4EDC-9E7B-9E90AA669044}"/>
    <cellStyle name="Normal 3 3 4 3 2" xfId="8687" xr:uid="{27AD2BA2-CA75-4C7A-A1DC-E21F2C4E2A34}"/>
    <cellStyle name="Normal 3 3 4 4" xfId="6189" xr:uid="{30B22E12-0C28-4BDA-85DC-33082644D342}"/>
    <cellStyle name="Normal 3 3 5" xfId="1447" xr:uid="{B99ADD75-68B1-4BDC-BED3-6135BA284EA1}"/>
    <cellStyle name="Normal 3 3 5 2" xfId="2697" xr:uid="{9ED74F5F-2D08-41BA-AA37-92F5182AEAEB}"/>
    <cellStyle name="Normal 3 3 5 2 2" xfId="5195" xr:uid="{0E73E095-67DB-4ECA-879F-599CD4EB5B68}"/>
    <cellStyle name="Normal 3 3 5 2 2 2" xfId="10191" xr:uid="{0761D0A1-989D-4F91-9286-63BC0458CEEE}"/>
    <cellStyle name="Normal 3 3 5 2 3" xfId="7693" xr:uid="{9FC5B003-A63F-4645-9027-01E37FDCDC06}"/>
    <cellStyle name="Normal 3 3 5 3" xfId="3946" xr:uid="{36E5DE27-8EFE-4B9F-8FBF-D721D0A462B5}"/>
    <cellStyle name="Normal 3 3 5 3 2" xfId="8942" xr:uid="{9F34EE5C-F7AE-4CDF-99F2-D8D2A56F1A34}"/>
    <cellStyle name="Normal 3 3 5 4" xfId="6444" xr:uid="{656538EA-25CE-49E0-B118-1C82B9290799}"/>
    <cellStyle name="Normal 3 3 6" xfId="1778" xr:uid="{D99BB0BE-F0D3-46F0-90F1-DCE24AAA0B80}"/>
    <cellStyle name="Normal 3 3 6 2" xfId="4276" xr:uid="{75F2EC20-EFF1-4B58-8BC3-813321CE7E5F}"/>
    <cellStyle name="Normal 3 3 6 2 2" xfId="9272" xr:uid="{44E60EF3-7EED-43AA-B39A-3DE848A5DDE6}"/>
    <cellStyle name="Normal 3 3 6 3" xfId="6774" xr:uid="{4E32001B-410D-4BA7-A601-0F3775061AB7}"/>
    <cellStyle name="Normal 3 3 7" xfId="3027" xr:uid="{BE42C5B6-A742-4FE2-8D3E-94A5341D7F53}"/>
    <cellStyle name="Normal 3 3 7 2" xfId="8023" xr:uid="{92362828-2B27-4013-849B-6141B488D406}"/>
    <cellStyle name="Normal 3 3 8" xfId="5525" xr:uid="{8A41ADF0-DDBD-447D-B397-3217F84FE7F6}"/>
    <cellStyle name="Normal 3 3 9" xfId="527" xr:uid="{86702997-F6F0-4DE1-8FA7-5E0F23BBD39B}"/>
    <cellStyle name="Normal 30" xfId="1633" xr:uid="{7F166E2B-3E59-4082-BA76-DEB8655BF104}"/>
    <cellStyle name="Normal 30 2" xfId="2882" xr:uid="{58BA88B1-6A2E-4C55-ADB2-AF5827DCB8D3}"/>
    <cellStyle name="Normal 30 2 2" xfId="5380" xr:uid="{7EC262D4-5C12-44E8-868F-A6F05C8B8F48}"/>
    <cellStyle name="Normal 30 2 2 2" xfId="10376" xr:uid="{515B41FD-4042-4760-89FC-71555765460C}"/>
    <cellStyle name="Normal 30 2 3" xfId="7878" xr:uid="{14C3B4E5-7316-4AFA-8B20-8F4D5DBE4A0C}"/>
    <cellStyle name="Normal 30 3" xfId="4131" xr:uid="{C6AF1D96-E9AE-4E34-8AD5-7E0A30771E3B}"/>
    <cellStyle name="Normal 30 3 2" xfId="9127" xr:uid="{8087B64E-31F9-418C-A4B7-0773830EBF64}"/>
    <cellStyle name="Normal 30 4" xfId="6629" xr:uid="{D2BCFFD6-FD04-4D5B-A322-0399F2E5C7B5}"/>
    <cellStyle name="Normal 31" xfId="10381" xr:uid="{FD0864A0-7532-4CCE-853A-6FDCE08B45FB}"/>
    <cellStyle name="Normal 4" xfId="6" xr:uid="{00000000-0005-0000-0000-00000C000000}"/>
    <cellStyle name="Normal 4 10" xfId="998" xr:uid="{1810D9CC-2DC1-4F83-B645-AE78FE9D867C}"/>
    <cellStyle name="Normal 4 10 2" xfId="2248" xr:uid="{E240849F-3B5B-4796-AE20-F440506D7A4B}"/>
    <cellStyle name="Normal 4 10 2 2" xfId="4746" xr:uid="{0620CCE1-4BB1-4344-9B58-2AAC1F33A668}"/>
    <cellStyle name="Normal 4 10 2 2 2" xfId="9742" xr:uid="{66705759-D7E0-47BB-ADBB-2D5AAE91C300}"/>
    <cellStyle name="Normal 4 10 2 3" xfId="7244" xr:uid="{4472CC20-FF26-462C-A123-F08F14E9B6DB}"/>
    <cellStyle name="Normal 4 10 3" xfId="3497" xr:uid="{BE4FED09-4114-4B99-B7EE-43CE0E703476}"/>
    <cellStyle name="Normal 4 10 3 2" xfId="8493" xr:uid="{87D43614-091F-442F-857F-D9A9B191729F}"/>
    <cellStyle name="Normal 4 10 4" xfId="5995" xr:uid="{D4B26337-986C-4682-810E-3F3094C9BA37}"/>
    <cellStyle name="Normal 4 11" xfId="1309" xr:uid="{1C9654CA-05F5-4C3E-914E-46D4351C35B0}"/>
    <cellStyle name="Normal 4 11 2" xfId="2559" xr:uid="{74FAC5C3-44E7-4D5A-A53A-C06768FC0C64}"/>
    <cellStyle name="Normal 4 11 2 2" xfId="5057" xr:uid="{91D8C2B8-70B8-4DC0-88DC-AFCF08B6D55B}"/>
    <cellStyle name="Normal 4 11 2 2 2" xfId="10053" xr:uid="{665C0C90-0BB9-452C-8FAA-D1BF6653C0D8}"/>
    <cellStyle name="Normal 4 11 2 3" xfId="7555" xr:uid="{05D29549-51A5-4BFC-8209-8CAA5462CBF4}"/>
    <cellStyle name="Normal 4 11 3" xfId="3808" xr:uid="{3A4FE333-8C66-4CA8-936F-B3FAEBB78ACE}"/>
    <cellStyle name="Normal 4 11 3 2" xfId="8804" xr:uid="{E01E0EE9-7D5F-48E9-A78A-17D491A6CAED}"/>
    <cellStyle name="Normal 4 11 4" xfId="6306" xr:uid="{722CEBDC-4329-4C43-8081-321C3DB60781}"/>
    <cellStyle name="Normal 4 12" xfId="1640" xr:uid="{B3091FA1-C43A-4F12-8292-726E8C1184E5}"/>
    <cellStyle name="Normal 4 12 2" xfId="4138" xr:uid="{301A065F-DA54-42AD-BF24-44F0033D1778}"/>
    <cellStyle name="Normal 4 12 2 2" xfId="9134" xr:uid="{9161E692-C48C-4624-9192-ABE58B24F7DB}"/>
    <cellStyle name="Normal 4 12 3" xfId="6636" xr:uid="{A6C6CB9E-3254-4FA6-9A5A-8ECFA714B056}"/>
    <cellStyle name="Normal 4 13" xfId="2889" xr:uid="{25C6ACD5-154B-45F6-B64D-0D7B44FA58E3}"/>
    <cellStyle name="Normal 4 13 2" xfId="7885" xr:uid="{10CB8168-333C-440F-8E57-EE3D59A99B29}"/>
    <cellStyle name="Normal 4 14" xfId="5387" xr:uid="{7FCEC185-6909-41EF-B1A6-DB7FC0B93773}"/>
    <cellStyle name="Normal 4 15" xfId="389" xr:uid="{ECC56BFA-126E-403B-AAEA-4316BA9AF19D}"/>
    <cellStyle name="Normal 4 2" xfId="16" xr:uid="{00000000-0005-0000-0000-00000D000000}"/>
    <cellStyle name="Normal 4 3" xfId="71" xr:uid="{73BDACE2-AFEF-4B14-A8F9-6B7E675C853B}"/>
    <cellStyle name="Normal 4 3 2" xfId="262" xr:uid="{DC5C84C7-677D-49BC-855D-183DC9CBD559}"/>
    <cellStyle name="Normal 4 3 2 2" xfId="881" xr:uid="{DD9B7B08-CB30-46B0-8A45-374656AE15FE}"/>
    <cellStyle name="Normal 4 3 2 2 2" xfId="2132" xr:uid="{AF3CB103-1779-4D18-9971-92A10C7C6EFE}"/>
    <cellStyle name="Normal 4 3 2 2 2 2" xfId="4630" xr:uid="{BAE1DD7F-D10C-4022-ACC8-4F8857F8A87F}"/>
    <cellStyle name="Normal 4 3 2 2 2 2 2" xfId="9626" xr:uid="{9653019B-087B-4E28-9A48-093DEDB45E99}"/>
    <cellStyle name="Normal 4 3 2 2 2 3" xfId="7128" xr:uid="{7C7756C8-7CAB-457B-A156-579FE7C09FCC}"/>
    <cellStyle name="Normal 4 3 2 2 3" xfId="3381" xr:uid="{7F534B4D-A30B-4A74-9D31-7F6493601BC4}"/>
    <cellStyle name="Normal 4 3 2 2 3 2" xfId="8377" xr:uid="{666947D0-0A5B-4014-A948-61E1D2E6A21E}"/>
    <cellStyle name="Normal 4 3 2 2 4" xfId="5879" xr:uid="{D037F573-64C4-41D1-B498-7069A522E009}"/>
    <cellStyle name="Normal 4 3 2 3" xfId="1194" xr:uid="{65768D6C-DDAF-45CB-B4F2-4BDAD5FF811D}"/>
    <cellStyle name="Normal 4 3 2 3 2" xfId="2444" xr:uid="{0A3EB787-44CF-413A-BE07-868FDD4B1DA7}"/>
    <cellStyle name="Normal 4 3 2 3 2 2" xfId="4942" xr:uid="{87E761E6-6CA8-4BA5-8DFE-CEBCBEB587C5}"/>
    <cellStyle name="Normal 4 3 2 3 2 2 2" xfId="9938" xr:uid="{C7EA40C7-153E-47B8-9AA0-3FE5B4068264}"/>
    <cellStyle name="Normal 4 3 2 3 2 3" xfId="7440" xr:uid="{8402A2DA-E9E9-4D5B-A9AB-74CD20EB1D15}"/>
    <cellStyle name="Normal 4 3 2 3 3" xfId="3693" xr:uid="{E326A5CA-8708-45F1-BAE2-C08F0113BA4B}"/>
    <cellStyle name="Normal 4 3 2 3 3 2" xfId="8689" xr:uid="{8EE27C7C-61A2-4141-9F93-67473A720FDE}"/>
    <cellStyle name="Normal 4 3 2 3 4" xfId="6191" xr:uid="{9F301519-C919-4D3A-AAB7-7FB560E4850B}"/>
    <cellStyle name="Normal 4 3 2 4" xfId="1535" xr:uid="{42B328C8-D828-470E-A41C-300435BA14A5}"/>
    <cellStyle name="Normal 4 3 2 4 2" xfId="2785" xr:uid="{BBB21B44-8EB4-484B-B603-F136288CAD2D}"/>
    <cellStyle name="Normal 4 3 2 4 2 2" xfId="5283" xr:uid="{DB605EF0-CE9F-4C3A-BB77-3B0EA398C67F}"/>
    <cellStyle name="Normal 4 3 2 4 2 2 2" xfId="10279" xr:uid="{E5FE9EA9-77DF-4B52-9052-AA2BBB851807}"/>
    <cellStyle name="Normal 4 3 2 4 2 3" xfId="7781" xr:uid="{2C3F9206-B795-4B8C-BD18-56E6DEA32511}"/>
    <cellStyle name="Normal 4 3 2 4 3" xfId="4034" xr:uid="{0EC04614-AD5B-4567-BBDE-D519D28FE151}"/>
    <cellStyle name="Normal 4 3 2 4 3 2" xfId="9030" xr:uid="{1A28FAF8-CACD-436E-B0C8-53F428FC9905}"/>
    <cellStyle name="Normal 4 3 2 4 4" xfId="6532" xr:uid="{5364F41E-008F-4292-B2AF-6F56F879478D}"/>
    <cellStyle name="Normal 4 3 2 5" xfId="1866" xr:uid="{EE3B430F-414B-46B6-9CA5-6E13E335941C}"/>
    <cellStyle name="Normal 4 3 2 5 2" xfId="4364" xr:uid="{C7521BC7-58E1-461D-B004-B7837D4476F4}"/>
    <cellStyle name="Normal 4 3 2 5 2 2" xfId="9360" xr:uid="{B710858D-5390-429F-829E-07C78A87D40B}"/>
    <cellStyle name="Normal 4 3 2 5 3" xfId="6862" xr:uid="{DA6B567C-6E06-4D19-ACDA-B18857000185}"/>
    <cellStyle name="Normal 4 3 2 6" xfId="3115" xr:uid="{AF16E24E-7076-4714-9CAE-216A38A0F526}"/>
    <cellStyle name="Normal 4 3 2 6 2" xfId="8111" xr:uid="{DD3B1E34-BCDE-4E35-8F7E-DB739B683447}"/>
    <cellStyle name="Normal 4 3 2 7" xfId="5613" xr:uid="{FED58ADC-BEAD-4717-9C18-FDB052B2E9F3}"/>
    <cellStyle name="Normal 4 3 2 8" xfId="615" xr:uid="{17BC3C3A-A01D-4EF2-9526-20D3CB00D8DB}"/>
    <cellStyle name="Normal 4 3 3" xfId="725" xr:uid="{CBF3D488-0A4C-4983-B1FF-2D8DE24A9CE9}"/>
    <cellStyle name="Normal 4 3 3 2" xfId="1976" xr:uid="{61068222-45C3-4864-816A-F1B3B5E599D5}"/>
    <cellStyle name="Normal 4 3 3 2 2" xfId="4474" xr:uid="{567C5F6B-7FDA-4D53-94B2-C461ADDEFF88}"/>
    <cellStyle name="Normal 4 3 3 2 2 2" xfId="9470" xr:uid="{E18961CA-E694-454C-AD45-0663A1EC6A13}"/>
    <cellStyle name="Normal 4 3 3 2 3" xfId="6972" xr:uid="{2816F317-BAED-4A07-BD5F-AE616968C766}"/>
    <cellStyle name="Normal 4 3 3 3" xfId="3225" xr:uid="{ECC0609D-5D47-4E49-AD30-AC62BD42F149}"/>
    <cellStyle name="Normal 4 3 3 3 2" xfId="8221" xr:uid="{8346262B-D2A5-4F3F-99C0-01FE86966D90}"/>
    <cellStyle name="Normal 4 3 3 4" xfId="5723" xr:uid="{76F199FC-FC52-45C8-BD92-2363DA55EA53}"/>
    <cellStyle name="Normal 4 3 4" xfId="1038" xr:uid="{4E55BF6C-0EB9-4FD6-8E9E-026B83D05FD5}"/>
    <cellStyle name="Normal 4 3 4 2" xfId="2288" xr:uid="{4D2CAD37-75D5-4A88-8878-3217C7302FA5}"/>
    <cellStyle name="Normal 4 3 4 2 2" xfId="4786" xr:uid="{B1C7BC20-D9C0-44C5-B652-DDF655524BD1}"/>
    <cellStyle name="Normal 4 3 4 2 2 2" xfId="9782" xr:uid="{F3C65C88-073C-4602-818D-CD75FD841F79}"/>
    <cellStyle name="Normal 4 3 4 2 3" xfId="7284" xr:uid="{ACBE58AB-B383-42E9-B109-A829846E222E}"/>
    <cellStyle name="Normal 4 3 4 3" xfId="3537" xr:uid="{261A2186-9E39-49BE-8530-E91481E21ECB}"/>
    <cellStyle name="Normal 4 3 4 3 2" xfId="8533" xr:uid="{004A9897-D9B6-4D0E-B109-267B65A01873}"/>
    <cellStyle name="Normal 4 3 4 4" xfId="6035" xr:uid="{B4A28178-EE84-4192-AD04-1A4A27378F97}"/>
    <cellStyle name="Normal 4 3 5" xfId="1416" xr:uid="{0D9496F3-B3C6-42F0-8995-97B8FE5A035B}"/>
    <cellStyle name="Normal 4 3 5 2" xfId="2666" xr:uid="{7E44FDF0-8102-472C-BFC5-6BC1538B7F97}"/>
    <cellStyle name="Normal 4 3 5 2 2" xfId="5164" xr:uid="{51334BB2-62ED-40A9-B485-339DABF68B80}"/>
    <cellStyle name="Normal 4 3 5 2 2 2" xfId="10160" xr:uid="{3BFC559D-3707-41DD-9400-547EC0BE1756}"/>
    <cellStyle name="Normal 4 3 5 2 3" xfId="7662" xr:uid="{4EE36CAC-8BCA-44AA-A301-12F7036330EA}"/>
    <cellStyle name="Normal 4 3 5 3" xfId="3915" xr:uid="{13A214D3-F2CA-4BC8-8919-87DDFC3B0445}"/>
    <cellStyle name="Normal 4 3 5 3 2" xfId="8911" xr:uid="{1E8914D9-9A36-4E56-8BF7-75CF467193A9}"/>
    <cellStyle name="Normal 4 3 5 4" xfId="6413" xr:uid="{6477B7A3-B256-41B8-BFDB-6FC2140B6573}"/>
    <cellStyle name="Normal 4 3 6" xfId="1747" xr:uid="{8510418D-036C-4F69-A03A-E8B011E2B9DC}"/>
    <cellStyle name="Normal 4 3 6 2" xfId="4245" xr:uid="{7FACB9F4-87FC-4881-B7B8-220E98D4C6B0}"/>
    <cellStyle name="Normal 4 3 6 2 2" xfId="9241" xr:uid="{FCFCA3FC-1A7F-49FE-8384-9802F7FFE4C3}"/>
    <cellStyle name="Normal 4 3 6 3" xfId="6743" xr:uid="{FF3D8B0D-F846-49D9-9238-D8230D584CD1}"/>
    <cellStyle name="Normal 4 3 7" xfId="2996" xr:uid="{CFE3FD5E-70B5-47FA-B8B6-3FFA60CC14A9}"/>
    <cellStyle name="Normal 4 3 7 2" xfId="7992" xr:uid="{BEC816DF-2EDF-4126-A30C-4541E61B78CB}"/>
    <cellStyle name="Normal 4 3 8" xfId="5494" xr:uid="{38554CB8-11D7-49BB-A03A-BC2822B29EDC}"/>
    <cellStyle name="Normal 4 3 9" xfId="496" xr:uid="{7BFAADAB-63CC-46D6-84C8-489B8CAD1189}"/>
    <cellStyle name="Normal 4 4" xfId="95" xr:uid="{67C506C5-E70D-46FD-A2A5-A3A2B94272C2}"/>
    <cellStyle name="Normal 4 4 2" xfId="263" xr:uid="{ADF6A659-87E4-4070-A091-B89B81EA5E73}"/>
    <cellStyle name="Normal 4 4 2 2" xfId="882" xr:uid="{ED39D543-AC29-428F-B897-351F1E022150}"/>
    <cellStyle name="Normal 4 4 2 2 2" xfId="2133" xr:uid="{C1551D06-98C5-4D74-BD71-48C20D40AD34}"/>
    <cellStyle name="Normal 4 4 2 2 2 2" xfId="4631" xr:uid="{FCADA03B-975F-4C72-AA94-2266E6E02E5F}"/>
    <cellStyle name="Normal 4 4 2 2 2 2 2" xfId="9627" xr:uid="{E7A00F77-10FA-4F1B-BCDB-2C07A4D34CFF}"/>
    <cellStyle name="Normal 4 4 2 2 2 3" xfId="7129" xr:uid="{0AF6FBE6-3717-4887-9725-652744025D17}"/>
    <cellStyle name="Normal 4 4 2 2 3" xfId="3382" xr:uid="{34C498FC-5E22-4CC0-B618-BD36C9F77A4E}"/>
    <cellStyle name="Normal 4 4 2 2 3 2" xfId="8378" xr:uid="{27C8F7FB-F4E3-4595-91BF-B76E72C9629E}"/>
    <cellStyle name="Normal 4 4 2 2 4" xfId="5880" xr:uid="{D279888D-276A-4D6B-9571-2C7D4ABEFF28}"/>
    <cellStyle name="Normal 4 4 2 3" xfId="1195" xr:uid="{941046E9-FDBF-4DC6-9D35-556017D0F76A}"/>
    <cellStyle name="Normal 4 4 2 3 2" xfId="2445" xr:uid="{8F871BCD-4A09-4E35-A965-99410FFB82F4}"/>
    <cellStyle name="Normal 4 4 2 3 2 2" xfId="4943" xr:uid="{8D536A4C-492E-48C0-8932-4642EBE73407}"/>
    <cellStyle name="Normal 4 4 2 3 2 2 2" xfId="9939" xr:uid="{A8A06E27-12F1-4795-8CCB-947EB152128A}"/>
    <cellStyle name="Normal 4 4 2 3 2 3" xfId="7441" xr:uid="{D01CB73D-35C9-4B5E-A985-BE4CCC943D59}"/>
    <cellStyle name="Normal 4 4 2 3 3" xfId="3694" xr:uid="{C5EA79AB-AAC1-480C-AFEC-6167466F1F1B}"/>
    <cellStyle name="Normal 4 4 2 3 3 2" xfId="8690" xr:uid="{BE63E601-7429-46E5-B07A-3577391D0925}"/>
    <cellStyle name="Normal 4 4 2 3 4" xfId="6192" xr:uid="{6B24B7F8-193B-4487-B4BB-FE57BE24993C}"/>
    <cellStyle name="Normal 4 4 2 4" xfId="1536" xr:uid="{FEB6B299-7E19-4AA1-92A4-EE562B9EC2F4}"/>
    <cellStyle name="Normal 4 4 2 4 2" xfId="2786" xr:uid="{A84EB19A-552C-4458-828F-C0099C306A44}"/>
    <cellStyle name="Normal 4 4 2 4 2 2" xfId="5284" xr:uid="{A0C2C732-E874-404B-B77B-A75BA57196E1}"/>
    <cellStyle name="Normal 4 4 2 4 2 2 2" xfId="10280" xr:uid="{9F4BD610-EC00-4242-B7F6-EFD95D12EE1C}"/>
    <cellStyle name="Normal 4 4 2 4 2 3" xfId="7782" xr:uid="{48DD9EF9-A2EC-41D8-8F2F-DFE8117D0E0E}"/>
    <cellStyle name="Normal 4 4 2 4 3" xfId="4035" xr:uid="{74E4D54D-CD04-4AB3-AF1E-675B050E546F}"/>
    <cellStyle name="Normal 4 4 2 4 3 2" xfId="9031" xr:uid="{DEA47922-D1AA-4B38-9A10-1A940898279D}"/>
    <cellStyle name="Normal 4 4 2 4 4" xfId="6533" xr:uid="{1723E4D6-CB62-4471-8A43-6123A98E7F07}"/>
    <cellStyle name="Normal 4 4 2 5" xfId="1867" xr:uid="{C2DA8B63-A414-431C-B784-D1AF9694BC97}"/>
    <cellStyle name="Normal 4 4 2 5 2" xfId="4365" xr:uid="{60835760-C4D6-4373-BBB3-22CEA4D17346}"/>
    <cellStyle name="Normal 4 4 2 5 2 2" xfId="9361" xr:uid="{51F309A1-79F9-40DC-A4E1-87F3C956795E}"/>
    <cellStyle name="Normal 4 4 2 5 3" xfId="6863" xr:uid="{2D8E6378-C4B3-40DB-B28B-5A1FAEB9410F}"/>
    <cellStyle name="Normal 4 4 2 6" xfId="3116" xr:uid="{0FC52AE4-C06B-45B1-AB22-144279F53CB1}"/>
    <cellStyle name="Normal 4 4 2 6 2" xfId="8112" xr:uid="{CF1F92A6-4E86-4251-A0EC-E74338B91609}"/>
    <cellStyle name="Normal 4 4 2 7" xfId="5614" xr:uid="{9B4B0780-8A59-42A9-AD83-FFDD876C89DD}"/>
    <cellStyle name="Normal 4 4 2 8" xfId="616" xr:uid="{BA00364A-A2ED-4D16-9C2D-F0A2883AD7C9}"/>
    <cellStyle name="Normal 4 4 3" xfId="749" xr:uid="{9DFA86FA-4661-4CAB-991A-26699A5AB9B7}"/>
    <cellStyle name="Normal 4 4 3 2" xfId="2000" xr:uid="{D3437D7A-2EAB-454A-AD05-9364DAADF8A7}"/>
    <cellStyle name="Normal 4 4 3 2 2" xfId="4498" xr:uid="{587430CC-556C-4020-BB91-6A419370264B}"/>
    <cellStyle name="Normal 4 4 3 2 2 2" xfId="9494" xr:uid="{2CC600C5-CDA4-4EDE-84CD-9033DECEE70B}"/>
    <cellStyle name="Normal 4 4 3 2 3" xfId="6996" xr:uid="{4B3262EC-7C23-4712-9BB4-86EA6258A8A4}"/>
    <cellStyle name="Normal 4 4 3 3" xfId="3249" xr:uid="{2786EF6E-2CDB-4D61-9C98-6F87CCC6735A}"/>
    <cellStyle name="Normal 4 4 3 3 2" xfId="8245" xr:uid="{521837A3-26F9-4AC4-808E-C8DFA86F25A9}"/>
    <cellStyle name="Normal 4 4 3 4" xfId="5747" xr:uid="{7D4BFAC6-B539-48AA-BAF4-6B4410E582FD}"/>
    <cellStyle name="Normal 4 4 4" xfId="1062" xr:uid="{0BB45A7D-D3AF-4063-AD47-CAF4DE6ADF63}"/>
    <cellStyle name="Normal 4 4 4 2" xfId="2312" xr:uid="{6E3113B8-54E0-4790-AE8C-64542A7EAFC8}"/>
    <cellStyle name="Normal 4 4 4 2 2" xfId="4810" xr:uid="{46FC8A25-32CB-4447-A619-47B284E252F5}"/>
    <cellStyle name="Normal 4 4 4 2 2 2" xfId="9806" xr:uid="{32BE5B31-4E04-4B3A-9CFD-AF976AA7AF69}"/>
    <cellStyle name="Normal 4 4 4 2 3" xfId="7308" xr:uid="{2DDA4C50-C6C5-437F-ABAF-B856CFFD3FED}"/>
    <cellStyle name="Normal 4 4 4 3" xfId="3561" xr:uid="{A3B05910-8FB8-4E02-9F97-7C63D33561EA}"/>
    <cellStyle name="Normal 4 4 4 3 2" xfId="8557" xr:uid="{FBC2558A-E93F-46D6-811F-58915129668D}"/>
    <cellStyle name="Normal 4 4 4 4" xfId="6059" xr:uid="{C820ACCA-BF64-4F03-9DAA-68DB0D0E135C}"/>
    <cellStyle name="Normal 4 4 5" xfId="1417" xr:uid="{911E9708-308C-4E29-99E4-34CDB9087995}"/>
    <cellStyle name="Normal 4 4 5 2" xfId="2667" xr:uid="{14F324C0-0697-4C55-BEE3-45A532CD088B}"/>
    <cellStyle name="Normal 4 4 5 2 2" xfId="5165" xr:uid="{22A0A7C4-5EF3-4462-8804-93E2B6988D27}"/>
    <cellStyle name="Normal 4 4 5 2 2 2" xfId="10161" xr:uid="{15BE003A-D1A8-41F9-BBBA-FB55D162CBAA}"/>
    <cellStyle name="Normal 4 4 5 2 3" xfId="7663" xr:uid="{786181F6-4757-4AD9-BE4F-3B8BC19F0138}"/>
    <cellStyle name="Normal 4 4 5 3" xfId="3916" xr:uid="{B9B1E626-DB54-4210-B6D2-3E22C574B8E2}"/>
    <cellStyle name="Normal 4 4 5 3 2" xfId="8912" xr:uid="{80920211-591E-4EB0-A0FE-894690FC9216}"/>
    <cellStyle name="Normal 4 4 5 4" xfId="6414" xr:uid="{8C111257-78EF-415C-92D6-F38AB28CDEB5}"/>
    <cellStyle name="Normal 4 4 6" xfId="1748" xr:uid="{E5F82F5E-3F69-4BA9-921F-383008DB3BB6}"/>
    <cellStyle name="Normal 4 4 6 2" xfId="4246" xr:uid="{957CBD2F-C435-4A52-B2D8-D2FA8FAD4756}"/>
    <cellStyle name="Normal 4 4 6 2 2" xfId="9242" xr:uid="{EEE93EEC-0A65-4F03-8CF7-9715203D9BFB}"/>
    <cellStyle name="Normal 4 4 6 3" xfId="6744" xr:uid="{35030E10-3461-4134-8B1A-F37EEE423E18}"/>
    <cellStyle name="Normal 4 4 7" xfId="2997" xr:uid="{830B9E84-CC6C-496F-BF95-193F7C3530A5}"/>
    <cellStyle name="Normal 4 4 7 2" xfId="7993" xr:uid="{4BC1911A-F0D1-4918-A3BD-262C9A04A238}"/>
    <cellStyle name="Normal 4 4 8" xfId="5495" xr:uid="{360C696B-CAEC-4C43-86C8-3FDEB00FFFB6}"/>
    <cellStyle name="Normal 4 4 9" xfId="497" xr:uid="{55DE8933-0D56-43CF-AF7B-8AF95199EA24}"/>
    <cellStyle name="Normal 4 5" xfId="264" xr:uid="{619CFAAB-3178-4652-A50E-17B7F154696E}"/>
    <cellStyle name="Normal 4 5 2" xfId="265" xr:uid="{09E9E797-88EA-4415-83B7-1B8EEC303706}"/>
    <cellStyle name="Normal 4 5 2 2" xfId="884" xr:uid="{DE400811-3B06-4ABA-9929-62EB0584DAD7}"/>
    <cellStyle name="Normal 4 5 2 2 2" xfId="2135" xr:uid="{09FEDBCE-049D-4CFB-9E32-055C1D91272C}"/>
    <cellStyle name="Normal 4 5 2 2 2 2" xfId="4633" xr:uid="{26067F3F-388F-4A71-A1A5-4BF09804CDAA}"/>
    <cellStyle name="Normal 4 5 2 2 2 2 2" xfId="9629" xr:uid="{4F526A78-D4F2-4F68-A661-EB453DFC9AB7}"/>
    <cellStyle name="Normal 4 5 2 2 2 3" xfId="7131" xr:uid="{EDF95F0E-0A66-442E-8685-FE38936E9F7C}"/>
    <cellStyle name="Normal 4 5 2 2 3" xfId="3384" xr:uid="{4FBBAD33-F800-4DB1-998B-CADBD71B5101}"/>
    <cellStyle name="Normal 4 5 2 2 3 2" xfId="8380" xr:uid="{310BBB05-34B8-41DE-8C56-2D01306E40A4}"/>
    <cellStyle name="Normal 4 5 2 2 4" xfId="5882" xr:uid="{9F62F58B-DBE8-4C17-9267-0E307E40D582}"/>
    <cellStyle name="Normal 4 5 2 3" xfId="1197" xr:uid="{6F169742-B80D-435E-B71F-7113A8376805}"/>
    <cellStyle name="Normal 4 5 2 3 2" xfId="2447" xr:uid="{8AEEF04F-F392-4F58-A2B5-17FE6F35D125}"/>
    <cellStyle name="Normal 4 5 2 3 2 2" xfId="4945" xr:uid="{3A3BB900-D863-4ECC-99A1-A0B57F1DEBE2}"/>
    <cellStyle name="Normal 4 5 2 3 2 2 2" xfId="9941" xr:uid="{F3D712A4-ACD4-47A8-B6C6-055F79F21ACA}"/>
    <cellStyle name="Normal 4 5 2 3 2 3" xfId="7443" xr:uid="{6C19A856-9354-479E-866D-6B73BBA13CCF}"/>
    <cellStyle name="Normal 4 5 2 3 3" xfId="3696" xr:uid="{B09FACCC-0A5E-44C3-B1AC-7497AF81583B}"/>
    <cellStyle name="Normal 4 5 2 3 3 2" xfId="8692" xr:uid="{662D6DCF-95FA-40CC-8521-0DE42B57F538}"/>
    <cellStyle name="Normal 4 5 2 3 4" xfId="6194" xr:uid="{0CCF05B9-1879-427A-BC35-C5591C0C94CD}"/>
    <cellStyle name="Normal 4 5 2 4" xfId="1537" xr:uid="{582CEE04-E2A4-421E-94BD-84DEE46E07CC}"/>
    <cellStyle name="Normal 4 5 2 4 2" xfId="2787" xr:uid="{208D0E3C-FFBB-48AC-A72B-F89961185080}"/>
    <cellStyle name="Normal 4 5 2 4 2 2" xfId="5285" xr:uid="{1D3022B8-3392-4659-ACB1-835D569FD177}"/>
    <cellStyle name="Normal 4 5 2 4 2 2 2" xfId="10281" xr:uid="{5873A86A-9608-4B55-8D71-35C393A2C696}"/>
    <cellStyle name="Normal 4 5 2 4 2 3" xfId="7783" xr:uid="{749A95BD-5FB0-4067-B24C-03FB2053DEBA}"/>
    <cellStyle name="Normal 4 5 2 4 3" xfId="4036" xr:uid="{1176554A-76EA-4ED1-82BE-4AB2BC39B58B}"/>
    <cellStyle name="Normal 4 5 2 4 3 2" xfId="9032" xr:uid="{CCFA7963-2BBB-48FF-97B5-3A6888F1891A}"/>
    <cellStyle name="Normal 4 5 2 4 4" xfId="6534" xr:uid="{4185EF9A-2BD1-4D1A-8A93-ACD058C862C6}"/>
    <cellStyle name="Normal 4 5 2 5" xfId="1868" xr:uid="{8EFE052D-93C8-43F8-93D9-8AFF6B1B4BE4}"/>
    <cellStyle name="Normal 4 5 2 5 2" xfId="4366" xr:uid="{D8F1A4EE-2E64-4964-B685-FFA3336502B0}"/>
    <cellStyle name="Normal 4 5 2 5 2 2" xfId="9362" xr:uid="{3D4FB2D6-C1D4-47B3-98E8-9D607BCDF41F}"/>
    <cellStyle name="Normal 4 5 2 5 3" xfId="6864" xr:uid="{D43E3278-BCAD-496C-BDDA-BF6BA3B3358D}"/>
    <cellStyle name="Normal 4 5 2 6" xfId="3117" xr:uid="{D717C4EC-776E-435F-8873-A0900540984B}"/>
    <cellStyle name="Normal 4 5 2 6 2" xfId="8113" xr:uid="{93DACE41-6970-4D5A-841F-B88E9A581423}"/>
    <cellStyle name="Normal 4 5 2 7" xfId="5615" xr:uid="{17743B77-AB6E-411B-A5B7-E5C615D92D8C}"/>
    <cellStyle name="Normal 4 5 2 8" xfId="617" xr:uid="{93B70557-6351-4B4C-B85B-1F5E4FC267B8}"/>
    <cellStyle name="Normal 4 5 3" xfId="883" xr:uid="{DBF98FF3-D464-42F9-A480-7CABC2F1DDD3}"/>
    <cellStyle name="Normal 4 5 3 2" xfId="2134" xr:uid="{167EB767-33BC-444F-B501-24510F68BA9D}"/>
    <cellStyle name="Normal 4 5 3 2 2" xfId="4632" xr:uid="{E75B1966-986C-4616-A682-21943D240D5C}"/>
    <cellStyle name="Normal 4 5 3 2 2 2" xfId="9628" xr:uid="{98C04AF8-3DB8-4428-91E1-BDF87BEEF9D1}"/>
    <cellStyle name="Normal 4 5 3 2 3" xfId="7130" xr:uid="{B9D4D88C-3A05-44C9-A6BD-3F85890A787D}"/>
    <cellStyle name="Normal 4 5 3 3" xfId="3383" xr:uid="{889DDF39-5396-4E12-B7A3-9BF99D2E7383}"/>
    <cellStyle name="Normal 4 5 3 3 2" xfId="8379" xr:uid="{D7E75D2B-6D17-4B60-BCEC-BBC4930785C0}"/>
    <cellStyle name="Normal 4 5 3 4" xfId="5881" xr:uid="{14360531-D59A-430F-B257-6F9F7D0166AD}"/>
    <cellStyle name="Normal 4 5 4" xfId="1196" xr:uid="{E2C519DC-AC4C-4337-9E1D-FAB403511859}"/>
    <cellStyle name="Normal 4 5 4 2" xfId="2446" xr:uid="{88FF2993-7A0D-4194-98B4-497A56DE92C6}"/>
    <cellStyle name="Normal 4 5 4 2 2" xfId="4944" xr:uid="{C794B5C1-6FFE-448C-B3CB-E15D5283B490}"/>
    <cellStyle name="Normal 4 5 4 2 2 2" xfId="9940" xr:uid="{D302AA9D-7BDC-4D79-A383-1DC764F99B89}"/>
    <cellStyle name="Normal 4 5 4 2 3" xfId="7442" xr:uid="{5365D826-BDF4-4737-923A-9D8D15EE0DCC}"/>
    <cellStyle name="Normal 4 5 4 3" xfId="3695" xr:uid="{0961F1EB-54AB-4D82-B329-B735981B1352}"/>
    <cellStyle name="Normal 4 5 4 3 2" xfId="8691" xr:uid="{0C3BBFB2-C091-445B-822A-655EA77E5BE5}"/>
    <cellStyle name="Normal 4 5 4 4" xfId="6193" xr:uid="{74D6CC83-7F5F-42B2-AC2E-B6095C4E6263}"/>
    <cellStyle name="Normal 4 5 5" xfId="1415" xr:uid="{8603F069-AFC7-45E0-AD39-15FB49972326}"/>
    <cellStyle name="Normal 4 5 5 2" xfId="2665" xr:uid="{815E7CE3-F435-4E49-AB0C-F2C5DD657D5C}"/>
    <cellStyle name="Normal 4 5 5 2 2" xfId="5163" xr:uid="{992C11EF-27F5-4040-9ABF-4CEBA536B3EF}"/>
    <cellStyle name="Normal 4 5 5 2 2 2" xfId="10159" xr:uid="{18B03F8F-B4F0-48B0-9431-42068FD7B7D3}"/>
    <cellStyle name="Normal 4 5 5 2 3" xfId="7661" xr:uid="{68C9CF46-1649-434A-947D-BB9DBA89A2FF}"/>
    <cellStyle name="Normal 4 5 5 3" xfId="3914" xr:uid="{F9061FE1-9788-47FA-83F4-BD38FD76D9C7}"/>
    <cellStyle name="Normal 4 5 5 3 2" xfId="8910" xr:uid="{6E507848-0B80-4F9D-8290-D501A481EEDD}"/>
    <cellStyle name="Normal 4 5 5 4" xfId="6412" xr:uid="{AA26B9CA-7A38-4F5C-99C9-D1B1412B57FE}"/>
    <cellStyle name="Normal 4 5 6" xfId="1746" xr:uid="{0637B106-E137-4ADB-99B8-E645DAF34738}"/>
    <cellStyle name="Normal 4 5 6 2" xfId="4244" xr:uid="{60FA8AEE-A052-4D41-8C16-78A3248FA804}"/>
    <cellStyle name="Normal 4 5 6 2 2" xfId="9240" xr:uid="{0A25221B-E828-4108-A46B-1920571A158F}"/>
    <cellStyle name="Normal 4 5 6 3" xfId="6742" xr:uid="{7581E63B-2225-4B97-B1AF-E509A8F81178}"/>
    <cellStyle name="Normal 4 5 7" xfId="2995" xr:uid="{CB7EEF4A-023F-4154-BF24-663F69A15D53}"/>
    <cellStyle name="Normal 4 5 7 2" xfId="7991" xr:uid="{8FE54D6A-B80E-440D-A195-D10FD69884A6}"/>
    <cellStyle name="Normal 4 5 8" xfId="5493" xr:uid="{1399552E-D059-4C04-818C-C423D067429D}"/>
    <cellStyle name="Normal 4 5 9" xfId="495" xr:uid="{6C9CB1D5-83C9-4E42-8095-A9269F78D493}"/>
    <cellStyle name="Normal 4 6" xfId="266" xr:uid="{F042D4CA-11FE-41BC-903C-C8FE93D55766}"/>
    <cellStyle name="Normal 4 6 2" xfId="267" xr:uid="{80B9C3D7-1A94-4D44-A552-05271FF4CD3D}"/>
    <cellStyle name="Normal 4 6 2 2" xfId="886" xr:uid="{0BFD31F3-8D90-45FE-AB7D-4F0D0D1F8C2B}"/>
    <cellStyle name="Normal 4 6 2 2 2" xfId="2137" xr:uid="{43E6320F-18D8-4C5B-9716-359A1DA18DC7}"/>
    <cellStyle name="Normal 4 6 2 2 2 2" xfId="4635" xr:uid="{0BD17327-BEDE-4384-A428-6587E9D5151E}"/>
    <cellStyle name="Normal 4 6 2 2 2 2 2" xfId="9631" xr:uid="{97FE7D89-B6E2-4CE5-9C25-88557746B81B}"/>
    <cellStyle name="Normal 4 6 2 2 2 3" xfId="7133" xr:uid="{31360679-E0C4-43B0-8923-4D650E08C8F3}"/>
    <cellStyle name="Normal 4 6 2 2 3" xfId="3386" xr:uid="{E74FFAB2-A530-4039-9E26-E43E3E157AC4}"/>
    <cellStyle name="Normal 4 6 2 2 3 2" xfId="8382" xr:uid="{48A8554A-971F-4AFB-BAFB-A21A38DF3773}"/>
    <cellStyle name="Normal 4 6 2 2 4" xfId="5884" xr:uid="{90249188-354F-4D07-8AB3-6646ABD0AF37}"/>
    <cellStyle name="Normal 4 6 2 3" xfId="1199" xr:uid="{FA35B41C-03CF-432A-899E-CD31D5CCE80E}"/>
    <cellStyle name="Normal 4 6 2 3 2" xfId="2449" xr:uid="{C7B89479-2255-4506-8773-924BDC1F48B7}"/>
    <cellStyle name="Normal 4 6 2 3 2 2" xfId="4947" xr:uid="{ECC48037-9470-4DF8-B7FF-70422A994553}"/>
    <cellStyle name="Normal 4 6 2 3 2 2 2" xfId="9943" xr:uid="{A69799D0-04C7-46C2-96B9-6059209257CD}"/>
    <cellStyle name="Normal 4 6 2 3 2 3" xfId="7445" xr:uid="{68EA254A-66E8-4EF9-A1E1-D9D7FC2EAD60}"/>
    <cellStyle name="Normal 4 6 2 3 3" xfId="3698" xr:uid="{DE3E887B-A1E9-4D95-A7D5-964AE4FDFDBB}"/>
    <cellStyle name="Normal 4 6 2 3 3 2" xfId="8694" xr:uid="{F287EA29-9EFC-435F-AE55-5BC0538BAD68}"/>
    <cellStyle name="Normal 4 6 2 3 4" xfId="6196" xr:uid="{58056F52-CE76-4843-B311-8FDFB96ABA5C}"/>
    <cellStyle name="Normal 4 6 2 4" xfId="1538" xr:uid="{342111D1-5904-44C5-9925-38AD32905FE9}"/>
    <cellStyle name="Normal 4 6 2 4 2" xfId="2788" xr:uid="{838D6A69-8772-44DC-B42D-2B0CB3FF183A}"/>
    <cellStyle name="Normal 4 6 2 4 2 2" xfId="5286" xr:uid="{8AD5E6F5-D6F9-4BE5-9686-FA05E5F1B4A4}"/>
    <cellStyle name="Normal 4 6 2 4 2 2 2" xfId="10282" xr:uid="{2BC9698A-3674-401B-8544-07D3ADE2BBC1}"/>
    <cellStyle name="Normal 4 6 2 4 2 3" xfId="7784" xr:uid="{8C19D2C9-8331-427F-935A-CC15DD95E23F}"/>
    <cellStyle name="Normal 4 6 2 4 3" xfId="4037" xr:uid="{223B8985-F637-41B5-942A-4F493C5C55A9}"/>
    <cellStyle name="Normal 4 6 2 4 3 2" xfId="9033" xr:uid="{8619ED2A-5378-4F0E-8CA0-B730044E21E4}"/>
    <cellStyle name="Normal 4 6 2 4 4" xfId="6535" xr:uid="{599D5888-2CF1-4B62-B02A-19AA804EDE81}"/>
    <cellStyle name="Normal 4 6 2 5" xfId="1869" xr:uid="{99A163AA-8021-4251-8A0B-D6DD1D6D2D9F}"/>
    <cellStyle name="Normal 4 6 2 5 2" xfId="4367" xr:uid="{77A34346-EE50-432A-ACEB-96E3BDFD8113}"/>
    <cellStyle name="Normal 4 6 2 5 2 2" xfId="9363" xr:uid="{626C29C0-FD74-4D8D-8AB9-A4293F3774C9}"/>
    <cellStyle name="Normal 4 6 2 5 3" xfId="6865" xr:uid="{31FFABCB-5806-42A3-9AC9-4A5CE7F42AF6}"/>
    <cellStyle name="Normal 4 6 2 6" xfId="3118" xr:uid="{930C641A-13D8-4EE2-AABA-E5B26C74A221}"/>
    <cellStyle name="Normal 4 6 2 6 2" xfId="8114" xr:uid="{06F2A936-F62F-492B-B6D0-26DEB48F37DC}"/>
    <cellStyle name="Normal 4 6 2 7" xfId="5616" xr:uid="{D07CD7F3-9819-4425-B4D0-2E8413688D9C}"/>
    <cellStyle name="Normal 4 6 2 8" xfId="618" xr:uid="{3FBBB143-9BD3-4353-95E6-119577E8B191}"/>
    <cellStyle name="Normal 4 6 3" xfId="885" xr:uid="{CFC10788-5434-4806-8ACC-6198DC42E460}"/>
    <cellStyle name="Normal 4 6 3 2" xfId="2136" xr:uid="{F59E7324-0A5D-40E5-B305-916617EDDCD3}"/>
    <cellStyle name="Normal 4 6 3 2 2" xfId="4634" xr:uid="{7BF67B04-B6C5-4AD0-8C51-3CD6F444BB4A}"/>
    <cellStyle name="Normal 4 6 3 2 2 2" xfId="9630" xr:uid="{88D654F2-ACFA-49D6-A1AE-124C2068D1C8}"/>
    <cellStyle name="Normal 4 6 3 2 3" xfId="7132" xr:uid="{FEC29391-FD7F-4789-9AC8-69D2E53EC283}"/>
    <cellStyle name="Normal 4 6 3 3" xfId="3385" xr:uid="{A0B05541-D56C-4537-A066-57B8D2E7AEA1}"/>
    <cellStyle name="Normal 4 6 3 3 2" xfId="8381" xr:uid="{939499BA-81DB-4197-9504-CFFA9E4B6D75}"/>
    <cellStyle name="Normal 4 6 3 4" xfId="5883" xr:uid="{6D688100-A9DE-4518-938E-289E2A901489}"/>
    <cellStyle name="Normal 4 6 4" xfId="1198" xr:uid="{FC3D5E01-42AA-45F9-A8C5-0BC432FD8FF1}"/>
    <cellStyle name="Normal 4 6 4 2" xfId="2448" xr:uid="{33D7E70B-64C7-4EBD-8A72-8A3A80A6A270}"/>
    <cellStyle name="Normal 4 6 4 2 2" xfId="4946" xr:uid="{D624B048-C14C-486C-943B-AFB8D00927BB}"/>
    <cellStyle name="Normal 4 6 4 2 2 2" xfId="9942" xr:uid="{4C280982-B5BC-42FF-8158-5C73FA20DC27}"/>
    <cellStyle name="Normal 4 6 4 2 3" xfId="7444" xr:uid="{C6A797E0-81F9-4BAA-AFB3-9CE041B4B143}"/>
    <cellStyle name="Normal 4 6 4 3" xfId="3697" xr:uid="{39075C2F-2AE5-40AF-B270-1D8C8294540A}"/>
    <cellStyle name="Normal 4 6 4 3 2" xfId="8693" xr:uid="{7021BAB7-2B9F-4815-BCA3-8CEF983FC481}"/>
    <cellStyle name="Normal 4 6 4 4" xfId="6195" xr:uid="{A8830347-FCB0-404A-944E-C4FAB9911BB9}"/>
    <cellStyle name="Normal 4 6 5" xfId="1448" xr:uid="{DB3EFA96-5384-4729-9080-6EF14FCF86E5}"/>
    <cellStyle name="Normal 4 6 5 2" xfId="2698" xr:uid="{60213673-A9FE-41F0-B53B-A071DCC6D92D}"/>
    <cellStyle name="Normal 4 6 5 2 2" xfId="5196" xr:uid="{026C20F2-3356-4654-A49A-E15D19D48D43}"/>
    <cellStyle name="Normal 4 6 5 2 2 2" xfId="10192" xr:uid="{1BCF8D60-2C37-4F23-AB85-7950D333BF2F}"/>
    <cellStyle name="Normal 4 6 5 2 3" xfId="7694" xr:uid="{3FCB6E70-728E-4EBA-BE35-0FBA0E831780}"/>
    <cellStyle name="Normal 4 6 5 3" xfId="3947" xr:uid="{FFB14D58-FF42-4432-9D00-C66965F5DCB3}"/>
    <cellStyle name="Normal 4 6 5 3 2" xfId="8943" xr:uid="{11A22083-2189-4C01-A6C2-A4426ED61423}"/>
    <cellStyle name="Normal 4 6 5 4" xfId="6445" xr:uid="{B2592077-D55E-4390-AF83-C07D49684C11}"/>
    <cellStyle name="Normal 4 6 6" xfId="1779" xr:uid="{672FF689-7E4A-4030-81D5-23F3152A4D3A}"/>
    <cellStyle name="Normal 4 6 6 2" xfId="4277" xr:uid="{34B23102-6AA2-46B9-9EFF-B6B8565A3C1E}"/>
    <cellStyle name="Normal 4 6 6 2 2" xfId="9273" xr:uid="{B55806A1-C174-4B54-9786-84875602743B}"/>
    <cellStyle name="Normal 4 6 6 3" xfId="6775" xr:uid="{367FE563-89FB-4111-B3BE-0FFC6519C4A2}"/>
    <cellStyle name="Normal 4 6 7" xfId="3028" xr:uid="{CD50EE77-7074-487A-8438-17D6D8F342D5}"/>
    <cellStyle name="Normal 4 6 7 2" xfId="8024" xr:uid="{B8CC40D1-6E39-4E8E-BE2E-543838F2B65E}"/>
    <cellStyle name="Normal 4 6 8" xfId="5526" xr:uid="{B1A76ABB-ABBF-4F60-A22F-D4A6CF59873E}"/>
    <cellStyle name="Normal 4 6 9" xfId="528" xr:uid="{7BFDCB8E-7007-4FFF-A61B-C6CF3569D56F}"/>
    <cellStyle name="Normal 4 7" xfId="268" xr:uid="{E5738CCE-A129-4D51-A821-D2898E17C43F}"/>
    <cellStyle name="Normal 4 7 2" xfId="887" xr:uid="{4E0344A0-A37D-4A80-AC69-347F11D71F4F}"/>
    <cellStyle name="Normal 4 7 2 2" xfId="2138" xr:uid="{B93683EC-A8CD-4E6F-8907-5D953C6560BE}"/>
    <cellStyle name="Normal 4 7 2 2 2" xfId="4636" xr:uid="{6BEE069E-36E6-40AB-8FF0-021547B8CF0E}"/>
    <cellStyle name="Normal 4 7 2 2 2 2" xfId="9632" xr:uid="{4FF6B955-736E-4F4E-82D6-A3A1763844C9}"/>
    <cellStyle name="Normal 4 7 2 2 3" xfId="7134" xr:uid="{925364AA-0976-46FA-A4FB-ECDBB6BAB0E6}"/>
    <cellStyle name="Normal 4 7 2 3" xfId="3387" xr:uid="{A0B76C2C-9BD3-4AD2-BB5B-E0FD02EF8130}"/>
    <cellStyle name="Normal 4 7 2 3 2" xfId="8383" xr:uid="{BA950E39-874A-4E41-8F78-47CF66982464}"/>
    <cellStyle name="Normal 4 7 2 4" xfId="5885" xr:uid="{2BB66F9B-9CCA-4860-A5F3-56ED0C0B346D}"/>
    <cellStyle name="Normal 4 7 3" xfId="1200" xr:uid="{AE31DF44-370D-4FF3-8C7B-EB0192D7DC32}"/>
    <cellStyle name="Normal 4 7 3 2" xfId="2450" xr:uid="{C5C1B3F8-25EA-4D29-B278-5F7F1CE7723B}"/>
    <cellStyle name="Normal 4 7 3 2 2" xfId="4948" xr:uid="{E828D410-AC1B-4B77-B2CB-B2A3A212738B}"/>
    <cellStyle name="Normal 4 7 3 2 2 2" xfId="9944" xr:uid="{13E71AF1-DCC1-409F-AEFB-2169CF438169}"/>
    <cellStyle name="Normal 4 7 3 2 3" xfId="7446" xr:uid="{658E7226-8007-4123-9C8F-7A0CACBBBFE6}"/>
    <cellStyle name="Normal 4 7 3 3" xfId="3699" xr:uid="{C1F698A3-0182-48F7-ADDD-884DC668CC29}"/>
    <cellStyle name="Normal 4 7 3 3 2" xfId="8695" xr:uid="{D196B689-DBD5-4DD2-B5FE-6745F8EA68D7}"/>
    <cellStyle name="Normal 4 7 3 4" xfId="6197" xr:uid="{D84847AB-F4BD-45EC-BCB3-737DD57A9050}"/>
    <cellStyle name="Normal 4 7 4" xfId="1534" xr:uid="{FA5134D8-667D-4F49-B81A-BD05AC8C9F10}"/>
    <cellStyle name="Normal 4 7 4 2" xfId="2784" xr:uid="{AA095BB1-6523-4DB5-A383-31DF0E986499}"/>
    <cellStyle name="Normal 4 7 4 2 2" xfId="5282" xr:uid="{14ACA950-3AFA-42CC-8F9A-9751D8CC454E}"/>
    <cellStyle name="Normal 4 7 4 2 2 2" xfId="10278" xr:uid="{44CE97FE-9718-408B-9F73-75AB0F5848AB}"/>
    <cellStyle name="Normal 4 7 4 2 3" xfId="7780" xr:uid="{69C88646-3E53-495A-9B73-DF1FED35D3E6}"/>
    <cellStyle name="Normal 4 7 4 3" xfId="4033" xr:uid="{04B92E2E-300A-402F-B7EE-94FD49ADB1E4}"/>
    <cellStyle name="Normal 4 7 4 3 2" xfId="9029" xr:uid="{BD0E4A3D-C3F6-4CBD-8F67-E58763531211}"/>
    <cellStyle name="Normal 4 7 4 4" xfId="6531" xr:uid="{C8E11753-6010-4EED-8FB7-94511050805A}"/>
    <cellStyle name="Normal 4 7 5" xfId="1865" xr:uid="{FCC33C47-21FD-486D-B6C2-662E86D68E25}"/>
    <cellStyle name="Normal 4 7 5 2" xfId="4363" xr:uid="{DC2B95C3-0BE6-4816-8C3F-8527DD433036}"/>
    <cellStyle name="Normal 4 7 5 2 2" xfId="9359" xr:uid="{502C78A4-19F1-49B6-A0B3-D457DB2D81AF}"/>
    <cellStyle name="Normal 4 7 5 3" xfId="6861" xr:uid="{8D5B2A82-6FE3-4C8F-9168-1ED290357226}"/>
    <cellStyle name="Normal 4 7 6" xfId="3114" xr:uid="{4976BDA6-40BA-4CEA-B935-4D245FB66CE9}"/>
    <cellStyle name="Normal 4 7 6 2" xfId="8110" xr:uid="{0AB253D1-AD5C-43BC-BAEF-9D830244D12B}"/>
    <cellStyle name="Normal 4 7 7" xfId="5612" xr:uid="{D02125E1-3F53-42C9-96E5-7E670558C5DC}"/>
    <cellStyle name="Normal 4 7 8" xfId="614" xr:uid="{6C82CF36-27FF-4E7B-9B81-C6E29315CE04}"/>
    <cellStyle name="Normal 4 8" xfId="376" xr:uid="{3B64A7BD-2533-4ACE-BA7D-D2D83F2D9BEA}"/>
    <cellStyle name="Normal 4 8 2" xfId="1297" xr:uid="{FB522FA9-0652-4610-A617-6B21750E549C}"/>
    <cellStyle name="Normal 4 8 2 2" xfId="2547" xr:uid="{60B14059-E4FD-4AA1-A314-61BBB96B7DC2}"/>
    <cellStyle name="Normal 4 8 2 2 2" xfId="5045" xr:uid="{0BA34006-B1B3-4ABD-B923-DEB159AE1DC9}"/>
    <cellStyle name="Normal 4 8 2 2 2 2" xfId="10041" xr:uid="{472662FD-2B6E-4C37-ABAC-52136F819604}"/>
    <cellStyle name="Normal 4 8 2 2 3" xfId="7543" xr:uid="{F81FAC09-44CC-4E83-B4AD-AE4F7D119274}"/>
    <cellStyle name="Normal 4 8 2 3" xfId="3796" xr:uid="{08F789CA-0850-4ABF-A2A8-C3F55D141A0E}"/>
    <cellStyle name="Normal 4 8 2 3 2" xfId="8792" xr:uid="{2A40454E-D905-4FF8-A76F-946E93507380}"/>
    <cellStyle name="Normal 4 8 2 4" xfId="6294" xr:uid="{D773D7DF-83FC-42EC-B627-EE971D048BDA}"/>
    <cellStyle name="Normal 4 8 3" xfId="2235" xr:uid="{AAC31D4D-85F8-4996-9D75-1249907C0E8E}"/>
    <cellStyle name="Normal 4 8 3 2" xfId="4733" xr:uid="{843CD179-63A3-44B6-8EE8-913C7CB453D7}"/>
    <cellStyle name="Normal 4 8 3 2 2" xfId="9729" xr:uid="{9FA92813-0DB4-4761-A1C9-E6C3C7DF223C}"/>
    <cellStyle name="Normal 4 8 3 3" xfId="7231" xr:uid="{D6BF3789-82CF-4D40-AE38-6DE3EC65219F}"/>
    <cellStyle name="Normal 4 8 4" xfId="3484" xr:uid="{86D147AF-C173-4066-8CF6-16E1FD5D4903}"/>
    <cellStyle name="Normal 4 8 4 2" xfId="8480" xr:uid="{B6C18BA6-01F1-400E-9942-618D288CF8C4}"/>
    <cellStyle name="Normal 4 8 5" xfId="5982" xr:uid="{CA14EF4C-66B2-4196-8833-5D17075CFD7A}"/>
    <cellStyle name="Normal 4 8 6" xfId="985" xr:uid="{7AFE0216-FB50-43AA-A205-11A6ADD1614E}"/>
    <cellStyle name="Normal 4 9" xfId="26" xr:uid="{5CB54EAA-D36D-49AA-90EB-8CDBBFCDABB4}"/>
    <cellStyle name="Normal 4 9 2" xfId="1936" xr:uid="{AECA5606-2810-42B2-B61B-D7540F4DB485}"/>
    <cellStyle name="Normal 4 9 2 2" xfId="4434" xr:uid="{21ADCCEF-F69E-44F5-8A43-51D2BDD311A6}"/>
    <cellStyle name="Normal 4 9 2 2 2" xfId="9430" xr:uid="{30D596D8-4EF9-4688-9C13-45DEE2F58321}"/>
    <cellStyle name="Normal 4 9 2 3" xfId="6932" xr:uid="{F591FF1B-3B57-4981-A686-42398B3153F0}"/>
    <cellStyle name="Normal 4 9 3" xfId="3185" xr:uid="{D30F5801-7E5D-4D9A-87F1-57E48B59FC0B}"/>
    <cellStyle name="Normal 4 9 3 2" xfId="8181" xr:uid="{A6A4AFBB-F3D1-43BA-8E5A-D4EC32084D6A}"/>
    <cellStyle name="Normal 4 9 4" xfId="5683" xr:uid="{ED61C601-2D9D-4C42-9396-68D485C40B55}"/>
    <cellStyle name="Normal 4 9 5" xfId="685" xr:uid="{E05CB05C-F9C7-436A-88DE-65415D491606}"/>
    <cellStyle name="Normal 5" xfId="8" xr:uid="{00000000-0005-0000-0000-00000E000000}"/>
    <cellStyle name="Normal 5 10" xfId="1311" xr:uid="{16921DAB-BBBC-4404-80C3-BD2F3DD8A904}"/>
    <cellStyle name="Normal 5 10 2" xfId="2561" xr:uid="{09DBC824-1C2D-47EA-9A22-F2EC6A8BB40D}"/>
    <cellStyle name="Normal 5 10 2 2" xfId="5059" xr:uid="{2A8A9C3C-03C6-4550-B252-55E685B6EC0E}"/>
    <cellStyle name="Normal 5 10 2 2 2" xfId="10055" xr:uid="{5CC0175D-E75E-40AE-85F0-7E44176DB939}"/>
    <cellStyle name="Normal 5 10 2 3" xfId="7557" xr:uid="{20A31AD1-3684-45CA-91D5-99862FE719AB}"/>
    <cellStyle name="Normal 5 10 3" xfId="3810" xr:uid="{6983D70B-576A-416D-9F02-F9B0804DEE9E}"/>
    <cellStyle name="Normal 5 10 3 2" xfId="8806" xr:uid="{58921B87-84EF-4985-9257-B6BE49A8F7DA}"/>
    <cellStyle name="Normal 5 10 4" xfId="6308" xr:uid="{8C3D5C3B-A40B-4CCA-AE29-26686573C81B}"/>
    <cellStyle name="Normal 5 11" xfId="1642" xr:uid="{CF58ABBD-C2A9-4C0B-9C3C-4C317040DE5F}"/>
    <cellStyle name="Normal 5 11 2" xfId="4140" xr:uid="{9DB9143F-2991-47BA-A0A2-412067FE471A}"/>
    <cellStyle name="Normal 5 11 2 2" xfId="9136" xr:uid="{7FBC53B7-5E8F-42E9-B258-E8A0C7F24044}"/>
    <cellStyle name="Normal 5 11 3" xfId="6638" xr:uid="{4ECFB61B-2BF8-405B-8737-AA2EFA8CE128}"/>
    <cellStyle name="Normal 5 12" xfId="2891" xr:uid="{FE20A52E-5260-4EF3-9122-6AC23A93FD39}"/>
    <cellStyle name="Normal 5 12 2" xfId="7887" xr:uid="{8B5139FC-47B8-44E1-905A-7EA7DA32FCDE}"/>
    <cellStyle name="Normal 5 13" xfId="5389" xr:uid="{C65D2BE9-01C9-4275-B42C-1F6BAFBF7A2C}"/>
    <cellStyle name="Normal 5 14" xfId="391" xr:uid="{1D6D2F24-4B7C-4156-8C6D-4E6C9C281B62}"/>
    <cellStyle name="Normal 5 2" xfId="19" xr:uid="{68B64B60-06D4-45E8-95E2-D7840C2340B9}"/>
    <cellStyle name="Normal 5 2 10" xfId="432" xr:uid="{9A470F6E-8DCC-4C37-9BB9-07B775B304C5}"/>
    <cellStyle name="Normal 5 2 11" xfId="10382" xr:uid="{CF4BA688-D40B-4532-B47E-5EF2D80987DD}"/>
    <cellStyle name="Normal 5 2 2" xfId="269" xr:uid="{F40EE1F6-8A79-4D73-90C7-42353F05F830}"/>
    <cellStyle name="Normal 5 2 2 2" xfId="270" xr:uid="{7CEE968B-4863-48AA-BD91-4EBB2DCE7EAF}"/>
    <cellStyle name="Normal 5 2 2 2 2" xfId="889" xr:uid="{BEF4CB00-412E-4A4B-9B2F-7E1074969C91}"/>
    <cellStyle name="Normal 5 2 2 2 2 2" xfId="2140" xr:uid="{D0CED9C0-8D81-4D72-9920-998CD37DDE51}"/>
    <cellStyle name="Normal 5 2 2 2 2 2 2" xfId="4638" xr:uid="{2E686DAC-B5B2-4240-834D-4EF0433468C6}"/>
    <cellStyle name="Normal 5 2 2 2 2 2 2 2" xfId="9634" xr:uid="{2366BC23-A5B3-41AA-BBE3-E098E7D318B4}"/>
    <cellStyle name="Normal 5 2 2 2 2 2 3" xfId="7136" xr:uid="{27D49606-EDB5-4973-8DA8-030F070C05A6}"/>
    <cellStyle name="Normal 5 2 2 2 2 3" xfId="3389" xr:uid="{B1D2143A-FDB7-4EF7-8A24-7E98E20B6883}"/>
    <cellStyle name="Normal 5 2 2 2 2 3 2" xfId="8385" xr:uid="{B365DE68-9F40-4D06-8D58-75EC447F5F5D}"/>
    <cellStyle name="Normal 5 2 2 2 2 4" xfId="5887" xr:uid="{207BCEB5-5A12-472C-AD58-9FFE58DC63AF}"/>
    <cellStyle name="Normal 5 2 2 2 3" xfId="1202" xr:uid="{09EEA7DB-6093-469E-99D9-F242B61B1993}"/>
    <cellStyle name="Normal 5 2 2 2 3 2" xfId="2452" xr:uid="{041EFDEB-5B2C-46B0-AEF2-3343CBEE53EF}"/>
    <cellStyle name="Normal 5 2 2 2 3 2 2" xfId="4950" xr:uid="{0AD8B65E-45B4-4188-B7F9-032A31736162}"/>
    <cellStyle name="Normal 5 2 2 2 3 2 2 2" xfId="9946" xr:uid="{7BF4855F-1CE9-4B70-8071-520E0190A4D4}"/>
    <cellStyle name="Normal 5 2 2 2 3 2 3" xfId="7448" xr:uid="{58B5B7EE-5697-4A49-BFF5-FB03B3D20941}"/>
    <cellStyle name="Normal 5 2 2 2 3 3" xfId="3701" xr:uid="{29D8D24A-4F94-441F-BED7-9594086DB6AB}"/>
    <cellStyle name="Normal 5 2 2 2 3 3 2" xfId="8697" xr:uid="{A27D15DC-6E1B-4B9E-BE02-EE02BED1F526}"/>
    <cellStyle name="Normal 5 2 2 2 3 4" xfId="6199" xr:uid="{B1546850-840D-4D61-8866-A7F4CB02FFAD}"/>
    <cellStyle name="Normal 5 2 2 2 4" xfId="1541" xr:uid="{247B2AFA-D58A-45C3-B5D4-C863527D95E9}"/>
    <cellStyle name="Normal 5 2 2 2 4 2" xfId="2791" xr:uid="{F170BC93-8F8D-4055-9678-1AB4C47FACAC}"/>
    <cellStyle name="Normal 5 2 2 2 4 2 2" xfId="5289" xr:uid="{71619EF0-9FD5-4A83-93B8-14D02115EFAD}"/>
    <cellStyle name="Normal 5 2 2 2 4 2 2 2" xfId="10285" xr:uid="{965FE22B-F8F6-436A-95A1-8F2C53436926}"/>
    <cellStyle name="Normal 5 2 2 2 4 2 3" xfId="7787" xr:uid="{6537A14C-996E-4A68-A434-C1316F4765F6}"/>
    <cellStyle name="Normal 5 2 2 2 4 3" xfId="4040" xr:uid="{8FE907CE-4030-440E-B7BC-112709E6716D}"/>
    <cellStyle name="Normal 5 2 2 2 4 3 2" xfId="9036" xr:uid="{73D2018F-0F90-4994-8D3D-41FB61BEC792}"/>
    <cellStyle name="Normal 5 2 2 2 4 4" xfId="6538" xr:uid="{8D9EC129-B3C6-4894-8DB3-53FBCE9D8050}"/>
    <cellStyle name="Normal 5 2 2 2 5" xfId="1872" xr:uid="{09F1DA73-7E6D-4BC9-A3D6-D047F846E18F}"/>
    <cellStyle name="Normal 5 2 2 2 5 2" xfId="4370" xr:uid="{873B9478-3E65-46AF-9E3A-CD5988792A23}"/>
    <cellStyle name="Normal 5 2 2 2 5 2 2" xfId="9366" xr:uid="{101F41D4-E2E9-4D0A-A16D-3DCE250F6F20}"/>
    <cellStyle name="Normal 5 2 2 2 5 3" xfId="6868" xr:uid="{DD417E9D-834B-48E2-8F9F-AF006F0F3F92}"/>
    <cellStyle name="Normal 5 2 2 2 6" xfId="3121" xr:uid="{D67C8439-8162-4BF2-81AF-4FB8CE8275D2}"/>
    <cellStyle name="Normal 5 2 2 2 6 2" xfId="8117" xr:uid="{1802EB3D-3D5D-44B4-B612-76DFD9687A25}"/>
    <cellStyle name="Normal 5 2 2 2 7" xfId="5619" xr:uid="{737D45BB-F29E-4185-84B2-79A039F90020}"/>
    <cellStyle name="Normal 5 2 2 2 8" xfId="621" xr:uid="{EAC018DB-BD5D-486F-9587-AB16E9081BB8}"/>
    <cellStyle name="Normal 5 2 2 3" xfId="888" xr:uid="{F816FD83-B21F-47E9-B86B-59AFA55FC9C6}"/>
    <cellStyle name="Normal 5 2 2 3 2" xfId="2139" xr:uid="{9F90D0E6-E0D3-44E1-A0A3-3F8B9AC588F6}"/>
    <cellStyle name="Normal 5 2 2 3 2 2" xfId="4637" xr:uid="{B74CA4DC-3499-4405-89F9-FB13F89F27D7}"/>
    <cellStyle name="Normal 5 2 2 3 2 2 2" xfId="9633" xr:uid="{41AD25B3-63E0-4D29-AE8B-FFA56CF704D0}"/>
    <cellStyle name="Normal 5 2 2 3 2 3" xfId="7135" xr:uid="{7397F8DA-5313-44D3-9D65-EC12FE36F5CD}"/>
    <cellStyle name="Normal 5 2 2 3 3" xfId="3388" xr:uid="{073A5DC0-C846-4EA1-B718-30B25ACD2421}"/>
    <cellStyle name="Normal 5 2 2 3 3 2" xfId="8384" xr:uid="{59A8FE77-2123-429B-8C26-F18F0C758A8B}"/>
    <cellStyle name="Normal 5 2 2 3 4" xfId="5886" xr:uid="{971469B0-E6C4-4097-AA55-313C63D50786}"/>
    <cellStyle name="Normal 5 2 2 4" xfId="1201" xr:uid="{605909C8-F00E-4683-9A28-DDDE7F540116}"/>
    <cellStyle name="Normal 5 2 2 4 2" xfId="2451" xr:uid="{E7140A73-858C-4838-9C40-D549547285F5}"/>
    <cellStyle name="Normal 5 2 2 4 2 2" xfId="4949" xr:uid="{D14F0CBA-E0A8-4A0F-9C14-C8D2FADA7945}"/>
    <cellStyle name="Normal 5 2 2 4 2 2 2" xfId="9945" xr:uid="{8DC8991B-A6C9-4A4C-B118-9306FF36B5E6}"/>
    <cellStyle name="Normal 5 2 2 4 2 3" xfId="7447" xr:uid="{38F9F560-7C4B-4E11-A3C6-B9A20D5D61A6}"/>
    <cellStyle name="Normal 5 2 2 4 3" xfId="3700" xr:uid="{D2B566FA-7C90-421C-9EDA-3FB06F45D006}"/>
    <cellStyle name="Normal 5 2 2 4 3 2" xfId="8696" xr:uid="{EBBB3A86-EA48-4592-B825-ECFF3DD6C9CB}"/>
    <cellStyle name="Normal 5 2 2 4 4" xfId="6198" xr:uid="{953A1AA5-7E2A-4045-99B1-07B0CB986B7C}"/>
    <cellStyle name="Normal 5 2 2 5" xfId="1419" xr:uid="{DEF717BD-D86F-4A60-A41B-8D2BBD4B5301}"/>
    <cellStyle name="Normal 5 2 2 5 2" xfId="2669" xr:uid="{099792E1-90C3-4E23-9D48-B49860C88052}"/>
    <cellStyle name="Normal 5 2 2 5 2 2" xfId="5167" xr:uid="{81665441-ABDB-4403-980C-40C3AA0D1233}"/>
    <cellStyle name="Normal 5 2 2 5 2 2 2" xfId="10163" xr:uid="{72994AFA-5222-4E30-BEA7-9B52A20E793D}"/>
    <cellStyle name="Normal 5 2 2 5 2 3" xfId="7665" xr:uid="{7D5E0CBF-4CAC-4B9B-9A47-F8A48D95D48D}"/>
    <cellStyle name="Normal 5 2 2 5 3" xfId="3918" xr:uid="{FC21012A-31F9-4A37-9E9C-E4C59FCD3F4A}"/>
    <cellStyle name="Normal 5 2 2 5 3 2" xfId="8914" xr:uid="{45660C0E-8517-4D92-9B85-4DF05675CC34}"/>
    <cellStyle name="Normal 5 2 2 5 4" xfId="6416" xr:uid="{50B07F3F-C7D2-407D-94C7-E8D186996ED6}"/>
    <cellStyle name="Normal 5 2 2 6" xfId="1750" xr:uid="{148DD72F-1531-4698-B188-B3E99070F35A}"/>
    <cellStyle name="Normal 5 2 2 6 2" xfId="4248" xr:uid="{984B1E6E-D556-4EC1-9B29-78E88BED6318}"/>
    <cellStyle name="Normal 5 2 2 6 2 2" xfId="9244" xr:uid="{20A47451-F3F3-4DBC-B054-3BB4C3003251}"/>
    <cellStyle name="Normal 5 2 2 6 3" xfId="6746" xr:uid="{30019105-AB2F-41F6-AD9C-8F6753D50500}"/>
    <cellStyle name="Normal 5 2 2 7" xfId="2999" xr:uid="{2832287D-661F-4D9C-82ED-5B69D325D5EB}"/>
    <cellStyle name="Normal 5 2 2 7 2" xfId="7995" xr:uid="{88C4C31F-ADA8-489E-8210-4D8653B7EC7D}"/>
    <cellStyle name="Normal 5 2 2 8" xfId="5497" xr:uid="{49129EEC-AC10-4D06-B200-200E403FB6BC}"/>
    <cellStyle name="Normal 5 2 2 9" xfId="499" xr:uid="{554D6027-72A1-4ED5-9740-978241B38321}"/>
    <cellStyle name="Normal 5 2 3" xfId="271" xr:uid="{EBAD971F-E416-4BF1-9B60-CDCD176AAC56}"/>
    <cellStyle name="Normal 5 2 3 2" xfId="890" xr:uid="{7407D1C4-774D-4104-87D1-37FF55FCCC91}"/>
    <cellStyle name="Normal 5 2 3 2 2" xfId="2141" xr:uid="{6D84CFDC-A1B4-48D5-9FC9-C0A051EA2111}"/>
    <cellStyle name="Normal 5 2 3 2 2 2" xfId="4639" xr:uid="{CF3385C7-C7A4-4E97-B555-F08B10F8C446}"/>
    <cellStyle name="Normal 5 2 3 2 2 2 2" xfId="9635" xr:uid="{64EE6509-50B6-433F-A485-463DC6D7D5A6}"/>
    <cellStyle name="Normal 5 2 3 2 2 3" xfId="7137" xr:uid="{2E91C6F7-C802-41A7-A800-642B48391139}"/>
    <cellStyle name="Normal 5 2 3 2 3" xfId="3390" xr:uid="{4A1EC732-76B6-4337-A65E-DFD0A3CED0B5}"/>
    <cellStyle name="Normal 5 2 3 2 3 2" xfId="8386" xr:uid="{4F1E8BCA-FCE4-4BA8-9E23-D1733E14DC37}"/>
    <cellStyle name="Normal 5 2 3 2 4" xfId="5888" xr:uid="{42768E04-4064-4F14-AC88-6D444653530B}"/>
    <cellStyle name="Normal 5 2 3 3" xfId="1203" xr:uid="{E9759BC1-62CE-4652-9F9A-C4B65F218F9A}"/>
    <cellStyle name="Normal 5 2 3 3 2" xfId="2453" xr:uid="{937B9A73-70FA-46BA-8F76-D9387DDCF227}"/>
    <cellStyle name="Normal 5 2 3 3 2 2" xfId="4951" xr:uid="{2CA5757A-147B-4227-941C-B5323CDD9BF7}"/>
    <cellStyle name="Normal 5 2 3 3 2 2 2" xfId="9947" xr:uid="{ACC968B5-C3A8-4C95-B27C-3A81201B1391}"/>
    <cellStyle name="Normal 5 2 3 3 2 3" xfId="7449" xr:uid="{80C1B36E-08C4-4A6A-ACCC-4045010EB075}"/>
    <cellStyle name="Normal 5 2 3 3 3" xfId="3702" xr:uid="{3CF81A7C-5A32-4A15-BF0A-A947A7B1E53C}"/>
    <cellStyle name="Normal 5 2 3 3 3 2" xfId="8698" xr:uid="{CEB5AE08-58CF-4439-8DC9-8BDAA204BE2F}"/>
    <cellStyle name="Normal 5 2 3 3 4" xfId="6200" xr:uid="{03E20961-2870-409C-9173-BC14C46EE694}"/>
    <cellStyle name="Normal 5 2 3 4" xfId="1540" xr:uid="{E3100C6C-B73C-4688-BCC0-853C3F7AD932}"/>
    <cellStyle name="Normal 5 2 3 4 2" xfId="2790" xr:uid="{C136034B-001E-4DE1-9A36-37BF76182573}"/>
    <cellStyle name="Normal 5 2 3 4 2 2" xfId="5288" xr:uid="{3C0FEA37-9162-413E-800C-8842BB1088C6}"/>
    <cellStyle name="Normal 5 2 3 4 2 2 2" xfId="10284" xr:uid="{08761A88-DAD0-405B-9325-E0FEC7373097}"/>
    <cellStyle name="Normal 5 2 3 4 2 3" xfId="7786" xr:uid="{509A6E29-C1C1-42DA-AEC2-C76C9F6482B9}"/>
    <cellStyle name="Normal 5 2 3 4 3" xfId="4039" xr:uid="{3028C896-7022-4A99-B986-A0E17C913925}"/>
    <cellStyle name="Normal 5 2 3 4 3 2" xfId="9035" xr:uid="{682CD8FC-5FCD-439A-87E7-B1E136777FCD}"/>
    <cellStyle name="Normal 5 2 3 4 4" xfId="6537" xr:uid="{26774EB6-84BB-4B3D-9201-08FE6DC732E7}"/>
    <cellStyle name="Normal 5 2 3 5" xfId="1871" xr:uid="{72D6CE81-0937-4397-9F31-458DABCA8DFD}"/>
    <cellStyle name="Normal 5 2 3 5 2" xfId="4369" xr:uid="{8805CE9A-461F-49DD-BE63-CB8A36AE81EC}"/>
    <cellStyle name="Normal 5 2 3 5 2 2" xfId="9365" xr:uid="{6BE561E6-40E0-453C-94FC-236287019B8C}"/>
    <cellStyle name="Normal 5 2 3 5 3" xfId="6867" xr:uid="{F3039108-FFA8-4FDC-BBEB-CC8E521047F0}"/>
    <cellStyle name="Normal 5 2 3 6" xfId="3120" xr:uid="{52B16995-64B3-4099-9747-1EEC418BD5B2}"/>
    <cellStyle name="Normal 5 2 3 6 2" xfId="8116" xr:uid="{4EF64B5E-10E6-41EF-82C0-A13364EF62C3}"/>
    <cellStyle name="Normal 5 2 3 7" xfId="5618" xr:uid="{E8164A35-0305-4105-8304-C8EB8C769D9C}"/>
    <cellStyle name="Normal 5 2 3 8" xfId="620" xr:uid="{7B56B7C2-3A89-4DAB-8C34-9BC6DF1B3FEB}"/>
    <cellStyle name="Normal 5 2 4" xfId="72" xr:uid="{0A88FD4C-856A-4824-874D-B4DC6CFB7010}"/>
    <cellStyle name="Normal 5 2 4 2" xfId="1977" xr:uid="{1CEF46B6-A885-44EB-A246-E3251C84DDD6}"/>
    <cellStyle name="Normal 5 2 4 2 2" xfId="4475" xr:uid="{08EFB53F-411C-48F7-9A15-96A51ACAFFA1}"/>
    <cellStyle name="Normal 5 2 4 2 2 2" xfId="9471" xr:uid="{2BEB4681-C6D3-4DA6-A410-030143B12CBD}"/>
    <cellStyle name="Normal 5 2 4 2 3" xfId="6973" xr:uid="{4A465E5B-9524-4B71-893B-2DBD949C0877}"/>
    <cellStyle name="Normal 5 2 4 3" xfId="3226" xr:uid="{5551542B-7BED-4C1D-9EB5-2051BFE7CC0A}"/>
    <cellStyle name="Normal 5 2 4 3 2" xfId="8222" xr:uid="{5A5443FD-48B7-4D2B-876E-A8D6CECAF228}"/>
    <cellStyle name="Normal 5 2 4 4" xfId="5724" xr:uid="{059D1B6B-4C12-4FFF-97F8-2A06ED848CB2}"/>
    <cellStyle name="Normal 5 2 4 5" xfId="726" xr:uid="{6403E121-64B9-4CA3-B1B9-2B5FD33F4E54}"/>
    <cellStyle name="Normal 5 2 5" xfId="1039" xr:uid="{9636995A-71F1-4A07-AD94-4A946C37CA8D}"/>
    <cellStyle name="Normal 5 2 5 2" xfId="2289" xr:uid="{E1D12DEB-E4CE-4520-9450-7325B78ED2D7}"/>
    <cellStyle name="Normal 5 2 5 2 2" xfId="4787" xr:uid="{487D9856-645E-4A37-861F-45655A7BE0DA}"/>
    <cellStyle name="Normal 5 2 5 2 2 2" xfId="9783" xr:uid="{F261D7CC-B68F-480F-ADF1-E623C98EE27F}"/>
    <cellStyle name="Normal 5 2 5 2 3" xfId="7285" xr:uid="{CC7A1AAA-99B9-4EE4-8F06-F61C05C9D0D8}"/>
    <cellStyle name="Normal 5 2 5 3" xfId="3538" xr:uid="{0DD44890-526D-452D-8D10-9FBB854ADF58}"/>
    <cellStyle name="Normal 5 2 5 3 2" xfId="8534" xr:uid="{6367EBF1-AE41-4E28-BEED-EA4AF941B596}"/>
    <cellStyle name="Normal 5 2 5 4" xfId="6036" xr:uid="{FA981D87-D5EF-438C-B29C-1EAEB5A208E1}"/>
    <cellStyle name="Normal 5 2 6" xfId="1352" xr:uid="{EF13B5DD-E4D8-4F08-B873-0F1739E5CF83}"/>
    <cellStyle name="Normal 5 2 6 2" xfId="2602" xr:uid="{E834D466-9D55-4F5A-A9D8-E291A0E63A25}"/>
    <cellStyle name="Normal 5 2 6 2 2" xfId="5100" xr:uid="{54F0639E-57D9-41CC-9C14-D98076ED7B1A}"/>
    <cellStyle name="Normal 5 2 6 2 2 2" xfId="10096" xr:uid="{BB300292-D85C-4B20-B594-06BD077FBBDC}"/>
    <cellStyle name="Normal 5 2 6 2 3" xfId="7598" xr:uid="{039F8FE0-A5B0-405B-B6D1-4031B175F009}"/>
    <cellStyle name="Normal 5 2 6 3" xfId="3851" xr:uid="{957A2768-0E71-40E6-A75D-D7466E2B081F}"/>
    <cellStyle name="Normal 5 2 6 3 2" xfId="8847" xr:uid="{5B857C73-09B8-46C2-8698-EE37524ACA66}"/>
    <cellStyle name="Normal 5 2 6 4" xfId="6349" xr:uid="{D31B4197-5382-4785-9233-305EEA572034}"/>
    <cellStyle name="Normal 5 2 7" xfId="1683" xr:uid="{3BE892A6-F7DE-49F7-9109-847CAF9E7DCC}"/>
    <cellStyle name="Normal 5 2 7 2" xfId="4181" xr:uid="{C93E8D53-1660-45D8-8A94-E8E616CC5339}"/>
    <cellStyle name="Normal 5 2 7 2 2" xfId="9177" xr:uid="{02F16CDF-8E5D-4B5B-81EC-1395A00711DF}"/>
    <cellStyle name="Normal 5 2 7 3" xfId="6679" xr:uid="{3473C393-84C2-4E8E-9F1F-6274AC57BABC}"/>
    <cellStyle name="Normal 5 2 8" xfId="2932" xr:uid="{8ED99535-2F1E-4863-978D-972854C239CF}"/>
    <cellStyle name="Normal 5 2 8 2" xfId="7928" xr:uid="{FEFFD3DD-7411-49BE-83EC-9B297ECFDB48}"/>
    <cellStyle name="Normal 5 2 9" xfId="5430" xr:uid="{A3FAB554-5991-44AD-B6B1-9DE645139EAA}"/>
    <cellStyle name="Normal 5 3" xfId="96" xr:uid="{354AB840-7CDC-4A0F-9381-993E4AC04F3D}"/>
    <cellStyle name="Normal 5 3 2" xfId="272" xr:uid="{51CDBE1E-574F-4676-9305-2D44C8D6D3B8}"/>
    <cellStyle name="Normal 5 3 2 2" xfId="891" xr:uid="{A4D0816D-F1C4-47DF-BF41-4B756DDC0913}"/>
    <cellStyle name="Normal 5 3 2 2 2" xfId="2142" xr:uid="{77EB54BC-BF34-4424-AB60-EFE07A6E5D7E}"/>
    <cellStyle name="Normal 5 3 2 2 2 2" xfId="4640" xr:uid="{5997831B-8D9B-4872-9E4B-52699E8B631E}"/>
    <cellStyle name="Normal 5 3 2 2 2 2 2" xfId="9636" xr:uid="{4FF26499-2030-459F-BBD9-390061D48540}"/>
    <cellStyle name="Normal 5 3 2 2 2 3" xfId="7138" xr:uid="{228430AA-DF8D-4B73-B74D-487160AC1C87}"/>
    <cellStyle name="Normal 5 3 2 2 3" xfId="3391" xr:uid="{150DE81B-6DEA-42A5-8FB6-D4C2AA0BFD3A}"/>
    <cellStyle name="Normal 5 3 2 2 3 2" xfId="8387" xr:uid="{1FE6FA79-769B-4499-B58C-407A58AC26B2}"/>
    <cellStyle name="Normal 5 3 2 2 4" xfId="5889" xr:uid="{C1EA1669-4108-472E-AFB3-A17D04A1B9E1}"/>
    <cellStyle name="Normal 5 3 2 3" xfId="1204" xr:uid="{E8228E90-DBC2-42D9-80B2-EED8B8656F3D}"/>
    <cellStyle name="Normal 5 3 2 3 2" xfId="2454" xr:uid="{BE7B571F-CB21-41F2-A72D-FA1215C05B54}"/>
    <cellStyle name="Normal 5 3 2 3 2 2" xfId="4952" xr:uid="{68124093-0954-4E13-BFAF-7C552F57AFBD}"/>
    <cellStyle name="Normal 5 3 2 3 2 2 2" xfId="9948" xr:uid="{3606DB8F-A60E-4EA8-8CC9-7E63F5630B9F}"/>
    <cellStyle name="Normal 5 3 2 3 2 3" xfId="7450" xr:uid="{EDB71508-4AB9-487A-9504-4FB9E8FA714D}"/>
    <cellStyle name="Normal 5 3 2 3 3" xfId="3703" xr:uid="{ED3E076D-8B2E-4699-AD74-59227E8523DE}"/>
    <cellStyle name="Normal 5 3 2 3 3 2" xfId="8699" xr:uid="{0C836636-BE1B-4494-8905-892D4D99F45D}"/>
    <cellStyle name="Normal 5 3 2 3 4" xfId="6201" xr:uid="{68C8A958-3922-4C7F-8DB8-D8ACD99AE193}"/>
    <cellStyle name="Normal 5 3 2 4" xfId="1542" xr:uid="{63D97732-3231-4F3B-B7E5-63359EE1AF73}"/>
    <cellStyle name="Normal 5 3 2 4 2" xfId="2792" xr:uid="{17CE09D7-9994-4EB2-A3FF-93A5EA7A3C9F}"/>
    <cellStyle name="Normal 5 3 2 4 2 2" xfId="5290" xr:uid="{6E225C92-C8BC-4C7A-A409-1CCD3237D223}"/>
    <cellStyle name="Normal 5 3 2 4 2 2 2" xfId="10286" xr:uid="{B610484B-5B88-4D9E-ABCD-739B0D0C6B2A}"/>
    <cellStyle name="Normal 5 3 2 4 2 3" xfId="7788" xr:uid="{45C0A3EB-2A4D-41C5-9516-E26893E69FF6}"/>
    <cellStyle name="Normal 5 3 2 4 3" xfId="4041" xr:uid="{DB3A58B7-672C-45F5-A320-AD93268B025B}"/>
    <cellStyle name="Normal 5 3 2 4 3 2" xfId="9037" xr:uid="{39238C47-663B-4586-B429-444B6BFEE80A}"/>
    <cellStyle name="Normal 5 3 2 4 4" xfId="6539" xr:uid="{9090E904-89E6-4BC5-AAE2-F3C315610201}"/>
    <cellStyle name="Normal 5 3 2 5" xfId="1873" xr:uid="{40D9C1EA-CAAB-49FD-8E9E-D819CB8474FC}"/>
    <cellStyle name="Normal 5 3 2 5 2" xfId="4371" xr:uid="{76016EA9-5D19-4B78-A5DB-7CBC90FD5E74}"/>
    <cellStyle name="Normal 5 3 2 5 2 2" xfId="9367" xr:uid="{AC72CCEE-D38D-4854-BAAF-88E24529C05A}"/>
    <cellStyle name="Normal 5 3 2 5 3" xfId="6869" xr:uid="{015FA672-568E-4549-9272-9196F8E0C518}"/>
    <cellStyle name="Normal 5 3 2 6" xfId="3122" xr:uid="{DA5882FE-B769-4CB9-B326-C723BF174455}"/>
    <cellStyle name="Normal 5 3 2 6 2" xfId="8118" xr:uid="{0CA7155C-F9D0-4B6A-90ED-05D925D68CFF}"/>
    <cellStyle name="Normal 5 3 2 7" xfId="5620" xr:uid="{CAB8402A-521C-4ED8-9D0C-5ABAD3D96AAE}"/>
    <cellStyle name="Normal 5 3 2 8" xfId="622" xr:uid="{3CA4AFF4-D11C-4045-9A73-BF96B58EA857}"/>
    <cellStyle name="Normal 5 3 3" xfId="750" xr:uid="{801B0000-DE17-4C2A-887F-FBDCF1177367}"/>
    <cellStyle name="Normal 5 3 3 2" xfId="2001" xr:uid="{E562CFEF-1B29-42AE-BF4E-A20D0039CF6E}"/>
    <cellStyle name="Normal 5 3 3 2 2" xfId="4499" xr:uid="{659E1265-475B-4D8D-B1A5-2EECF5FFBE3E}"/>
    <cellStyle name="Normal 5 3 3 2 2 2" xfId="9495" xr:uid="{FED68226-8B21-4AE9-A82C-2747A3FD5695}"/>
    <cellStyle name="Normal 5 3 3 2 3" xfId="6997" xr:uid="{F70CA19C-C99E-4B92-AC69-2387DC9A69A8}"/>
    <cellStyle name="Normal 5 3 3 3" xfId="3250" xr:uid="{FCB385F7-B1F7-4D21-A5B5-C17E1B7A5292}"/>
    <cellStyle name="Normal 5 3 3 3 2" xfId="8246" xr:uid="{62E02B56-B4DC-439A-8A6E-FF1021EC13AA}"/>
    <cellStyle name="Normal 5 3 3 4" xfId="5748" xr:uid="{BFA81902-6E13-4228-88A0-CDD1A2C1CAEC}"/>
    <cellStyle name="Normal 5 3 4" xfId="1063" xr:uid="{10D32934-0ABB-48F1-BE5A-BD16335C0086}"/>
    <cellStyle name="Normal 5 3 4 2" xfId="2313" xr:uid="{DAF872E7-6C93-4DB6-8C24-2CE615C6401A}"/>
    <cellStyle name="Normal 5 3 4 2 2" xfId="4811" xr:uid="{1B9E930A-1A36-4E10-A9E7-816AD1AB4BEA}"/>
    <cellStyle name="Normal 5 3 4 2 2 2" xfId="9807" xr:uid="{FFAA4B07-F16E-4EB5-B2D2-79D456D205F2}"/>
    <cellStyle name="Normal 5 3 4 2 3" xfId="7309" xr:uid="{4F746DFD-C195-43B1-BE31-01C0EDE9AF43}"/>
    <cellStyle name="Normal 5 3 4 3" xfId="3562" xr:uid="{FFF7DCC5-D88A-4D7B-A90E-CFC2D05D127D}"/>
    <cellStyle name="Normal 5 3 4 3 2" xfId="8558" xr:uid="{114B7800-3D56-44B8-9849-5BE753E2920B}"/>
    <cellStyle name="Normal 5 3 4 4" xfId="6060" xr:uid="{488B0602-074F-4F93-B37D-C74AB50A0FF7}"/>
    <cellStyle name="Normal 5 3 5" xfId="1420" xr:uid="{D111491E-22AE-4D86-BDC9-91E66F4FED3F}"/>
    <cellStyle name="Normal 5 3 5 2" xfId="2670" xr:uid="{1D0F7381-A97D-4F87-89F3-514B8AE79F43}"/>
    <cellStyle name="Normal 5 3 5 2 2" xfId="5168" xr:uid="{81204E35-09EB-420C-A157-9A5AC888EFB7}"/>
    <cellStyle name="Normal 5 3 5 2 2 2" xfId="10164" xr:uid="{9DA23AEC-4004-4F82-AD2A-4674F2C2EF59}"/>
    <cellStyle name="Normal 5 3 5 2 3" xfId="7666" xr:uid="{9A4C550A-0F08-4DC5-89A4-00477833F55C}"/>
    <cellStyle name="Normal 5 3 5 3" xfId="3919" xr:uid="{7698410F-D6B8-42A1-B689-B335AE1A012A}"/>
    <cellStyle name="Normal 5 3 5 3 2" xfId="8915" xr:uid="{A2BC3913-9791-4729-82D0-6ADE32AD57DE}"/>
    <cellStyle name="Normal 5 3 5 4" xfId="6417" xr:uid="{970ED3F9-2B7B-4DB4-8DBE-E2BA79B22054}"/>
    <cellStyle name="Normal 5 3 6" xfId="1751" xr:uid="{28CAA207-4F11-4809-939C-6C5785FE4F05}"/>
    <cellStyle name="Normal 5 3 6 2" xfId="4249" xr:uid="{27FC9641-FF55-47C4-A9FC-5CEAEAC5AABB}"/>
    <cellStyle name="Normal 5 3 6 2 2" xfId="9245" xr:uid="{72896A71-1CF6-40C2-8198-523A6F02BDA0}"/>
    <cellStyle name="Normal 5 3 6 3" xfId="6747" xr:uid="{F591F510-83FD-4E8E-9B08-BD511107F5EA}"/>
    <cellStyle name="Normal 5 3 7" xfId="3000" xr:uid="{DD1657EF-8642-4782-BD69-1F551DD7FEEC}"/>
    <cellStyle name="Normal 5 3 7 2" xfId="7996" xr:uid="{3737D9DE-C970-4EB6-B227-F75C32903147}"/>
    <cellStyle name="Normal 5 3 8" xfId="5498" xr:uid="{21E51FCA-8D69-4249-87F7-0FE4D4289293}"/>
    <cellStyle name="Normal 5 3 9" xfId="500" xr:uid="{F71ADA22-41E0-4BC1-AD55-013261820D80}"/>
    <cellStyle name="Normal 5 4" xfId="273" xr:uid="{7EED8D7E-CA85-4CFF-B5A2-275E2B5BE8EA}"/>
    <cellStyle name="Normal 5 4 2" xfId="274" xr:uid="{FADFBE99-5F84-4ED3-AF65-4EBC6730B71A}"/>
    <cellStyle name="Normal 5 4 2 2" xfId="893" xr:uid="{7957BF8C-0094-438C-BCE0-A6A9E09FC246}"/>
    <cellStyle name="Normal 5 4 2 2 2" xfId="2144" xr:uid="{70C4F59C-7C17-4D32-9176-AE0DE4A6BABA}"/>
    <cellStyle name="Normal 5 4 2 2 2 2" xfId="4642" xr:uid="{74462FDD-DD6D-4A0C-B054-0E558F64465A}"/>
    <cellStyle name="Normal 5 4 2 2 2 2 2" xfId="9638" xr:uid="{3330ADED-053C-4DF0-A791-C40309DAA565}"/>
    <cellStyle name="Normal 5 4 2 2 2 3" xfId="7140" xr:uid="{FA87BD73-C403-405D-AFEB-C5A329E2EED7}"/>
    <cellStyle name="Normal 5 4 2 2 3" xfId="3393" xr:uid="{025CB694-8D11-4C2F-AF47-8CE633AA7511}"/>
    <cellStyle name="Normal 5 4 2 2 3 2" xfId="8389" xr:uid="{023064EA-ABC6-47E2-91FA-C5DD5B0828A4}"/>
    <cellStyle name="Normal 5 4 2 2 4" xfId="5891" xr:uid="{B7AD38E9-214A-403E-A913-EAA3C7030881}"/>
    <cellStyle name="Normal 5 4 2 3" xfId="1206" xr:uid="{77BA30B6-0317-41C9-8FC0-E4DD37EE8BC7}"/>
    <cellStyle name="Normal 5 4 2 3 2" xfId="2456" xr:uid="{B5C44588-8CB5-4960-9AB9-F4EFD8A35D4E}"/>
    <cellStyle name="Normal 5 4 2 3 2 2" xfId="4954" xr:uid="{9F3B2B59-92BC-4541-8D32-7C1F219077E9}"/>
    <cellStyle name="Normal 5 4 2 3 2 2 2" xfId="9950" xr:uid="{7DFDB21C-8432-4D00-AB28-646F5B50ADFC}"/>
    <cellStyle name="Normal 5 4 2 3 2 3" xfId="7452" xr:uid="{66F4B05D-AB38-4ECB-9E7D-DF9D95B40D46}"/>
    <cellStyle name="Normal 5 4 2 3 3" xfId="3705" xr:uid="{5EB80CC6-7B8F-4E7E-A6F9-0C63E549ABC6}"/>
    <cellStyle name="Normal 5 4 2 3 3 2" xfId="8701" xr:uid="{654943B4-D92B-491F-AAE5-68794B1BCE72}"/>
    <cellStyle name="Normal 5 4 2 3 4" xfId="6203" xr:uid="{55C5C349-2EDA-4D8B-913C-C1CE37B7A6DC}"/>
    <cellStyle name="Normal 5 4 2 4" xfId="1543" xr:uid="{0F5D877A-62E1-41CA-A6C7-9EB47CD0B8EE}"/>
    <cellStyle name="Normal 5 4 2 4 2" xfId="2793" xr:uid="{39E959A4-090B-465A-92F5-B2729C58201C}"/>
    <cellStyle name="Normal 5 4 2 4 2 2" xfId="5291" xr:uid="{F28AF13A-7A03-4AD2-9E89-2B1839025714}"/>
    <cellStyle name="Normal 5 4 2 4 2 2 2" xfId="10287" xr:uid="{D209B842-0AA6-46F9-A4A0-5DA4F2DB71E2}"/>
    <cellStyle name="Normal 5 4 2 4 2 3" xfId="7789" xr:uid="{5BF568CE-11D1-4845-886B-8E8B92983887}"/>
    <cellStyle name="Normal 5 4 2 4 3" xfId="4042" xr:uid="{C8FA658E-6205-46C5-BD26-929E3073B16D}"/>
    <cellStyle name="Normal 5 4 2 4 3 2" xfId="9038" xr:uid="{C5C66AC0-6E9C-4E4F-B16C-5F2DD9FF9299}"/>
    <cellStyle name="Normal 5 4 2 4 4" xfId="6540" xr:uid="{333D6629-F8BE-4FC3-8BEA-FA6AF280EB01}"/>
    <cellStyle name="Normal 5 4 2 5" xfId="1874" xr:uid="{B9E4FEF6-CDEE-4022-99DA-9EF630C9FCB4}"/>
    <cellStyle name="Normal 5 4 2 5 2" xfId="4372" xr:uid="{349A13CE-CC84-4ACE-B409-C763D22E2442}"/>
    <cellStyle name="Normal 5 4 2 5 2 2" xfId="9368" xr:uid="{CE7C93AB-F147-405C-8AC1-82BE933167F0}"/>
    <cellStyle name="Normal 5 4 2 5 3" xfId="6870" xr:uid="{0F6148DB-93E9-42B9-8791-D7A7859CE202}"/>
    <cellStyle name="Normal 5 4 2 6" xfId="3123" xr:uid="{AC3CA5DF-232A-4628-9EA3-076429A9B06D}"/>
    <cellStyle name="Normal 5 4 2 6 2" xfId="8119" xr:uid="{3DBC864C-089F-4AAE-A46A-78529F228911}"/>
    <cellStyle name="Normal 5 4 2 7" xfId="5621" xr:uid="{5DBA86CC-0ACC-4E8D-ACF9-439A4DD2E3ED}"/>
    <cellStyle name="Normal 5 4 2 8" xfId="623" xr:uid="{7A045BAD-3B47-46F3-A2EF-CAE43DC6FBBE}"/>
    <cellStyle name="Normal 5 4 3" xfId="892" xr:uid="{0754736B-62A5-4359-8C83-18E2E2B1F200}"/>
    <cellStyle name="Normal 5 4 3 2" xfId="2143" xr:uid="{031AB78A-3A46-4A8B-8DE5-3435F434DB0D}"/>
    <cellStyle name="Normal 5 4 3 2 2" xfId="4641" xr:uid="{84E22AD8-DDA3-4534-87EC-5661E0202D94}"/>
    <cellStyle name="Normal 5 4 3 2 2 2" xfId="9637" xr:uid="{590BA1BB-AB09-42BF-B6BF-EF8B3EA69C1A}"/>
    <cellStyle name="Normal 5 4 3 2 3" xfId="7139" xr:uid="{E78BE31F-CD49-4467-85B1-8BB6EF57CE7D}"/>
    <cellStyle name="Normal 5 4 3 3" xfId="3392" xr:uid="{9B5D5CF4-A997-4433-B1D2-A7D192C6130B}"/>
    <cellStyle name="Normal 5 4 3 3 2" xfId="8388" xr:uid="{9A25F415-9A2B-4C3D-B4AD-E7626F54167B}"/>
    <cellStyle name="Normal 5 4 3 4" xfId="5890" xr:uid="{3637CA23-59C2-4E01-9E16-5049ADBB9B7B}"/>
    <cellStyle name="Normal 5 4 4" xfId="1205" xr:uid="{3F14C3C8-6D5B-48CF-A14B-0345C6726AE2}"/>
    <cellStyle name="Normal 5 4 4 2" xfId="2455" xr:uid="{326AD817-EA72-4B09-B875-78D84C0FF2F7}"/>
    <cellStyle name="Normal 5 4 4 2 2" xfId="4953" xr:uid="{70160246-EACA-4437-BBC9-ACAE1E499519}"/>
    <cellStyle name="Normal 5 4 4 2 2 2" xfId="9949" xr:uid="{71E86B85-6AD5-4E3A-90F0-89418EBD94A5}"/>
    <cellStyle name="Normal 5 4 4 2 3" xfId="7451" xr:uid="{F6FE92E4-5F07-42D5-B0A2-267CB3D76FBF}"/>
    <cellStyle name="Normal 5 4 4 3" xfId="3704" xr:uid="{0E1AA3E5-A711-4168-AD65-D91475952D1B}"/>
    <cellStyle name="Normal 5 4 4 3 2" xfId="8700" xr:uid="{1E10640A-D95C-4AA0-85E5-A9037EB7EAEF}"/>
    <cellStyle name="Normal 5 4 4 4" xfId="6202" xr:uid="{2A599B35-C4C3-4A4E-B54A-6C8B1E82E1E9}"/>
    <cellStyle name="Normal 5 4 5" xfId="1418" xr:uid="{C789C5A4-4ACC-42E1-A384-A92D9FA4036E}"/>
    <cellStyle name="Normal 5 4 5 2" xfId="2668" xr:uid="{32385363-80D7-4EA6-912A-C393E1722B1D}"/>
    <cellStyle name="Normal 5 4 5 2 2" xfId="5166" xr:uid="{AA136805-E40B-4322-B644-DBF679070C19}"/>
    <cellStyle name="Normal 5 4 5 2 2 2" xfId="10162" xr:uid="{24C2CDB7-6B0D-418B-B92D-E1FBEBF4DF37}"/>
    <cellStyle name="Normal 5 4 5 2 3" xfId="7664" xr:uid="{8D26A851-4109-4AFD-A927-F06332D17162}"/>
    <cellStyle name="Normal 5 4 5 3" xfId="3917" xr:uid="{2815E5CA-6BD3-45C0-8CE2-0DF104F76CA4}"/>
    <cellStyle name="Normal 5 4 5 3 2" xfId="8913" xr:uid="{3467EAED-1746-4981-9185-BCFB491895FA}"/>
    <cellStyle name="Normal 5 4 5 4" xfId="6415" xr:uid="{239E9A21-F4E2-4817-9753-838CEB9A5652}"/>
    <cellStyle name="Normal 5 4 6" xfId="1749" xr:uid="{3DAEDC7D-F115-47FC-BCE2-0C0B9E9BB7E1}"/>
    <cellStyle name="Normal 5 4 6 2" xfId="4247" xr:uid="{81607A00-493A-48F3-9FDC-EE0BFA91FE85}"/>
    <cellStyle name="Normal 5 4 6 2 2" xfId="9243" xr:uid="{28A7310A-8ACD-4D24-A51E-38FA13D6E186}"/>
    <cellStyle name="Normal 5 4 6 3" xfId="6745" xr:uid="{69FAF497-E1B1-42A0-B57A-F5CEAC8429DC}"/>
    <cellStyle name="Normal 5 4 7" xfId="2998" xr:uid="{CE3712B9-440C-409D-B0BD-9A71224C0BAD}"/>
    <cellStyle name="Normal 5 4 7 2" xfId="7994" xr:uid="{95C8173D-7A7C-431D-A540-479BB2E1AC11}"/>
    <cellStyle name="Normal 5 4 8" xfId="5496" xr:uid="{27EDD80F-49DB-4EE1-8224-64281DC11DBE}"/>
    <cellStyle name="Normal 5 4 9" xfId="498" xr:uid="{157C2969-18CA-4D28-B1F7-A3ED327BEEAD}"/>
    <cellStyle name="Normal 5 5" xfId="275" xr:uid="{CC14259A-CA1C-40B3-B0D5-065E1E2DF452}"/>
    <cellStyle name="Normal 5 5 2" xfId="276" xr:uid="{AB7FB0A3-14DD-4F92-97C8-35729629D009}"/>
    <cellStyle name="Normal 5 5 2 2" xfId="895" xr:uid="{3E749D7E-91FC-409D-9C9A-135F3829C543}"/>
    <cellStyle name="Normal 5 5 2 2 2" xfId="2146" xr:uid="{E049F821-1C5A-4984-BF16-08A0554F188E}"/>
    <cellStyle name="Normal 5 5 2 2 2 2" xfId="4644" xr:uid="{75BFBCCD-B5E5-4F19-85A2-44F7BB5A680A}"/>
    <cellStyle name="Normal 5 5 2 2 2 2 2" xfId="9640" xr:uid="{2F200BF7-BA0A-4346-BF3B-2B12ADAAB779}"/>
    <cellStyle name="Normal 5 5 2 2 2 3" xfId="7142" xr:uid="{2BCD7A2D-A3CB-4195-89B3-48D6CB52BA72}"/>
    <cellStyle name="Normal 5 5 2 2 3" xfId="3395" xr:uid="{366E9F50-0BCE-4F56-B465-228C8C2B51F8}"/>
    <cellStyle name="Normal 5 5 2 2 3 2" xfId="8391" xr:uid="{6D498C92-45AB-4304-B6FF-6D1E1DF3DF82}"/>
    <cellStyle name="Normal 5 5 2 2 4" xfId="5893" xr:uid="{4CDD5CBF-7FC7-42AA-B4AA-0836D757FFC4}"/>
    <cellStyle name="Normal 5 5 2 3" xfId="1208" xr:uid="{72B0CDB2-C49A-471E-9476-D8BE3186585A}"/>
    <cellStyle name="Normal 5 5 2 3 2" xfId="2458" xr:uid="{81FA6B34-F3D2-46C7-BA85-CD15DBFD93CD}"/>
    <cellStyle name="Normal 5 5 2 3 2 2" xfId="4956" xr:uid="{8E24B6E1-8F42-4CC0-AA2A-53E980415168}"/>
    <cellStyle name="Normal 5 5 2 3 2 2 2" xfId="9952" xr:uid="{C5DA1806-6284-4001-95FE-4EB045A7A974}"/>
    <cellStyle name="Normal 5 5 2 3 2 3" xfId="7454" xr:uid="{6685D7A8-02ED-46CC-868B-6BA521CD945E}"/>
    <cellStyle name="Normal 5 5 2 3 3" xfId="3707" xr:uid="{45802AA7-1E82-48DF-81F1-FE10D3AF11AE}"/>
    <cellStyle name="Normal 5 5 2 3 3 2" xfId="8703" xr:uid="{6C57FD32-2927-40D1-9D2E-DE5555C0C45B}"/>
    <cellStyle name="Normal 5 5 2 3 4" xfId="6205" xr:uid="{EEAF81AB-3C7F-477F-8F21-F6F74323E1E0}"/>
    <cellStyle name="Normal 5 5 2 4" xfId="1544" xr:uid="{B4877900-6EB2-4DA8-8DBF-2215AD4F7C98}"/>
    <cellStyle name="Normal 5 5 2 4 2" xfId="2794" xr:uid="{308458F1-CE91-4D6A-868E-CE9E4F6CE32F}"/>
    <cellStyle name="Normal 5 5 2 4 2 2" xfId="5292" xr:uid="{3548D4E9-26B0-4EE9-9E5E-8607A431DEF7}"/>
    <cellStyle name="Normal 5 5 2 4 2 2 2" xfId="10288" xr:uid="{DBCAA03F-5F9A-4F4F-A151-0A9A3BBEF520}"/>
    <cellStyle name="Normal 5 5 2 4 2 3" xfId="7790" xr:uid="{313E489F-58E1-400C-A44C-AAD8BE22AE3C}"/>
    <cellStyle name="Normal 5 5 2 4 3" xfId="4043" xr:uid="{944C06F4-F225-4F4B-B656-B0A57A3D04C6}"/>
    <cellStyle name="Normal 5 5 2 4 3 2" xfId="9039" xr:uid="{7F8AEA22-9EDC-4088-8959-06CA00778B29}"/>
    <cellStyle name="Normal 5 5 2 4 4" xfId="6541" xr:uid="{7201493F-2F78-4ED9-A7F0-A7363C7F32BE}"/>
    <cellStyle name="Normal 5 5 2 5" xfId="1875" xr:uid="{F052CC6A-76D4-492B-A7AA-97BFF8307CDA}"/>
    <cellStyle name="Normal 5 5 2 5 2" xfId="4373" xr:uid="{22C67A71-FFE7-4322-B4BE-AD5BBB46DC26}"/>
    <cellStyle name="Normal 5 5 2 5 2 2" xfId="9369" xr:uid="{759823DA-9C7A-4A50-9E26-DE8AFAB44084}"/>
    <cellStyle name="Normal 5 5 2 5 3" xfId="6871" xr:uid="{6EA7F3B3-B4A3-4567-8FFD-276EEDB4A8A1}"/>
    <cellStyle name="Normal 5 5 2 6" xfId="3124" xr:uid="{98BB9075-63F7-4D58-AE9A-F06283C2D3F9}"/>
    <cellStyle name="Normal 5 5 2 6 2" xfId="8120" xr:uid="{C0DC01D5-E418-4AE8-BCF5-6167231D461B}"/>
    <cellStyle name="Normal 5 5 2 7" xfId="5622" xr:uid="{E7A0E77B-5FDC-47C9-92A7-A6C0CC424A03}"/>
    <cellStyle name="Normal 5 5 2 8" xfId="624" xr:uid="{18D8BA90-2A3A-444E-8E44-D044FDFC1D70}"/>
    <cellStyle name="Normal 5 5 3" xfId="894" xr:uid="{A3E21FB5-0DC4-4A56-8CCC-9CFFA38FDCB0}"/>
    <cellStyle name="Normal 5 5 3 2" xfId="2145" xr:uid="{57A6C07A-EF80-44A1-8720-B17ECF5D1651}"/>
    <cellStyle name="Normal 5 5 3 2 2" xfId="4643" xr:uid="{CD03FD63-D9C5-4575-ACB8-A9F16702E0A0}"/>
    <cellStyle name="Normal 5 5 3 2 2 2" xfId="9639" xr:uid="{9907B47A-D171-443B-959D-5FECF81371B7}"/>
    <cellStyle name="Normal 5 5 3 2 3" xfId="7141" xr:uid="{2322B2C3-DC79-4707-A4BF-4D0A4C6F84A6}"/>
    <cellStyle name="Normal 5 5 3 3" xfId="3394" xr:uid="{F1646EC7-DF45-41EC-BF3D-644F98F2AAA9}"/>
    <cellStyle name="Normal 5 5 3 3 2" xfId="8390" xr:uid="{639AEC2F-A5B8-4D35-9CA0-4BE81BE3F4A9}"/>
    <cellStyle name="Normal 5 5 3 4" xfId="5892" xr:uid="{7383C03F-3DEC-4B54-8835-E818A645A08C}"/>
    <cellStyle name="Normal 5 5 4" xfId="1207" xr:uid="{21629EA7-82AA-4AFB-BEC5-47DEF66D219B}"/>
    <cellStyle name="Normal 5 5 4 2" xfId="2457" xr:uid="{6A8623E5-79C4-45BF-AF4A-A3D40DF110C0}"/>
    <cellStyle name="Normal 5 5 4 2 2" xfId="4955" xr:uid="{33065B0E-6150-4EB7-ACCA-4B8066CB56C6}"/>
    <cellStyle name="Normal 5 5 4 2 2 2" xfId="9951" xr:uid="{27A37EE7-612E-481F-9C79-0F0241D8F27C}"/>
    <cellStyle name="Normal 5 5 4 2 3" xfId="7453" xr:uid="{7E181746-1908-4B3F-9FA8-AA1D7DCDAF32}"/>
    <cellStyle name="Normal 5 5 4 3" xfId="3706" xr:uid="{A8A663F5-983E-43DC-ABAE-5CBF895E9895}"/>
    <cellStyle name="Normal 5 5 4 3 2" xfId="8702" xr:uid="{EC83A9A9-8EA6-4291-B173-F556820B55E1}"/>
    <cellStyle name="Normal 5 5 4 4" xfId="6204" xr:uid="{93C93548-10F0-4DC6-A8BF-1FF944396024}"/>
    <cellStyle name="Normal 5 5 5" xfId="1449" xr:uid="{47FD4714-C903-4DE0-9348-442BA8F65C34}"/>
    <cellStyle name="Normal 5 5 5 2" xfId="2699" xr:uid="{561741C5-074B-45AD-B6F8-09C04A1B6E97}"/>
    <cellStyle name="Normal 5 5 5 2 2" xfId="5197" xr:uid="{9E347CBF-C8D5-4A9D-B083-065AE52DB8CB}"/>
    <cellStyle name="Normal 5 5 5 2 2 2" xfId="10193" xr:uid="{C0978701-2DF3-4AE3-957B-E904780CDFE8}"/>
    <cellStyle name="Normal 5 5 5 2 3" xfId="7695" xr:uid="{2AA996AD-5219-4399-896A-8890E75FCD2D}"/>
    <cellStyle name="Normal 5 5 5 3" xfId="3948" xr:uid="{90ADF441-D51D-4570-B3FE-45F1D352259F}"/>
    <cellStyle name="Normal 5 5 5 3 2" xfId="8944" xr:uid="{2258925E-0F81-4832-96EB-145F8770FD03}"/>
    <cellStyle name="Normal 5 5 5 4" xfId="6446" xr:uid="{3752A87F-0426-4050-B78C-512F739B7CDA}"/>
    <cellStyle name="Normal 5 5 6" xfId="1780" xr:uid="{40595FAD-C45C-40DB-86D6-CBC4731E67C9}"/>
    <cellStyle name="Normal 5 5 6 2" xfId="4278" xr:uid="{AE9074DF-596A-4ADB-9B80-16194B36DCB2}"/>
    <cellStyle name="Normal 5 5 6 2 2" xfId="9274" xr:uid="{24EB6673-E796-4094-806C-00DEEADC0A98}"/>
    <cellStyle name="Normal 5 5 6 3" xfId="6776" xr:uid="{76225509-2DA5-41D7-AA6A-F944272AF1C7}"/>
    <cellStyle name="Normal 5 5 7" xfId="3029" xr:uid="{75613486-0FAE-47EC-B155-2C0F21F53A89}"/>
    <cellStyle name="Normal 5 5 7 2" xfId="8025" xr:uid="{8B8A8005-29BD-45B2-9A40-B7C9A82CBAEC}"/>
    <cellStyle name="Normal 5 5 8" xfId="5527" xr:uid="{B2C72717-5A7F-4F0E-96E6-D84B5BF51A4B}"/>
    <cellStyle name="Normal 5 5 9" xfId="529" xr:uid="{24D4D466-EA30-40CD-BA91-AD1FC56FFEB8}"/>
    <cellStyle name="Normal 5 6" xfId="277" xr:uid="{9696AB44-7C6E-45A9-8486-683F836D4B18}"/>
    <cellStyle name="Normal 5 6 2" xfId="896" xr:uid="{0DCBA7A2-2C70-4F83-97E0-7A284FFE131F}"/>
    <cellStyle name="Normal 5 6 2 2" xfId="2147" xr:uid="{90CC685A-7E1B-4BFE-A75C-DFB5507CDDDF}"/>
    <cellStyle name="Normal 5 6 2 2 2" xfId="4645" xr:uid="{917FF469-C09C-4C33-A3B9-902E2560658C}"/>
    <cellStyle name="Normal 5 6 2 2 2 2" xfId="9641" xr:uid="{4A941189-7F8B-498B-98F4-C1C586067454}"/>
    <cellStyle name="Normal 5 6 2 2 3" xfId="7143" xr:uid="{CDBA625E-0A2D-4737-9E06-A2FA54953186}"/>
    <cellStyle name="Normal 5 6 2 3" xfId="3396" xr:uid="{BCC606EC-A1B3-468D-9F1A-5BDD2E71A038}"/>
    <cellStyle name="Normal 5 6 2 3 2" xfId="8392" xr:uid="{E2EB4A9D-8B3E-43DD-87D2-0FF17A2415AE}"/>
    <cellStyle name="Normal 5 6 2 4" xfId="5894" xr:uid="{FC632B22-6435-4799-9E20-BCA450BBB933}"/>
    <cellStyle name="Normal 5 6 3" xfId="1209" xr:uid="{3DAF7122-41E7-4014-800C-DAE64F937B49}"/>
    <cellStyle name="Normal 5 6 3 2" xfId="2459" xr:uid="{4BE4CF68-E51E-418F-BA3B-417F848C326D}"/>
    <cellStyle name="Normal 5 6 3 2 2" xfId="4957" xr:uid="{E59B9007-DFA9-4024-8516-686304B17618}"/>
    <cellStyle name="Normal 5 6 3 2 2 2" xfId="9953" xr:uid="{AD87229E-C77D-40D8-ACD7-E114DF5DDD4E}"/>
    <cellStyle name="Normal 5 6 3 2 3" xfId="7455" xr:uid="{2F7063EC-E8C9-407E-B526-74358868B781}"/>
    <cellStyle name="Normal 5 6 3 3" xfId="3708" xr:uid="{92A56B8C-3A0B-4312-AE5F-82EB062FD703}"/>
    <cellStyle name="Normal 5 6 3 3 2" xfId="8704" xr:uid="{895F900B-3AA0-4DD2-B9CE-0B0E02748ECC}"/>
    <cellStyle name="Normal 5 6 3 4" xfId="6206" xr:uid="{BBB66E38-FD6D-44ED-8E48-26BBBFD44884}"/>
    <cellStyle name="Normal 5 6 4" xfId="1539" xr:uid="{5EE75A52-1525-4C14-A273-293469BACEA0}"/>
    <cellStyle name="Normal 5 6 4 2" xfId="2789" xr:uid="{0C62A5F9-0702-46B1-9241-57EC1662D40C}"/>
    <cellStyle name="Normal 5 6 4 2 2" xfId="5287" xr:uid="{92D46E45-1216-4374-BF0C-AF25A92CC38E}"/>
    <cellStyle name="Normal 5 6 4 2 2 2" xfId="10283" xr:uid="{BEB015E0-B791-4FB2-8788-F2D27F3B49BB}"/>
    <cellStyle name="Normal 5 6 4 2 3" xfId="7785" xr:uid="{51CE2234-74B2-4A34-8FE8-C6D442568275}"/>
    <cellStyle name="Normal 5 6 4 3" xfId="4038" xr:uid="{CD279BA9-EF9E-4939-983F-81989DF1B08E}"/>
    <cellStyle name="Normal 5 6 4 3 2" xfId="9034" xr:uid="{A3ECD014-84EC-4D51-B8BB-1CBA02FA919D}"/>
    <cellStyle name="Normal 5 6 4 4" xfId="6536" xr:uid="{7D7B413B-5644-44AE-B064-6E684864BE11}"/>
    <cellStyle name="Normal 5 6 5" xfId="1870" xr:uid="{FF3213F0-C12B-4D3F-B081-7E94BACC6FA7}"/>
    <cellStyle name="Normal 5 6 5 2" xfId="4368" xr:uid="{AE81B55E-A5DC-4C7C-B159-6ECCDFCFD837}"/>
    <cellStyle name="Normal 5 6 5 2 2" xfId="9364" xr:uid="{9E3FD042-EF63-44D7-BA49-F43A401706B2}"/>
    <cellStyle name="Normal 5 6 5 3" xfId="6866" xr:uid="{3CC3F93D-27E3-45AD-9A4F-D984293F5A2E}"/>
    <cellStyle name="Normal 5 6 6" xfId="3119" xr:uid="{4B5EA48E-DE16-4484-AE6C-1A3B62C79C20}"/>
    <cellStyle name="Normal 5 6 6 2" xfId="8115" xr:uid="{D35163FA-8066-4411-ADB1-164FCFC7AA4D}"/>
    <cellStyle name="Normal 5 6 7" xfId="5617" xr:uid="{2D9D2341-A343-4D59-A428-851B5B41E7BE}"/>
    <cellStyle name="Normal 5 6 8" xfId="619" xr:uid="{CC346154-4B57-4EFB-9F62-3C7F4B304E5B}"/>
    <cellStyle name="Normal 5 7" xfId="377" xr:uid="{27FF62DE-DDC1-4912-ABD4-D6A2370ABD18}"/>
    <cellStyle name="Normal 5 7 2" xfId="1298" xr:uid="{276F3BE9-2AD9-42B5-9339-C45FBE4CD3C5}"/>
    <cellStyle name="Normal 5 7 2 2" xfId="2548" xr:uid="{CA47391D-5D6D-44BB-8798-CA23F4C763EB}"/>
    <cellStyle name="Normal 5 7 2 2 2" xfId="5046" xr:uid="{3E6346F5-B5B5-4623-A1DE-F6364DB02F21}"/>
    <cellStyle name="Normal 5 7 2 2 2 2" xfId="10042" xr:uid="{DC6CCFE3-32F9-4ABF-A3D4-245226EAEC22}"/>
    <cellStyle name="Normal 5 7 2 2 3" xfId="7544" xr:uid="{F4A286E3-BD37-4E2B-BED9-D5349CD89A01}"/>
    <cellStyle name="Normal 5 7 2 3" xfId="3797" xr:uid="{B7651604-8A82-4DC9-8131-4C63E2C31A70}"/>
    <cellStyle name="Normal 5 7 2 3 2" xfId="8793" xr:uid="{0043BFCE-241A-45F1-9978-7EF4C2D16D43}"/>
    <cellStyle name="Normal 5 7 2 4" xfId="6295" xr:uid="{11851B58-3E67-4573-B6E9-5CD4595B1CE5}"/>
    <cellStyle name="Normal 5 7 3" xfId="2236" xr:uid="{2E4AEAA8-E05D-4D2F-8207-7D435E2AD676}"/>
    <cellStyle name="Normal 5 7 3 2" xfId="4734" xr:uid="{1A32BD1E-E404-48E6-8269-C2E0A3DF08E3}"/>
    <cellStyle name="Normal 5 7 3 2 2" xfId="9730" xr:uid="{D0900C6B-3A78-41BE-AFF0-112ED2B79CEB}"/>
    <cellStyle name="Normal 5 7 3 3" xfId="7232" xr:uid="{6B4568A0-9507-4391-BF21-27E4F982B2AD}"/>
    <cellStyle name="Normal 5 7 4" xfId="3485" xr:uid="{32A68218-12BC-4E5D-8319-29E2F5875A38}"/>
    <cellStyle name="Normal 5 7 4 2" xfId="8481" xr:uid="{7D667494-ED4D-43CF-9E41-0FF42FFFEFFB}"/>
    <cellStyle name="Normal 5 7 5" xfId="5983" xr:uid="{DDAB5D13-CA9F-4EC3-B80F-9DCDB6B31048}"/>
    <cellStyle name="Normal 5 7 6" xfId="986" xr:uid="{2F0CBCAB-270F-4830-8700-111BC2C813DB}"/>
    <cellStyle name="Normal 5 8" xfId="27" xr:uid="{D39B8EB2-6099-4B11-8A39-3C69EEB2B29A}"/>
    <cellStyle name="Normal 5 8 2" xfId="1937" xr:uid="{E482B6B1-1D6A-4A76-80E4-940C728F8B44}"/>
    <cellStyle name="Normal 5 8 2 2" xfId="4435" xr:uid="{0FBBEB88-169B-46E9-BC92-DE88BB1C6202}"/>
    <cellStyle name="Normal 5 8 2 2 2" xfId="9431" xr:uid="{E58B1FAF-0888-4B77-AC57-159E243D6A79}"/>
    <cellStyle name="Normal 5 8 2 3" xfId="6933" xr:uid="{BA09239E-FB26-4C51-A44A-12FCA852EB99}"/>
    <cellStyle name="Normal 5 8 3" xfId="3186" xr:uid="{3D6A688F-381F-4D26-B661-675FCFEF09B0}"/>
    <cellStyle name="Normal 5 8 3 2" xfId="8182" xr:uid="{60D6D7C7-6DF9-4423-A38C-090E4B597F50}"/>
    <cellStyle name="Normal 5 8 4" xfId="5684" xr:uid="{79CFDDE4-BF74-4DBE-94B3-2E958FBDA284}"/>
    <cellStyle name="Normal 5 8 5" xfId="686" xr:uid="{9CE3372E-5447-4274-A511-CB4937B14C54}"/>
    <cellStyle name="Normal 5 9" xfId="999" xr:uid="{D136EDB1-BA7E-4687-878C-DCF3E033E227}"/>
    <cellStyle name="Normal 5 9 2" xfId="2249" xr:uid="{AF3318DE-2F52-4B3F-A0D6-AAFF229C3EF7}"/>
    <cellStyle name="Normal 5 9 2 2" xfId="4747" xr:uid="{8E7EB136-D0A4-4D90-9074-A831E4D9A578}"/>
    <cellStyle name="Normal 5 9 2 2 2" xfId="9743" xr:uid="{A69FA6FE-D6A8-4D87-8D9D-A06E1B7076EB}"/>
    <cellStyle name="Normal 5 9 2 3" xfId="7245" xr:uid="{0B0893ED-5D51-4CF1-8841-2967518FBF8B}"/>
    <cellStyle name="Normal 5 9 3" xfId="3498" xr:uid="{0267F9FF-C467-4901-896D-72B86F0B5843}"/>
    <cellStyle name="Normal 5 9 3 2" xfId="8494" xr:uid="{4559EC1B-D2D3-4ED8-91FC-9CFB83FA23D7}"/>
    <cellStyle name="Normal 5 9 4" xfId="5996" xr:uid="{55EDDCAA-FB6B-45A8-82AB-88BA6A5392A5}"/>
    <cellStyle name="Normal 6" xfId="18" xr:uid="{87FB1D1C-4EEE-4A60-8C81-0FE179A0E747}"/>
    <cellStyle name="Normal 6 10" xfId="1643" xr:uid="{7AD2CDBF-7CFD-444E-88BF-211E66A966FF}"/>
    <cellStyle name="Normal 6 10 2" xfId="4141" xr:uid="{E9B252D1-3EE5-4E77-B00F-C533D62F7E69}"/>
    <cellStyle name="Normal 6 10 2 2" xfId="9137" xr:uid="{FAFF432A-5500-4137-9FE4-0FD728A2B2CA}"/>
    <cellStyle name="Normal 6 10 3" xfId="6639" xr:uid="{E6C1F0BD-2556-4521-B76F-4020EE6738D4}"/>
    <cellStyle name="Normal 6 11" xfId="2892" xr:uid="{D3873249-0901-4A9D-9C90-D6CB2DB8867D}"/>
    <cellStyle name="Normal 6 11 2" xfId="7888" xr:uid="{883D1DCE-8BFB-4C9C-ABFD-34E1FBD88700}"/>
    <cellStyle name="Normal 6 12" xfId="5390" xr:uid="{1D07563E-909F-4AA9-8B09-BA2AEFAA1FAD}"/>
    <cellStyle name="Normal 6 13" xfId="392" xr:uid="{ACCEB8EB-2EF2-4836-9A9C-EAEAF8C175E5}"/>
    <cellStyle name="Normal 6 2" xfId="73" xr:uid="{FF99BEE6-6A60-4D4E-9BA3-19E52525A7A8}"/>
    <cellStyle name="Normal 6 2 10" xfId="433" xr:uid="{637C5BF0-34BB-4A78-BAC6-772D6178259C}"/>
    <cellStyle name="Normal 6 2 2" xfId="278" xr:uid="{C3A251E6-AA6F-43E0-B105-DE8B01C013CB}"/>
    <cellStyle name="Normal 6 2 2 2" xfId="279" xr:uid="{B4FDE4D3-5B0C-44B1-9CE8-C946876C4926}"/>
    <cellStyle name="Normal 6 2 2 2 2" xfId="898" xr:uid="{CC4F909F-D404-4BC3-865F-BDED927EE6D3}"/>
    <cellStyle name="Normal 6 2 2 2 2 2" xfId="2149" xr:uid="{E990BAE6-BEA8-409D-AD03-CE178D4D9678}"/>
    <cellStyle name="Normal 6 2 2 2 2 2 2" xfId="4647" xr:uid="{4B431159-1250-4A8D-8B8F-A52169D6DDE3}"/>
    <cellStyle name="Normal 6 2 2 2 2 2 2 2" xfId="9643" xr:uid="{EE217C38-5078-4416-9E45-7D1CD2ABECB4}"/>
    <cellStyle name="Normal 6 2 2 2 2 2 3" xfId="7145" xr:uid="{093EC172-60A9-46C0-95FE-D0EDB809EE91}"/>
    <cellStyle name="Normal 6 2 2 2 2 3" xfId="3398" xr:uid="{E72209E3-242C-48F3-9CB0-A281C2513698}"/>
    <cellStyle name="Normal 6 2 2 2 2 3 2" xfId="8394" xr:uid="{748BC6CF-3E50-4089-B1F4-2489B471D10F}"/>
    <cellStyle name="Normal 6 2 2 2 2 4" xfId="5896" xr:uid="{8D22F3C7-41EE-44A2-ACB3-224C52A00F46}"/>
    <cellStyle name="Normal 6 2 2 2 3" xfId="1211" xr:uid="{2592EAC8-AADF-4982-A0A7-7D08CB762441}"/>
    <cellStyle name="Normal 6 2 2 2 3 2" xfId="2461" xr:uid="{20911DA0-C69C-4827-AF2E-8F2FF88DE0C8}"/>
    <cellStyle name="Normal 6 2 2 2 3 2 2" xfId="4959" xr:uid="{DD18A525-8059-479A-BC7B-E4465D0197F3}"/>
    <cellStyle name="Normal 6 2 2 2 3 2 2 2" xfId="9955" xr:uid="{D5B0785A-E21F-4284-AB06-E2874A69F4EA}"/>
    <cellStyle name="Normal 6 2 2 2 3 2 3" xfId="7457" xr:uid="{CDDD11DA-BC33-462F-BE77-5F49C04434E2}"/>
    <cellStyle name="Normal 6 2 2 2 3 3" xfId="3710" xr:uid="{D9BCE38B-FF3F-4726-829C-F1CF1C170F59}"/>
    <cellStyle name="Normal 6 2 2 2 3 3 2" xfId="8706" xr:uid="{BC536DBE-6928-4F51-AA1C-5E35304C2879}"/>
    <cellStyle name="Normal 6 2 2 2 3 4" xfId="6208" xr:uid="{E920F5AF-5C36-4D9C-8256-413C673FEA13}"/>
    <cellStyle name="Normal 6 2 2 2 4" xfId="1547" xr:uid="{AE3CE0EE-A287-4D86-A4F9-FC2C5A2C6AF3}"/>
    <cellStyle name="Normal 6 2 2 2 4 2" xfId="2797" xr:uid="{1B1D1B24-5653-4AC2-B227-22BE2033D4A7}"/>
    <cellStyle name="Normal 6 2 2 2 4 2 2" xfId="5295" xr:uid="{51F239BA-AD79-4542-8191-75216A9A9D96}"/>
    <cellStyle name="Normal 6 2 2 2 4 2 2 2" xfId="10291" xr:uid="{BA548E7C-0C3B-4733-8FEC-88B6F07AA61B}"/>
    <cellStyle name="Normal 6 2 2 2 4 2 3" xfId="7793" xr:uid="{72E67197-39A0-4BC4-A19D-07FB3DA5471D}"/>
    <cellStyle name="Normal 6 2 2 2 4 3" xfId="4046" xr:uid="{30F11918-6F29-4A8B-B2D6-8AA777E9EA4F}"/>
    <cellStyle name="Normal 6 2 2 2 4 3 2" xfId="9042" xr:uid="{EB4C23CF-5D4E-4092-9AA6-3CD1B6FC9353}"/>
    <cellStyle name="Normal 6 2 2 2 4 4" xfId="6544" xr:uid="{06D654FA-411E-49E8-8FFA-BD9F0BDD3CAB}"/>
    <cellStyle name="Normal 6 2 2 2 5" xfId="1878" xr:uid="{E67001F0-C428-41E9-A1D7-8307BBD36EEC}"/>
    <cellStyle name="Normal 6 2 2 2 5 2" xfId="4376" xr:uid="{53B48BBA-A513-410E-A3FE-BF2B47912D9C}"/>
    <cellStyle name="Normal 6 2 2 2 5 2 2" xfId="9372" xr:uid="{06984A20-94C5-4FFB-90DC-BDE27BBA5273}"/>
    <cellStyle name="Normal 6 2 2 2 5 3" xfId="6874" xr:uid="{1894521E-8F3D-4FEE-B33F-923E267F0A22}"/>
    <cellStyle name="Normal 6 2 2 2 6" xfId="3127" xr:uid="{78D8B011-DD71-4192-B765-475071073725}"/>
    <cellStyle name="Normal 6 2 2 2 6 2" xfId="8123" xr:uid="{3AD91945-CB0C-406B-92C9-F5225176E4BF}"/>
    <cellStyle name="Normal 6 2 2 2 7" xfId="5625" xr:uid="{83598F60-66AA-4DBC-85A2-3BEC8FDBA272}"/>
    <cellStyle name="Normal 6 2 2 2 8" xfId="627" xr:uid="{4565E4C3-2602-44F2-A152-30972985BD98}"/>
    <cellStyle name="Normal 6 2 2 3" xfId="897" xr:uid="{7919C03C-5A4F-4B61-9666-EF5838536136}"/>
    <cellStyle name="Normal 6 2 2 3 2" xfId="2148" xr:uid="{1EA79D3B-4E97-4241-B41A-D05E1F042AB0}"/>
    <cellStyle name="Normal 6 2 2 3 2 2" xfId="4646" xr:uid="{C8E7A0FC-8911-4D26-BA8E-E2686F9386C7}"/>
    <cellStyle name="Normal 6 2 2 3 2 2 2" xfId="9642" xr:uid="{3405E659-76E0-4D73-A81B-1305FC730A08}"/>
    <cellStyle name="Normal 6 2 2 3 2 3" xfId="7144" xr:uid="{A776BCFA-0543-4967-981C-E6BCCD4F8739}"/>
    <cellStyle name="Normal 6 2 2 3 3" xfId="3397" xr:uid="{5182724A-3EF1-4614-AE88-E5626A895BC1}"/>
    <cellStyle name="Normal 6 2 2 3 3 2" xfId="8393" xr:uid="{7476CA67-7674-45C4-8D51-600A42A280D4}"/>
    <cellStyle name="Normal 6 2 2 3 4" xfId="5895" xr:uid="{54FB6CE9-4152-4BBD-B4E3-11583EBC5A06}"/>
    <cellStyle name="Normal 6 2 2 4" xfId="1210" xr:uid="{E40465FA-9046-4328-8F82-E50171643F9E}"/>
    <cellStyle name="Normal 6 2 2 4 2" xfId="2460" xr:uid="{02D7446E-E280-4FEC-8C4B-5583173FD75E}"/>
    <cellStyle name="Normal 6 2 2 4 2 2" xfId="4958" xr:uid="{7FD2170C-39FD-4E3B-BC70-A236003DCD70}"/>
    <cellStyle name="Normal 6 2 2 4 2 2 2" xfId="9954" xr:uid="{275A66BF-B47B-4073-8614-D2A43853EC68}"/>
    <cellStyle name="Normal 6 2 2 4 2 3" xfId="7456" xr:uid="{9CA74430-4137-4159-8C1A-9AAA62C21E71}"/>
    <cellStyle name="Normal 6 2 2 4 3" xfId="3709" xr:uid="{2A916A1C-1265-4813-B659-95F3A445AD42}"/>
    <cellStyle name="Normal 6 2 2 4 3 2" xfId="8705" xr:uid="{EF668A28-7304-4AC0-850E-74F19A6AF0EF}"/>
    <cellStyle name="Normal 6 2 2 4 4" xfId="6207" xr:uid="{1773B879-C4A1-4F9B-887F-D86748A26EB9}"/>
    <cellStyle name="Normal 6 2 2 5" xfId="1422" xr:uid="{E6C4C15A-0FF8-4DA5-9A15-0B527B5B2DE1}"/>
    <cellStyle name="Normal 6 2 2 5 2" xfId="2672" xr:uid="{A43CF627-504A-4D05-BE56-C21A2D003943}"/>
    <cellStyle name="Normal 6 2 2 5 2 2" xfId="5170" xr:uid="{2FCF5E73-0749-4630-918D-CC10D111F2D2}"/>
    <cellStyle name="Normal 6 2 2 5 2 2 2" xfId="10166" xr:uid="{3393E27B-FE5A-4E66-9A27-EBE397666ADA}"/>
    <cellStyle name="Normal 6 2 2 5 2 3" xfId="7668" xr:uid="{ECDCC2BC-F8F6-444B-BA89-72EA6CBFDD75}"/>
    <cellStyle name="Normal 6 2 2 5 3" xfId="3921" xr:uid="{311F4E5D-D251-4906-80FE-A6C452BCFD31}"/>
    <cellStyle name="Normal 6 2 2 5 3 2" xfId="8917" xr:uid="{51B141FB-1C1F-41A8-AB7B-E114F54D78AA}"/>
    <cellStyle name="Normal 6 2 2 5 4" xfId="6419" xr:uid="{3A0330CE-848F-4C84-9321-BB5E8D93EE23}"/>
    <cellStyle name="Normal 6 2 2 6" xfId="1753" xr:uid="{13181C7D-C945-427E-9111-63B3A91D1FF6}"/>
    <cellStyle name="Normal 6 2 2 6 2" xfId="4251" xr:uid="{90C2E582-1480-41B6-9509-86F145E2D4A3}"/>
    <cellStyle name="Normal 6 2 2 6 2 2" xfId="9247" xr:uid="{19A449E0-8D87-4158-BC92-5514622860DA}"/>
    <cellStyle name="Normal 6 2 2 6 3" xfId="6749" xr:uid="{49C3F200-66EE-4706-8799-6568AAE61748}"/>
    <cellStyle name="Normal 6 2 2 7" xfId="3002" xr:uid="{36811E03-4FB3-4D0F-A7B1-D4A7EADA67AF}"/>
    <cellStyle name="Normal 6 2 2 7 2" xfId="7998" xr:uid="{5F949402-06DB-4F97-B62D-C226AB8106C1}"/>
    <cellStyle name="Normal 6 2 2 8" xfId="5500" xr:uid="{4EB16EB7-E62E-4154-980E-F3E8C3EA6CDD}"/>
    <cellStyle name="Normal 6 2 2 9" xfId="502" xr:uid="{36C3791A-3675-4805-80B2-DCA9A3718E3A}"/>
    <cellStyle name="Normal 6 2 3" xfId="280" xr:uid="{E7DDCF23-F36E-4C68-9ECA-E0BAC8A465CE}"/>
    <cellStyle name="Normal 6 2 3 2" xfId="899" xr:uid="{EF730ED1-A1DB-48CE-B80D-519AC5E302D8}"/>
    <cellStyle name="Normal 6 2 3 2 2" xfId="2150" xr:uid="{AB353DE6-CE59-46AC-9DE2-9AA58C4F5D6C}"/>
    <cellStyle name="Normal 6 2 3 2 2 2" xfId="4648" xr:uid="{FF8DA585-2B76-41E6-AC06-5737FE828FDD}"/>
    <cellStyle name="Normal 6 2 3 2 2 2 2" xfId="9644" xr:uid="{9CAECBE4-F72A-40B5-9F47-834D5050F9A9}"/>
    <cellStyle name="Normal 6 2 3 2 2 3" xfId="7146" xr:uid="{B332570B-05BE-4E74-B20D-22FC50BAE6EA}"/>
    <cellStyle name="Normal 6 2 3 2 3" xfId="3399" xr:uid="{DEFA608C-C126-4B20-B21D-5E558864D395}"/>
    <cellStyle name="Normal 6 2 3 2 3 2" xfId="8395" xr:uid="{1A398813-3E06-4243-BE97-6D5F62BAA7F0}"/>
    <cellStyle name="Normal 6 2 3 2 4" xfId="5897" xr:uid="{CEDE20DC-34AA-4BB1-A193-74AE43612081}"/>
    <cellStyle name="Normal 6 2 3 3" xfId="1212" xr:uid="{66B4A6E2-B753-4794-B78E-5F02557B3DF5}"/>
    <cellStyle name="Normal 6 2 3 3 2" xfId="2462" xr:uid="{D2A9CB53-B6D7-464C-9D55-28E2370664A7}"/>
    <cellStyle name="Normal 6 2 3 3 2 2" xfId="4960" xr:uid="{0490EC7B-2EC4-4C30-B141-90493A107EED}"/>
    <cellStyle name="Normal 6 2 3 3 2 2 2" xfId="9956" xr:uid="{2FB247E2-BC43-4BC6-945C-F725E2160CEB}"/>
    <cellStyle name="Normal 6 2 3 3 2 3" xfId="7458" xr:uid="{A7CF5C70-DAD8-46A6-BB67-BC9286394495}"/>
    <cellStyle name="Normal 6 2 3 3 3" xfId="3711" xr:uid="{AC0242A2-4392-4951-AE5D-877819E9E056}"/>
    <cellStyle name="Normal 6 2 3 3 3 2" xfId="8707" xr:uid="{9EEE7EA7-714E-4C3C-97A3-27A62EA8815E}"/>
    <cellStyle name="Normal 6 2 3 3 4" xfId="6209" xr:uid="{1901748B-A019-46C6-9B32-8C1E924CEB87}"/>
    <cellStyle name="Normal 6 2 3 4" xfId="1546" xr:uid="{8AD63334-C5A1-4075-98CB-E80C7195E11B}"/>
    <cellStyle name="Normal 6 2 3 4 2" xfId="2796" xr:uid="{1C64913F-C4FB-4E45-9F97-EC450361A8E0}"/>
    <cellStyle name="Normal 6 2 3 4 2 2" xfId="5294" xr:uid="{246058D6-E3AA-458E-8F28-7090746A70BA}"/>
    <cellStyle name="Normal 6 2 3 4 2 2 2" xfId="10290" xr:uid="{06CFA865-AC54-48DE-9B0C-13BFF9C516C8}"/>
    <cellStyle name="Normal 6 2 3 4 2 3" xfId="7792" xr:uid="{A91CAFAC-2F72-4FB5-B5CF-80279A545FF1}"/>
    <cellStyle name="Normal 6 2 3 4 3" xfId="4045" xr:uid="{6DE3A780-9E91-4C19-969C-408D094894F2}"/>
    <cellStyle name="Normal 6 2 3 4 3 2" xfId="9041" xr:uid="{25053D5E-441D-416D-BF3E-DBDBA23F1B50}"/>
    <cellStyle name="Normal 6 2 3 4 4" xfId="6543" xr:uid="{A5DD2605-5CFD-4A26-9FFE-35A229FCD55D}"/>
    <cellStyle name="Normal 6 2 3 5" xfId="1877" xr:uid="{60A2F2A8-33A9-4EAF-8F5C-4F96E89E6303}"/>
    <cellStyle name="Normal 6 2 3 5 2" xfId="4375" xr:uid="{40D61A34-507F-4AFD-8C86-39D8215C4D8B}"/>
    <cellStyle name="Normal 6 2 3 5 2 2" xfId="9371" xr:uid="{D78E5ED7-6AF8-4A39-B668-EAE554652393}"/>
    <cellStyle name="Normal 6 2 3 5 3" xfId="6873" xr:uid="{57B26AEF-1DCF-4FF3-A7CD-AED345C2D68D}"/>
    <cellStyle name="Normal 6 2 3 6" xfId="3126" xr:uid="{0FE0A444-12F5-4E94-9472-5ED780BFF250}"/>
    <cellStyle name="Normal 6 2 3 6 2" xfId="8122" xr:uid="{76952739-15A9-4E80-92E6-B89805DED5EE}"/>
    <cellStyle name="Normal 6 2 3 7" xfId="5624" xr:uid="{9AAA18CB-A9F8-46C5-84DC-72E0B4F0DB77}"/>
    <cellStyle name="Normal 6 2 3 8" xfId="626" xr:uid="{62D9A215-B102-4B04-9392-3512AF8D825E}"/>
    <cellStyle name="Normal 6 2 4" xfId="727" xr:uid="{0E6433BF-7B7F-4A45-AD7C-67E082A14F4B}"/>
    <cellStyle name="Normal 6 2 4 2" xfId="1978" xr:uid="{B23C256D-040E-4F5C-B3C2-E57D4C9D8648}"/>
    <cellStyle name="Normal 6 2 4 2 2" xfId="4476" xr:uid="{E394B429-FF1D-41FE-9EA1-C8F8BFB261EC}"/>
    <cellStyle name="Normal 6 2 4 2 2 2" xfId="9472" xr:uid="{82EC8463-ECB5-4AE3-8DC9-AC77E1A27429}"/>
    <cellStyle name="Normal 6 2 4 2 3" xfId="6974" xr:uid="{89E7B29B-8726-4F34-B1D3-0E3076EA4287}"/>
    <cellStyle name="Normal 6 2 4 3" xfId="3227" xr:uid="{BD07A2F4-04E6-48C8-B829-C27375AEF3B7}"/>
    <cellStyle name="Normal 6 2 4 3 2" xfId="8223" xr:uid="{C66F1F6E-F093-4E85-AD2B-DE8189925AFF}"/>
    <cellStyle name="Normal 6 2 4 4" xfId="5725" xr:uid="{273040BD-E239-43F3-8769-ED8382BF28DB}"/>
    <cellStyle name="Normal 6 2 5" xfId="1040" xr:uid="{7F695116-A84D-462F-A86C-ED4BC66B5FE4}"/>
    <cellStyle name="Normal 6 2 5 2" xfId="2290" xr:uid="{3E1C7C11-9A69-4E7A-8D29-9E2C47E22047}"/>
    <cellStyle name="Normal 6 2 5 2 2" xfId="4788" xr:uid="{EDE474CB-3DFA-48EA-ADC1-EC43BDA9EDA4}"/>
    <cellStyle name="Normal 6 2 5 2 2 2" xfId="9784" xr:uid="{19D30034-9E9F-44EE-8F7D-AD59C0F1DCF1}"/>
    <cellStyle name="Normal 6 2 5 2 3" xfId="7286" xr:uid="{74E1D8A3-9626-4024-AACD-56725AAE0138}"/>
    <cellStyle name="Normal 6 2 5 3" xfId="3539" xr:uid="{B6E6D042-3DF9-436A-BC3C-2EC123FC77CE}"/>
    <cellStyle name="Normal 6 2 5 3 2" xfId="8535" xr:uid="{B4BF86C0-7290-4B70-B066-94A01133C01C}"/>
    <cellStyle name="Normal 6 2 5 4" xfId="6037" xr:uid="{0ECE4360-2F65-4B60-B08F-EBFBD92808AF}"/>
    <cellStyle name="Normal 6 2 6" xfId="1353" xr:uid="{36E96AFC-E17C-406B-9217-8550E184C2A5}"/>
    <cellStyle name="Normal 6 2 6 2" xfId="2603" xr:uid="{6360F093-04B0-478A-A70A-F691376F7C56}"/>
    <cellStyle name="Normal 6 2 6 2 2" xfId="5101" xr:uid="{A990A26C-CDD1-46A2-93C5-0E9093267227}"/>
    <cellStyle name="Normal 6 2 6 2 2 2" xfId="10097" xr:uid="{2F799377-67CE-4633-AFAA-46D3D2AFA9E3}"/>
    <cellStyle name="Normal 6 2 6 2 3" xfId="7599" xr:uid="{3DE4D9D8-4285-4161-B4A3-8E832A06F5D9}"/>
    <cellStyle name="Normal 6 2 6 3" xfId="3852" xr:uid="{71B04DFB-255C-4EB4-85B2-5E59A24236AC}"/>
    <cellStyle name="Normal 6 2 6 3 2" xfId="8848" xr:uid="{3B4EBD66-4F46-4328-8A04-EE4AF82732F9}"/>
    <cellStyle name="Normal 6 2 6 4" xfId="6350" xr:uid="{0CE55F28-9DAF-489F-8016-579D120B2ECC}"/>
    <cellStyle name="Normal 6 2 7" xfId="1684" xr:uid="{535118A5-C548-4B79-A249-D1A82EB4D272}"/>
    <cellStyle name="Normal 6 2 7 2" xfId="4182" xr:uid="{59E91B3A-EA68-4D46-984F-2D9DD18C00F8}"/>
    <cellStyle name="Normal 6 2 7 2 2" xfId="9178" xr:uid="{FCD84D7A-3294-4939-9B40-C3AD256A2B13}"/>
    <cellStyle name="Normal 6 2 7 3" xfId="6680" xr:uid="{640C1A9C-E305-40BD-9AAE-73265D66B0D6}"/>
    <cellStyle name="Normal 6 2 8" xfId="2933" xr:uid="{5CB8EE8F-E95A-48D0-B708-EB4814BB87A1}"/>
    <cellStyle name="Normal 6 2 8 2" xfId="7929" xr:uid="{7B52FAE9-0283-4F8F-873C-E8386452B14C}"/>
    <cellStyle name="Normal 6 2 9" xfId="5431" xr:uid="{04049688-3A1B-4BF5-9916-713B9262800B}"/>
    <cellStyle name="Normal 6 3" xfId="97" xr:uid="{2CA58F96-4237-4CD6-9CF3-D87BE26A843E}"/>
    <cellStyle name="Normal 6 3 2" xfId="281" xr:uid="{CCFF253B-C202-402D-87EA-431AE3A31D87}"/>
    <cellStyle name="Normal 6 3 2 2" xfId="900" xr:uid="{A21050F6-4482-46E1-8E3E-77DE779899C8}"/>
    <cellStyle name="Normal 6 3 2 2 2" xfId="2151" xr:uid="{8468D826-0DA9-4E2C-9EBD-3B91401C58E9}"/>
    <cellStyle name="Normal 6 3 2 2 2 2" xfId="4649" xr:uid="{AE654664-CDAD-4C0A-9DE6-EE7DEDF1D74F}"/>
    <cellStyle name="Normal 6 3 2 2 2 2 2" xfId="9645" xr:uid="{2D2B70C1-E12A-4D1F-A0A8-C6EFC7E21202}"/>
    <cellStyle name="Normal 6 3 2 2 2 3" xfId="7147" xr:uid="{6BCA9576-39C1-4726-B9E1-32691B52BD58}"/>
    <cellStyle name="Normal 6 3 2 2 3" xfId="3400" xr:uid="{52627788-62AA-416B-9065-36BE9E42EBD0}"/>
    <cellStyle name="Normal 6 3 2 2 3 2" xfId="8396" xr:uid="{95D043DF-D344-4746-9577-1332D2D8F2D1}"/>
    <cellStyle name="Normal 6 3 2 2 4" xfId="5898" xr:uid="{56269E8E-EBFE-49FC-83B7-0458E010B046}"/>
    <cellStyle name="Normal 6 3 2 3" xfId="1213" xr:uid="{190783DE-8D77-4CD2-898B-73EC122A9C58}"/>
    <cellStyle name="Normal 6 3 2 3 2" xfId="2463" xr:uid="{BFBACBC1-3398-4EC8-BBFA-E9A5092492FF}"/>
    <cellStyle name="Normal 6 3 2 3 2 2" xfId="4961" xr:uid="{FB1EA5C7-72C8-4F6A-8D47-587DA42F5AA7}"/>
    <cellStyle name="Normal 6 3 2 3 2 2 2" xfId="9957" xr:uid="{74298E49-C195-4A56-9F73-1809F49AD5D6}"/>
    <cellStyle name="Normal 6 3 2 3 2 3" xfId="7459" xr:uid="{FAAFFFF7-53D5-4BA7-BFA5-DE824DA19A53}"/>
    <cellStyle name="Normal 6 3 2 3 3" xfId="3712" xr:uid="{06CC7168-E70B-477E-BEF0-5CF8A6C76325}"/>
    <cellStyle name="Normal 6 3 2 3 3 2" xfId="8708" xr:uid="{9A07DA43-C0C6-4A2C-96C5-CFB9A3A6241F}"/>
    <cellStyle name="Normal 6 3 2 3 4" xfId="6210" xr:uid="{6FA4F93A-78D3-46B1-8974-719E30FC0F1E}"/>
    <cellStyle name="Normal 6 3 2 4" xfId="1548" xr:uid="{C89B6F74-1974-4502-8D80-BDC82B915FAF}"/>
    <cellStyle name="Normal 6 3 2 4 2" xfId="2798" xr:uid="{DC7BB7E8-9112-47A8-A0B7-80B4A2ADC31A}"/>
    <cellStyle name="Normal 6 3 2 4 2 2" xfId="5296" xr:uid="{4A31DE5B-65E1-4040-B53C-76966894DBD6}"/>
    <cellStyle name="Normal 6 3 2 4 2 2 2" xfId="10292" xr:uid="{ED7784BB-D4D0-4EE7-B634-09863AB64418}"/>
    <cellStyle name="Normal 6 3 2 4 2 3" xfId="7794" xr:uid="{8B380CE7-7BDA-4C47-AF74-39E0E552E391}"/>
    <cellStyle name="Normal 6 3 2 4 3" xfId="4047" xr:uid="{3ACE6A74-5303-4EB1-94EC-204A750180E1}"/>
    <cellStyle name="Normal 6 3 2 4 3 2" xfId="9043" xr:uid="{49BD5BDE-5E33-43F8-B797-3FC6ACC3D0AE}"/>
    <cellStyle name="Normal 6 3 2 4 4" xfId="6545" xr:uid="{CE518B4D-F5C6-4CCA-9612-77F4820A5529}"/>
    <cellStyle name="Normal 6 3 2 5" xfId="1879" xr:uid="{B03490FD-D211-40E0-BDF2-26406D3B431E}"/>
    <cellStyle name="Normal 6 3 2 5 2" xfId="4377" xr:uid="{201FDA19-EE91-439D-8F6C-A098BE2F87CF}"/>
    <cellStyle name="Normal 6 3 2 5 2 2" xfId="9373" xr:uid="{4A684357-F683-44EE-8295-DA4B1EBB6AE5}"/>
    <cellStyle name="Normal 6 3 2 5 3" xfId="6875" xr:uid="{A44E29A2-76C9-4E3F-943C-6F14A024844F}"/>
    <cellStyle name="Normal 6 3 2 6" xfId="3128" xr:uid="{937C4175-16D5-4712-BD58-CB029FBF027C}"/>
    <cellStyle name="Normal 6 3 2 6 2" xfId="8124" xr:uid="{EC9A9DD2-1C5F-41B0-84DB-33C82E0FA731}"/>
    <cellStyle name="Normal 6 3 2 7" xfId="5626" xr:uid="{118A1504-4574-41A4-A46C-8A910FAE99B3}"/>
    <cellStyle name="Normal 6 3 2 8" xfId="628" xr:uid="{A825AA22-5933-4E75-A7E3-00A6A373DDFE}"/>
    <cellStyle name="Normal 6 3 3" xfId="751" xr:uid="{9A038F3C-4478-4389-BC97-E15C6AD3A7DA}"/>
    <cellStyle name="Normal 6 3 3 2" xfId="2002" xr:uid="{1256BAA6-A5DE-45E9-9AD8-DC5FDDF102D5}"/>
    <cellStyle name="Normal 6 3 3 2 2" xfId="4500" xr:uid="{EAB64357-E9A0-434F-A506-1C68F57A00D9}"/>
    <cellStyle name="Normal 6 3 3 2 2 2" xfId="9496" xr:uid="{46ED1981-6E87-499A-9B4B-79941B59FEA0}"/>
    <cellStyle name="Normal 6 3 3 2 3" xfId="6998" xr:uid="{3F663558-64B6-4F0E-B17B-7B77C35A6DEC}"/>
    <cellStyle name="Normal 6 3 3 3" xfId="3251" xr:uid="{413B6382-8D5C-4F62-8588-7B0C79126838}"/>
    <cellStyle name="Normal 6 3 3 3 2" xfId="8247" xr:uid="{2C93C999-EC75-4738-924D-8204961D9292}"/>
    <cellStyle name="Normal 6 3 3 4" xfId="5749" xr:uid="{9E55D3DF-FD24-462C-82D1-3A4E5F3586D3}"/>
    <cellStyle name="Normal 6 3 4" xfId="1064" xr:uid="{EFF9DF91-E101-4621-82C2-22A630B864B1}"/>
    <cellStyle name="Normal 6 3 4 2" xfId="2314" xr:uid="{7678C198-8EDA-44BC-9A6C-DC208974AB6D}"/>
    <cellStyle name="Normal 6 3 4 2 2" xfId="4812" xr:uid="{58578ADB-4E82-4DF5-86A8-BC13EB853A45}"/>
    <cellStyle name="Normal 6 3 4 2 2 2" xfId="9808" xr:uid="{B789EF24-2072-4FFE-AB30-1A3DD106842F}"/>
    <cellStyle name="Normal 6 3 4 2 3" xfId="7310" xr:uid="{7EB6DD46-C02B-4183-B454-9D05CE126CA6}"/>
    <cellStyle name="Normal 6 3 4 3" xfId="3563" xr:uid="{35A36797-B69C-4D03-9AE8-BE45A7C9D85B}"/>
    <cellStyle name="Normal 6 3 4 3 2" xfId="8559" xr:uid="{3DBA8ECA-C8C2-4346-B744-0EF2414FC1BB}"/>
    <cellStyle name="Normal 6 3 4 4" xfId="6061" xr:uid="{CA3132FC-83AE-4AA2-AFFB-8BF43A75A902}"/>
    <cellStyle name="Normal 6 3 5" xfId="1423" xr:uid="{015C28A7-EE3D-40B2-BD20-8DD610183E32}"/>
    <cellStyle name="Normal 6 3 5 2" xfId="2673" xr:uid="{2BF16FCE-1594-4090-973D-5E1760317D72}"/>
    <cellStyle name="Normal 6 3 5 2 2" xfId="5171" xr:uid="{F706B8B3-BB2A-42A7-AD07-43E7F94356D2}"/>
    <cellStyle name="Normal 6 3 5 2 2 2" xfId="10167" xr:uid="{ED2476A9-79DE-4C34-BCEA-6CDEDC1FABDC}"/>
    <cellStyle name="Normal 6 3 5 2 3" xfId="7669" xr:uid="{C7C963F3-E5C1-46A7-8CAA-3C6436A1FF97}"/>
    <cellStyle name="Normal 6 3 5 3" xfId="3922" xr:uid="{909ABABE-33FC-431E-AFCA-68CDB3A4C460}"/>
    <cellStyle name="Normal 6 3 5 3 2" xfId="8918" xr:uid="{72C3F3FD-482C-4BD0-8475-1025CD0FD9B8}"/>
    <cellStyle name="Normal 6 3 5 4" xfId="6420" xr:uid="{CE4402AB-FABE-434F-B308-EF5FCA34F9BD}"/>
    <cellStyle name="Normal 6 3 6" xfId="1754" xr:uid="{A2754193-623F-49F0-A408-6AFD03A9A029}"/>
    <cellStyle name="Normal 6 3 6 2" xfId="4252" xr:uid="{B5E91805-78BD-4130-B12E-A979808B794B}"/>
    <cellStyle name="Normal 6 3 6 2 2" xfId="9248" xr:uid="{7861B4BB-17DE-404D-9345-32E54DF64868}"/>
    <cellStyle name="Normal 6 3 6 3" xfId="6750" xr:uid="{B0D25BC3-F02B-4A1C-8D9D-42D7B8C4B004}"/>
    <cellStyle name="Normal 6 3 7" xfId="3003" xr:uid="{601E263C-9039-4C90-938F-FE3FF66ACE9B}"/>
    <cellStyle name="Normal 6 3 7 2" xfId="7999" xr:uid="{3EE1022D-B7AF-4510-9212-1151B54CD9C7}"/>
    <cellStyle name="Normal 6 3 8" xfId="5501" xr:uid="{60140FFB-B179-4950-9569-1264F2C0A3A4}"/>
    <cellStyle name="Normal 6 3 9" xfId="503" xr:uid="{0FE24EEB-79D8-4CCA-9164-0C07083E91AC}"/>
    <cellStyle name="Normal 6 4" xfId="282" xr:uid="{DBFF5F57-2EC1-4515-9129-C9222AC356AB}"/>
    <cellStyle name="Normal 6 4 2" xfId="283" xr:uid="{80C2E0BF-6B93-4CC9-86F6-4BB2187FAFE1}"/>
    <cellStyle name="Normal 6 4 2 2" xfId="902" xr:uid="{18E820AF-AB8B-410E-81EA-62E56268BB12}"/>
    <cellStyle name="Normal 6 4 2 2 2" xfId="2153" xr:uid="{D92F8885-F2F1-4340-B231-2BA0099B51DE}"/>
    <cellStyle name="Normal 6 4 2 2 2 2" xfId="4651" xr:uid="{7AF7376A-99A4-465E-9572-43E18EAB4758}"/>
    <cellStyle name="Normal 6 4 2 2 2 2 2" xfId="9647" xr:uid="{B2A3048D-D45F-45EF-B53C-C582083793C6}"/>
    <cellStyle name="Normal 6 4 2 2 2 3" xfId="7149" xr:uid="{E747EC05-C0B8-40F0-9F32-A5366674C4A7}"/>
    <cellStyle name="Normal 6 4 2 2 3" xfId="3402" xr:uid="{EEFED614-2B34-473C-A7F5-21670201C351}"/>
    <cellStyle name="Normal 6 4 2 2 3 2" xfId="8398" xr:uid="{8F1AFCD5-C308-4832-AD1A-6B87C427B26B}"/>
    <cellStyle name="Normal 6 4 2 2 4" xfId="5900" xr:uid="{772444DD-FB6E-412A-9B66-DB1483E23C34}"/>
    <cellStyle name="Normal 6 4 2 3" xfId="1215" xr:uid="{36AFA2A7-0539-4093-AA47-21E7D724A5C3}"/>
    <cellStyle name="Normal 6 4 2 3 2" xfId="2465" xr:uid="{C2BCAE95-18E0-4641-9CCF-9278DC5BA11C}"/>
    <cellStyle name="Normal 6 4 2 3 2 2" xfId="4963" xr:uid="{6D7D6391-1BB9-4AB8-AB88-9DDE9A8790AD}"/>
    <cellStyle name="Normal 6 4 2 3 2 2 2" xfId="9959" xr:uid="{DFFDF0CE-6716-4A48-BA42-7E1058841937}"/>
    <cellStyle name="Normal 6 4 2 3 2 3" xfId="7461" xr:uid="{F8DBF56E-F92C-407E-8C91-04C84B2EDD1D}"/>
    <cellStyle name="Normal 6 4 2 3 3" xfId="3714" xr:uid="{1ACDB9F7-E8E4-462F-BD96-448EFDD8D723}"/>
    <cellStyle name="Normal 6 4 2 3 3 2" xfId="8710" xr:uid="{883AFF2F-416F-45B0-A296-ED1BDC68EDE2}"/>
    <cellStyle name="Normal 6 4 2 3 4" xfId="6212" xr:uid="{14EFA42A-08F8-4EA5-AD5E-A9EB9EF55ACD}"/>
    <cellStyle name="Normal 6 4 2 4" xfId="1549" xr:uid="{2DF3B48C-BE5A-4ED7-9E7D-A959CE8A8F4C}"/>
    <cellStyle name="Normal 6 4 2 4 2" xfId="2799" xr:uid="{86FC1BE6-7A25-4100-9007-B20F4402396E}"/>
    <cellStyle name="Normal 6 4 2 4 2 2" xfId="5297" xr:uid="{D29A5F25-D588-4B58-BC1F-6CF758282C2E}"/>
    <cellStyle name="Normal 6 4 2 4 2 2 2" xfId="10293" xr:uid="{72E5022D-3B75-46A1-AE9A-ED94B67E8173}"/>
    <cellStyle name="Normal 6 4 2 4 2 3" xfId="7795" xr:uid="{CDA2B9CD-2A9A-425A-9368-F1C43EEF9E53}"/>
    <cellStyle name="Normal 6 4 2 4 3" xfId="4048" xr:uid="{69BCDBE3-555F-4EE3-A366-C88D054D1D5F}"/>
    <cellStyle name="Normal 6 4 2 4 3 2" xfId="9044" xr:uid="{1FAF2319-D1D9-4E55-9265-C37B825832DC}"/>
    <cellStyle name="Normal 6 4 2 4 4" xfId="6546" xr:uid="{0CB5152F-EA3D-4C13-B739-1D156E23D146}"/>
    <cellStyle name="Normal 6 4 2 5" xfId="1880" xr:uid="{38D18F97-7133-45DD-93FC-3E7C216E882C}"/>
    <cellStyle name="Normal 6 4 2 5 2" xfId="4378" xr:uid="{557B602E-4A6B-425C-A6BC-7D3F7D683531}"/>
    <cellStyle name="Normal 6 4 2 5 2 2" xfId="9374" xr:uid="{68B6D468-0665-4284-84D3-B9F6EBB0D5C8}"/>
    <cellStyle name="Normal 6 4 2 5 3" xfId="6876" xr:uid="{50BBAE76-E2FA-428F-A8F4-AEA3608A34B7}"/>
    <cellStyle name="Normal 6 4 2 6" xfId="3129" xr:uid="{9B9DC2BB-B855-443D-A5E2-B72E37520934}"/>
    <cellStyle name="Normal 6 4 2 6 2" xfId="8125" xr:uid="{71E0CD7F-3493-49A5-A313-8F0C19F00E18}"/>
    <cellStyle name="Normal 6 4 2 7" xfId="5627" xr:uid="{E0A04612-96A9-4DB8-8BD5-C37E627D957F}"/>
    <cellStyle name="Normal 6 4 2 8" xfId="629" xr:uid="{0834C4C5-D90C-499D-A04B-DE568433D150}"/>
    <cellStyle name="Normal 6 4 3" xfId="901" xr:uid="{393D6A9C-2C89-4B7A-86DA-D98A4CA973B6}"/>
    <cellStyle name="Normal 6 4 3 2" xfId="2152" xr:uid="{925FDEF3-B952-47DD-A240-D543299DD37E}"/>
    <cellStyle name="Normal 6 4 3 2 2" xfId="4650" xr:uid="{03182167-84A3-4A1F-A0D3-BD7C9EB3A6EF}"/>
    <cellStyle name="Normal 6 4 3 2 2 2" xfId="9646" xr:uid="{61C21706-8EE8-419F-BEBD-1802C675AA5D}"/>
    <cellStyle name="Normal 6 4 3 2 3" xfId="7148" xr:uid="{E2FC0DA1-7C47-49BE-8099-9013EF02C554}"/>
    <cellStyle name="Normal 6 4 3 3" xfId="3401" xr:uid="{3D7CD85D-F982-472D-9F5B-D0A9A678BAB6}"/>
    <cellStyle name="Normal 6 4 3 3 2" xfId="8397" xr:uid="{FD267657-AA6A-4ADC-BA53-9D63EAFB4DEB}"/>
    <cellStyle name="Normal 6 4 3 4" xfId="5899" xr:uid="{426963CA-4927-49E6-9D34-2440A04F86A3}"/>
    <cellStyle name="Normal 6 4 4" xfId="1214" xr:uid="{71AE54F8-0ADD-4CAC-9F89-38C0F063CEFA}"/>
    <cellStyle name="Normal 6 4 4 2" xfId="2464" xr:uid="{FD524963-87E4-4ACE-A5F2-AD7F915BAA7D}"/>
    <cellStyle name="Normal 6 4 4 2 2" xfId="4962" xr:uid="{53DECF1D-CF0B-4A52-A478-BC514F70CA80}"/>
    <cellStyle name="Normal 6 4 4 2 2 2" xfId="9958" xr:uid="{B673D4B8-D990-4F1E-83F1-C704430F35B4}"/>
    <cellStyle name="Normal 6 4 4 2 3" xfId="7460" xr:uid="{7F9FEE45-FD38-47DE-A40F-64D452EEDBC5}"/>
    <cellStyle name="Normal 6 4 4 3" xfId="3713" xr:uid="{F27EB376-9085-406D-939C-9D516FDB654D}"/>
    <cellStyle name="Normal 6 4 4 3 2" xfId="8709" xr:uid="{ECDE1B5A-C1EA-4B80-B839-7C05C4B38884}"/>
    <cellStyle name="Normal 6 4 4 4" xfId="6211" xr:uid="{2E240CA5-0F83-4040-8F0E-74B3F3890327}"/>
    <cellStyle name="Normal 6 4 5" xfId="1421" xr:uid="{8B341CCF-9ACA-462E-8CF0-682D330953FF}"/>
    <cellStyle name="Normal 6 4 5 2" xfId="2671" xr:uid="{E0CC34F6-FAC4-4BEE-A01F-981977C7CC72}"/>
    <cellStyle name="Normal 6 4 5 2 2" xfId="5169" xr:uid="{78AE1E8B-6D5E-48B0-AAA2-079F9563C4BA}"/>
    <cellStyle name="Normal 6 4 5 2 2 2" xfId="10165" xr:uid="{92BF66EE-C3F9-4620-ABEF-962559439E42}"/>
    <cellStyle name="Normal 6 4 5 2 3" xfId="7667" xr:uid="{8FF1ABCA-2190-4232-8C94-C9AA3451EEB2}"/>
    <cellStyle name="Normal 6 4 5 3" xfId="3920" xr:uid="{524BC8E1-7122-4761-9B75-C4CF66E0136C}"/>
    <cellStyle name="Normal 6 4 5 3 2" xfId="8916" xr:uid="{7A001CAD-07A0-461C-8335-EBA6160ED7F7}"/>
    <cellStyle name="Normal 6 4 5 4" xfId="6418" xr:uid="{4FBF1AA1-ADAB-46EC-967D-5B4B0D24A0F7}"/>
    <cellStyle name="Normal 6 4 6" xfId="1752" xr:uid="{B8760736-5958-4883-8E14-94073E56A529}"/>
    <cellStyle name="Normal 6 4 6 2" xfId="4250" xr:uid="{9B76C3C7-92A5-4F2C-AD67-1BBE70D2C190}"/>
    <cellStyle name="Normal 6 4 6 2 2" xfId="9246" xr:uid="{DB5E8069-5599-46CE-AAEA-79372C420A38}"/>
    <cellStyle name="Normal 6 4 6 3" xfId="6748" xr:uid="{B6118371-CC73-4170-ADE7-CA52C349F793}"/>
    <cellStyle name="Normal 6 4 7" xfId="3001" xr:uid="{03968BA6-D915-461A-B1E9-D51BC7E67333}"/>
    <cellStyle name="Normal 6 4 7 2" xfId="7997" xr:uid="{DFF9AD66-5E6A-4C15-8ADB-F68625C29112}"/>
    <cellStyle name="Normal 6 4 8" xfId="5499" xr:uid="{EDD3778A-1D8D-42F0-A637-E8F9A32F5A1E}"/>
    <cellStyle name="Normal 6 4 9" xfId="501" xr:uid="{E0276832-5D19-46E7-97EC-9977A5BB08DF}"/>
    <cellStyle name="Normal 6 5" xfId="284" xr:uid="{3EA56EE0-536E-438A-AFB0-680A5E7B539D}"/>
    <cellStyle name="Normal 6 5 2" xfId="903" xr:uid="{7C882589-5D09-4547-84D1-70D7D56D5094}"/>
    <cellStyle name="Normal 6 5 2 2" xfId="2154" xr:uid="{F482D44A-77D4-45E4-9E01-AC0162F8334D}"/>
    <cellStyle name="Normal 6 5 2 2 2" xfId="4652" xr:uid="{D2EB27C1-4D52-48C2-9015-84CAE864E396}"/>
    <cellStyle name="Normal 6 5 2 2 2 2" xfId="9648" xr:uid="{A0A2F09D-E237-473E-92BD-7C5758E28CED}"/>
    <cellStyle name="Normal 6 5 2 2 3" xfId="7150" xr:uid="{DF7C34F9-252F-4489-BA05-47C9CDC22F35}"/>
    <cellStyle name="Normal 6 5 2 3" xfId="3403" xr:uid="{5782030E-BEC9-4EEC-A6F0-60C89D77D067}"/>
    <cellStyle name="Normal 6 5 2 3 2" xfId="8399" xr:uid="{06FAB399-7256-4696-808A-3195728628E7}"/>
    <cellStyle name="Normal 6 5 2 4" xfId="5901" xr:uid="{3CCA4EE2-5105-4FF0-AC64-ECD2115DDE75}"/>
    <cellStyle name="Normal 6 5 3" xfId="1216" xr:uid="{2E2FA308-DAD8-4ADD-8582-DF293C410FE9}"/>
    <cellStyle name="Normal 6 5 3 2" xfId="2466" xr:uid="{160C5B12-74B0-4342-8117-98CC5E4E6181}"/>
    <cellStyle name="Normal 6 5 3 2 2" xfId="4964" xr:uid="{558E3EEC-5C66-4431-B143-65C521EED080}"/>
    <cellStyle name="Normal 6 5 3 2 2 2" xfId="9960" xr:uid="{3D369B2F-BFE4-4095-863A-E52ECC0D3B3E}"/>
    <cellStyle name="Normal 6 5 3 2 3" xfId="7462" xr:uid="{15B93622-E0C3-4133-8024-B8252AC84E6C}"/>
    <cellStyle name="Normal 6 5 3 3" xfId="3715" xr:uid="{515E3489-C3B3-437F-BBA3-E9F4631F89DC}"/>
    <cellStyle name="Normal 6 5 3 3 2" xfId="8711" xr:uid="{67048611-F314-4759-9B46-570142CFA597}"/>
    <cellStyle name="Normal 6 5 3 4" xfId="6213" xr:uid="{3F72D004-FD3F-4919-A281-79A13F2FB1F4}"/>
    <cellStyle name="Normal 6 5 4" xfId="1545" xr:uid="{BF49BB01-79DC-447E-8CD1-461E53064E4F}"/>
    <cellStyle name="Normal 6 5 4 2" xfId="2795" xr:uid="{F37D893B-FF59-487C-9A2D-331B227949A0}"/>
    <cellStyle name="Normal 6 5 4 2 2" xfId="5293" xr:uid="{B7A1F2A5-F582-4249-B06E-CBA635392DF3}"/>
    <cellStyle name="Normal 6 5 4 2 2 2" xfId="10289" xr:uid="{91DA1EF0-6C07-4568-B8DB-688398C19273}"/>
    <cellStyle name="Normal 6 5 4 2 3" xfId="7791" xr:uid="{65F4D40E-869E-41F8-A00B-74F846DAD391}"/>
    <cellStyle name="Normal 6 5 4 3" xfId="4044" xr:uid="{46682D11-914F-45FA-828F-55C4FE014957}"/>
    <cellStyle name="Normal 6 5 4 3 2" xfId="9040" xr:uid="{A405DBD2-EBE9-41D3-84DE-F8CF77570919}"/>
    <cellStyle name="Normal 6 5 4 4" xfId="6542" xr:uid="{9C6B7A98-A477-4D1C-B049-F1ED2A894050}"/>
    <cellStyle name="Normal 6 5 5" xfId="1876" xr:uid="{139329BE-D198-46E5-944B-F7B74F0FAC82}"/>
    <cellStyle name="Normal 6 5 5 2" xfId="4374" xr:uid="{DC50A1B8-6A89-4213-84EB-E869FEA917CC}"/>
    <cellStyle name="Normal 6 5 5 2 2" xfId="9370" xr:uid="{76BAFAC7-E3BA-408B-A8B0-6947982E1744}"/>
    <cellStyle name="Normal 6 5 5 3" xfId="6872" xr:uid="{C31FA927-4B2C-45C8-9F2B-A97970AE02B8}"/>
    <cellStyle name="Normal 6 5 6" xfId="3125" xr:uid="{FD83D8BD-B374-45F2-AB8B-45606E8CF24A}"/>
    <cellStyle name="Normal 6 5 6 2" xfId="8121" xr:uid="{B8E187BA-79EC-4CE6-9324-34E0A15AAF80}"/>
    <cellStyle name="Normal 6 5 7" xfId="5623" xr:uid="{95E50A82-ABEC-4B57-B461-22607E7C34AC}"/>
    <cellStyle name="Normal 6 5 8" xfId="625" xr:uid="{9BDE7FE5-E0F3-44F4-8E1E-1167F971963E}"/>
    <cellStyle name="Normal 6 6" xfId="378" xr:uid="{29CFA944-838C-4FB9-B9C6-6653AFAEA84B}"/>
    <cellStyle name="Normal 6 6 2" xfId="1299" xr:uid="{D45650EF-9388-4B4A-9B9D-E690EB68781A}"/>
    <cellStyle name="Normal 6 6 2 2" xfId="2549" xr:uid="{5E17A8AD-6976-473D-B463-97CE5DBA9D5A}"/>
    <cellStyle name="Normal 6 6 2 2 2" xfId="5047" xr:uid="{C2FB0180-9813-4BAA-97EB-B6C5BAE7ED78}"/>
    <cellStyle name="Normal 6 6 2 2 2 2" xfId="10043" xr:uid="{6DBDD89B-46A7-4B0B-BFEF-2C03F8F46F7E}"/>
    <cellStyle name="Normal 6 6 2 2 3" xfId="7545" xr:uid="{DA2FA40A-8545-47D7-8D79-D62A3B32394C}"/>
    <cellStyle name="Normal 6 6 2 3" xfId="3798" xr:uid="{F6462827-82C1-43E0-B59F-D738E4899E89}"/>
    <cellStyle name="Normal 6 6 2 3 2" xfId="8794" xr:uid="{6F248EB1-D2B1-41FB-8193-3F5DE66EBF11}"/>
    <cellStyle name="Normal 6 6 2 4" xfId="6296" xr:uid="{05AB1E34-63BB-4A69-ABB9-0EAC2358D2AC}"/>
    <cellStyle name="Normal 6 6 3" xfId="2237" xr:uid="{119F4EB3-6650-4E69-B97A-CD347ECF2801}"/>
    <cellStyle name="Normal 6 6 3 2" xfId="4735" xr:uid="{023E1D8D-C32B-4FC7-BEDB-FF17975997B3}"/>
    <cellStyle name="Normal 6 6 3 2 2" xfId="9731" xr:uid="{24145E14-D98B-4381-8CC2-CD757A32288C}"/>
    <cellStyle name="Normal 6 6 3 3" xfId="7233" xr:uid="{457F2BBD-3C3E-458F-8806-D05AB27B38BE}"/>
    <cellStyle name="Normal 6 6 4" xfId="3486" xr:uid="{B3052450-FF34-4ED8-854F-70A6A1A75AB5}"/>
    <cellStyle name="Normal 6 6 4 2" xfId="8482" xr:uid="{21A0AA23-E527-4942-9886-766AA7B4CFEB}"/>
    <cellStyle name="Normal 6 6 5" xfId="5984" xr:uid="{A2DCDBA8-C082-4505-A579-96C17D3087F3}"/>
    <cellStyle name="Normal 6 6 6" xfId="987" xr:uid="{58658B2F-A1FA-49D8-8931-E7BC6FC07F34}"/>
    <cellStyle name="Normal 6 7" xfId="28" xr:uid="{34AEB485-33B6-498C-A1CF-91EAAE255A8F}"/>
    <cellStyle name="Normal 6 7 2" xfId="1938" xr:uid="{05A8CAE6-8627-4EC6-8885-7CC93BBBB9F7}"/>
    <cellStyle name="Normal 6 7 2 2" xfId="4436" xr:uid="{C8B01321-50E8-42D6-80BC-6A05B4F4CF50}"/>
    <cellStyle name="Normal 6 7 2 2 2" xfId="9432" xr:uid="{67513066-F5C6-421F-AAB8-217DF89CB05F}"/>
    <cellStyle name="Normal 6 7 2 3" xfId="6934" xr:uid="{C093B679-6173-4CF5-BCC5-EE73F345A5EE}"/>
    <cellStyle name="Normal 6 7 3" xfId="3187" xr:uid="{D6E2345C-AD19-47FB-951D-CF2B9D232FDD}"/>
    <cellStyle name="Normal 6 7 3 2" xfId="8183" xr:uid="{8811A819-33CC-42AC-87CE-8B16CF34D04C}"/>
    <cellStyle name="Normal 6 7 4" xfId="5685" xr:uid="{CC8385C6-5E1A-4538-9720-9343D148B135}"/>
    <cellStyle name="Normal 6 7 5" xfId="687" xr:uid="{452D3231-0F5E-4615-9709-8633C60ABF66}"/>
    <cellStyle name="Normal 6 8" xfId="1000" xr:uid="{75EEB3AF-2238-4A3D-8D3B-4318B575D9D0}"/>
    <cellStyle name="Normal 6 8 2" xfId="2250" xr:uid="{B22E66C9-9C42-4BCA-966B-C5091CE6C2C2}"/>
    <cellStyle name="Normal 6 8 2 2" xfId="4748" xr:uid="{C89BDD07-B689-4623-A466-671EE86470F3}"/>
    <cellStyle name="Normal 6 8 2 2 2" xfId="9744" xr:uid="{DC3DE47C-9DC7-4D4D-970B-C45878C0C0C3}"/>
    <cellStyle name="Normal 6 8 2 3" xfId="7246" xr:uid="{0C948B86-86A4-450B-8E2F-18321F517870}"/>
    <cellStyle name="Normal 6 8 3" xfId="3499" xr:uid="{4801928B-6FB3-4966-AC8F-9AB029D63E09}"/>
    <cellStyle name="Normal 6 8 3 2" xfId="8495" xr:uid="{B645AF1E-1C7E-4959-9A82-CAA34D647F5F}"/>
    <cellStyle name="Normal 6 8 4" xfId="5997" xr:uid="{79D46E62-0305-40D0-9785-0F9F3B859134}"/>
    <cellStyle name="Normal 6 9" xfId="1312" xr:uid="{2A0BD235-EDB8-4B75-A920-E8C797AAA5B5}"/>
    <cellStyle name="Normal 6 9 2" xfId="2562" xr:uid="{AC7C66A5-6C2E-4947-991F-16768A01B89D}"/>
    <cellStyle name="Normal 6 9 2 2" xfId="5060" xr:uid="{FC2A280D-A780-46C7-9A49-66A067809716}"/>
    <cellStyle name="Normal 6 9 2 2 2" xfId="10056" xr:uid="{F51CE64E-C355-4182-9968-F363D1A42173}"/>
    <cellStyle name="Normal 6 9 2 3" xfId="7558" xr:uid="{4DC64E66-CF0C-4A0C-8C4B-C87751EC42B5}"/>
    <cellStyle name="Normal 6 9 3" xfId="3811" xr:uid="{7D82D9AB-860D-4E12-AEB4-224B3B5C14EF}"/>
    <cellStyle name="Normal 6 9 3 2" xfId="8807" xr:uid="{5C68C133-7A7A-4C6F-99CD-E0C34F4E570C}"/>
    <cellStyle name="Normal 6 9 4" xfId="6309" xr:uid="{B35A68A7-DCCB-4672-BF25-6E3A643EB0FC}"/>
    <cellStyle name="Normal 7" xfId="44" xr:uid="{5B7619C6-419A-4C7C-9CBD-DF6F8F98B33F}"/>
    <cellStyle name="Normal 7 10" xfId="1645" xr:uid="{E3815E90-119F-4C27-B905-C02A997B71D6}"/>
    <cellStyle name="Normal 7 10 2" xfId="4143" xr:uid="{42902450-B409-45A0-8AA4-B05E289A8C2B}"/>
    <cellStyle name="Normal 7 10 2 2" xfId="9139" xr:uid="{BC93F468-80BB-4799-B6A0-22B7EB2759F2}"/>
    <cellStyle name="Normal 7 10 3" xfId="6641" xr:uid="{2660F747-48DC-427C-A6BF-CCC027F7B2BA}"/>
    <cellStyle name="Normal 7 11" xfId="2894" xr:uid="{B67FAA78-861D-4E95-BEDD-84D740C2B8D5}"/>
    <cellStyle name="Normal 7 11 2" xfId="7890" xr:uid="{BED9503B-0C06-4904-80B4-C9CC15549E81}"/>
    <cellStyle name="Normal 7 12" xfId="5392" xr:uid="{70904F9E-32FF-4CD6-AF35-20297B437E91}"/>
    <cellStyle name="Normal 7 13" xfId="394" xr:uid="{F484E3CF-5218-4495-9E1B-A55FA9489F71}"/>
    <cellStyle name="Normal 7 2" xfId="74" xr:uid="{C7E64A42-97EA-4809-9E1D-F86E09A0D034}"/>
    <cellStyle name="Normal 7 2 10" xfId="434" xr:uid="{06501F5F-D0B6-4F95-B0B2-FF9121D76F84}"/>
    <cellStyle name="Normal 7 2 2" xfId="285" xr:uid="{B67681A8-5FAD-430D-95C8-52EC0830A805}"/>
    <cellStyle name="Normal 7 2 2 2" xfId="286" xr:uid="{51057836-41B1-4B88-8550-AA8EA01B5255}"/>
    <cellStyle name="Normal 7 2 2 2 2" xfId="905" xr:uid="{ACA8DF09-98A4-4E0C-B484-FFAC1657A539}"/>
    <cellStyle name="Normal 7 2 2 2 2 2" xfId="2156" xr:uid="{BB688840-7A9E-4C84-97E8-87BCD5A90431}"/>
    <cellStyle name="Normal 7 2 2 2 2 2 2" xfId="4654" xr:uid="{855AE8D9-D244-4F42-9134-4FA1B8781D58}"/>
    <cellStyle name="Normal 7 2 2 2 2 2 2 2" xfId="9650" xr:uid="{1F0C2408-5979-42E2-9EDD-81B3B3A3FB4E}"/>
    <cellStyle name="Normal 7 2 2 2 2 2 3" xfId="7152" xr:uid="{875E2B26-3A32-4E06-91A1-14C121718862}"/>
    <cellStyle name="Normal 7 2 2 2 2 3" xfId="3405" xr:uid="{87885862-2835-4D66-BD91-222770A4FC78}"/>
    <cellStyle name="Normal 7 2 2 2 2 3 2" xfId="8401" xr:uid="{2CE900C6-4157-4FA2-8C93-1016F54E751B}"/>
    <cellStyle name="Normal 7 2 2 2 2 4" xfId="5903" xr:uid="{3147853D-C6A1-41E8-B309-640F2F8D13C3}"/>
    <cellStyle name="Normal 7 2 2 2 3" xfId="1218" xr:uid="{6193B86A-4BAE-46F2-87C9-DB670A47E751}"/>
    <cellStyle name="Normal 7 2 2 2 3 2" xfId="2468" xr:uid="{D1FB19B9-0982-4F5C-9C7D-C274F47F3BB1}"/>
    <cellStyle name="Normal 7 2 2 2 3 2 2" xfId="4966" xr:uid="{2E325562-03CE-41F1-B754-666581FF0487}"/>
    <cellStyle name="Normal 7 2 2 2 3 2 2 2" xfId="9962" xr:uid="{CED9212B-61F6-44DB-9F94-B295D6B713E2}"/>
    <cellStyle name="Normal 7 2 2 2 3 2 3" xfId="7464" xr:uid="{BFC2BFF4-72B9-40C4-8167-FFF5424AA9AC}"/>
    <cellStyle name="Normal 7 2 2 2 3 3" xfId="3717" xr:uid="{1AB07E33-747A-4999-B92E-4FE12E259420}"/>
    <cellStyle name="Normal 7 2 2 2 3 3 2" xfId="8713" xr:uid="{0E0F7E14-B352-4C72-BD7C-9EC2CDAD990D}"/>
    <cellStyle name="Normal 7 2 2 2 3 4" xfId="6215" xr:uid="{02718C53-B5C9-46FA-8D5F-26FB9900EF9D}"/>
    <cellStyle name="Normal 7 2 2 2 4" xfId="1552" xr:uid="{7C34E46F-86C3-43A1-8055-7C53389DD0B6}"/>
    <cellStyle name="Normal 7 2 2 2 4 2" xfId="2802" xr:uid="{6243F83D-1A27-476E-8D1B-684A535F3594}"/>
    <cellStyle name="Normal 7 2 2 2 4 2 2" xfId="5300" xr:uid="{B995E336-ECA1-4130-8CB8-F45D3BA13553}"/>
    <cellStyle name="Normal 7 2 2 2 4 2 2 2" xfId="10296" xr:uid="{0CF90EAE-D454-4BAA-AF50-94022E47C0C6}"/>
    <cellStyle name="Normal 7 2 2 2 4 2 3" xfId="7798" xr:uid="{4E37304F-7688-4191-81CB-3F73170974BB}"/>
    <cellStyle name="Normal 7 2 2 2 4 3" xfId="4051" xr:uid="{7C9BFE28-84B2-4681-B5A9-B18ED7BF7DFB}"/>
    <cellStyle name="Normal 7 2 2 2 4 3 2" xfId="9047" xr:uid="{F7271776-1DF9-4BE6-9143-B3A9E57E4018}"/>
    <cellStyle name="Normal 7 2 2 2 4 4" xfId="6549" xr:uid="{2D112848-805C-48CA-90B4-CD5540BFDC7B}"/>
    <cellStyle name="Normal 7 2 2 2 5" xfId="1883" xr:uid="{966E4C63-56D3-432A-89E7-8030DF3465BA}"/>
    <cellStyle name="Normal 7 2 2 2 5 2" xfId="4381" xr:uid="{08FB9FBB-49D6-445D-A116-308706849240}"/>
    <cellStyle name="Normal 7 2 2 2 5 2 2" xfId="9377" xr:uid="{7667CC6B-0523-4309-AD6E-EBE7AD6BED07}"/>
    <cellStyle name="Normal 7 2 2 2 5 3" xfId="6879" xr:uid="{7098E5BB-F80B-42F1-BC88-719299C442F0}"/>
    <cellStyle name="Normal 7 2 2 2 6" xfId="3132" xr:uid="{9828BFA6-C99C-4752-8274-FDDD2AC506BD}"/>
    <cellStyle name="Normal 7 2 2 2 6 2" xfId="8128" xr:uid="{2D35C3CD-9318-49B7-997F-81597A6D179D}"/>
    <cellStyle name="Normal 7 2 2 2 7" xfId="5630" xr:uid="{0B4EE205-B203-439F-B92B-4790E0AC5E14}"/>
    <cellStyle name="Normal 7 2 2 2 8" xfId="632" xr:uid="{DA2BC2C2-DBA7-4388-BBAE-FBE2F52A6248}"/>
    <cellStyle name="Normal 7 2 2 3" xfId="904" xr:uid="{956DE225-ECBE-44AF-BEFF-EC75DD9C8867}"/>
    <cellStyle name="Normal 7 2 2 3 2" xfId="2155" xr:uid="{2591296A-543E-4DFA-A368-B7F5FDBA69E2}"/>
    <cellStyle name="Normal 7 2 2 3 2 2" xfId="4653" xr:uid="{B0EECAA2-FBEE-4C7B-9644-48016FC59D82}"/>
    <cellStyle name="Normal 7 2 2 3 2 2 2" xfId="9649" xr:uid="{C1755805-63D1-4398-AA96-FBEF97F6406F}"/>
    <cellStyle name="Normal 7 2 2 3 2 3" xfId="7151" xr:uid="{2454AADC-A0B1-4613-B622-0D436C83FF49}"/>
    <cellStyle name="Normal 7 2 2 3 3" xfId="3404" xr:uid="{B69F2AC8-D544-49F0-91D8-F386EC29C5F6}"/>
    <cellStyle name="Normal 7 2 2 3 3 2" xfId="8400" xr:uid="{1F15D3DA-7F73-41B8-809B-E4F641581761}"/>
    <cellStyle name="Normal 7 2 2 3 4" xfId="5902" xr:uid="{966656DF-F214-45C1-A390-C8277DF1CFA4}"/>
    <cellStyle name="Normal 7 2 2 4" xfId="1217" xr:uid="{30B0FCBB-9ACC-4201-A4E0-A7EFC16D7F7C}"/>
    <cellStyle name="Normal 7 2 2 4 2" xfId="2467" xr:uid="{31A07664-75BC-4802-B95B-B224FDBF26BF}"/>
    <cellStyle name="Normal 7 2 2 4 2 2" xfId="4965" xr:uid="{6CD6FCA9-351F-4005-B0E6-10FE482519AF}"/>
    <cellStyle name="Normal 7 2 2 4 2 2 2" xfId="9961" xr:uid="{773CAAE3-9B6B-4039-8375-5F474874CACB}"/>
    <cellStyle name="Normal 7 2 2 4 2 3" xfId="7463" xr:uid="{41F0E25E-4D2B-47C1-9A72-D822B2AA2661}"/>
    <cellStyle name="Normal 7 2 2 4 3" xfId="3716" xr:uid="{907B042A-E654-48E1-AADF-A212BE044047}"/>
    <cellStyle name="Normal 7 2 2 4 3 2" xfId="8712" xr:uid="{6FB2D486-94AF-4E34-95B0-2C6EF9831D39}"/>
    <cellStyle name="Normal 7 2 2 4 4" xfId="6214" xr:uid="{26E07EC6-BD44-4E99-8354-A7CA471C2580}"/>
    <cellStyle name="Normal 7 2 2 5" xfId="1425" xr:uid="{177E16AF-0C40-41BB-A216-B8A009CC00C1}"/>
    <cellStyle name="Normal 7 2 2 5 2" xfId="2675" xr:uid="{32DA22DC-6779-41A4-8C3D-3F9FCD9D2F54}"/>
    <cellStyle name="Normal 7 2 2 5 2 2" xfId="5173" xr:uid="{30F2B82A-5668-4D6C-890A-77046215225F}"/>
    <cellStyle name="Normal 7 2 2 5 2 2 2" xfId="10169" xr:uid="{D4552D11-A827-41D7-8767-96BB6FE57C59}"/>
    <cellStyle name="Normal 7 2 2 5 2 3" xfId="7671" xr:uid="{8B76241D-73E9-4B60-8F5C-A78B4046EE79}"/>
    <cellStyle name="Normal 7 2 2 5 3" xfId="3924" xr:uid="{EFE565EE-8351-41D6-AC0A-78D107B979BE}"/>
    <cellStyle name="Normal 7 2 2 5 3 2" xfId="8920" xr:uid="{A5B7B0CD-76FD-4B2D-AF56-54CEF90F91EC}"/>
    <cellStyle name="Normal 7 2 2 5 4" xfId="6422" xr:uid="{5B6C3869-1068-4703-8426-EED149152134}"/>
    <cellStyle name="Normal 7 2 2 6" xfId="1756" xr:uid="{547AE907-C869-475B-ACBD-9D54D0E2ABAD}"/>
    <cellStyle name="Normal 7 2 2 6 2" xfId="4254" xr:uid="{19E89A2A-D7E6-4160-931A-93AF87074422}"/>
    <cellStyle name="Normal 7 2 2 6 2 2" xfId="9250" xr:uid="{969C0153-9DB6-4752-8FBC-58311B113301}"/>
    <cellStyle name="Normal 7 2 2 6 3" xfId="6752" xr:uid="{88BF7E69-BE26-4FEF-9283-B196AAC4B875}"/>
    <cellStyle name="Normal 7 2 2 7" xfId="3005" xr:uid="{19A3DC24-3D44-45FF-A38A-C6CF37DB352D}"/>
    <cellStyle name="Normal 7 2 2 7 2" xfId="8001" xr:uid="{2835B393-A3C9-4D76-8856-7C17EBBB08FD}"/>
    <cellStyle name="Normal 7 2 2 8" xfId="5503" xr:uid="{E3C4DD3A-7EDE-4F64-94F4-92E335588EB7}"/>
    <cellStyle name="Normal 7 2 2 9" xfId="505" xr:uid="{CC647D39-C766-4DEC-8190-1DB62AAB90B0}"/>
    <cellStyle name="Normal 7 2 3" xfId="287" xr:uid="{1CD15FD2-D560-4B84-B555-C65311003CEA}"/>
    <cellStyle name="Normal 7 2 3 2" xfId="906" xr:uid="{63965DAA-D561-49FE-BD0B-10EB627EE081}"/>
    <cellStyle name="Normal 7 2 3 2 2" xfId="2157" xr:uid="{7194D103-1018-4099-A66F-B156148A7FD8}"/>
    <cellStyle name="Normal 7 2 3 2 2 2" xfId="4655" xr:uid="{DACFB8B0-38CB-4DF5-A5AE-BE8B47EF57CE}"/>
    <cellStyle name="Normal 7 2 3 2 2 2 2" xfId="9651" xr:uid="{1E2B341A-CC3B-4FB7-90F2-139E0E5F5670}"/>
    <cellStyle name="Normal 7 2 3 2 2 3" xfId="7153" xr:uid="{02A11D35-6F24-41BE-9E6A-39BD5F5A6D9A}"/>
    <cellStyle name="Normal 7 2 3 2 3" xfId="3406" xr:uid="{F9CA42F6-0563-4910-9581-3EEB4B37A7A9}"/>
    <cellStyle name="Normal 7 2 3 2 3 2" xfId="8402" xr:uid="{654B96A7-7A83-4A49-9D3D-C5D1899E573F}"/>
    <cellStyle name="Normal 7 2 3 2 4" xfId="5904" xr:uid="{0A5A76FA-EBBB-4D5F-9BDF-FE2663FEB525}"/>
    <cellStyle name="Normal 7 2 3 3" xfId="1219" xr:uid="{5FC14354-19D9-4ABE-AF21-C7E4CE85C084}"/>
    <cellStyle name="Normal 7 2 3 3 2" xfId="2469" xr:uid="{D55BD01F-729A-4141-81F1-E9EFE3BE557D}"/>
    <cellStyle name="Normal 7 2 3 3 2 2" xfId="4967" xr:uid="{1CD369A2-D7C5-49C8-943A-4D9E50095F36}"/>
    <cellStyle name="Normal 7 2 3 3 2 2 2" xfId="9963" xr:uid="{0D39CDED-FA41-4F91-8A6C-64836625A487}"/>
    <cellStyle name="Normal 7 2 3 3 2 3" xfId="7465" xr:uid="{C49FCA95-E597-43F1-8832-0F6AFDA84E82}"/>
    <cellStyle name="Normal 7 2 3 3 3" xfId="3718" xr:uid="{39B4A131-FACF-42B6-8595-A77B7E7F502D}"/>
    <cellStyle name="Normal 7 2 3 3 3 2" xfId="8714" xr:uid="{70B72C15-92E4-4C90-81F1-1EE056D0E7D4}"/>
    <cellStyle name="Normal 7 2 3 3 4" xfId="6216" xr:uid="{5457CC97-CF11-44DD-9771-5C9D2A38B58C}"/>
    <cellStyle name="Normal 7 2 3 4" xfId="1551" xr:uid="{C3254A1C-E745-4169-A3B8-7569A26A99C3}"/>
    <cellStyle name="Normal 7 2 3 4 2" xfId="2801" xr:uid="{99F818D6-E64E-4ECF-9B8B-F94C320E3EDA}"/>
    <cellStyle name="Normal 7 2 3 4 2 2" xfId="5299" xr:uid="{471F784F-7104-4774-94C5-792E1960438D}"/>
    <cellStyle name="Normal 7 2 3 4 2 2 2" xfId="10295" xr:uid="{1683C83C-2180-4347-8C64-B8F783910919}"/>
    <cellStyle name="Normal 7 2 3 4 2 3" xfId="7797" xr:uid="{B3DFFF09-492C-403F-A3DF-051E3DB8F721}"/>
    <cellStyle name="Normal 7 2 3 4 3" xfId="4050" xr:uid="{E1B4DF1C-7829-4EB7-BB25-5B0967EDA78B}"/>
    <cellStyle name="Normal 7 2 3 4 3 2" xfId="9046" xr:uid="{C24AF417-6A88-41CC-BE66-C79F3AD01CBC}"/>
    <cellStyle name="Normal 7 2 3 4 4" xfId="6548" xr:uid="{3642FBB1-200A-4DF1-852C-3B96F1FD07B7}"/>
    <cellStyle name="Normal 7 2 3 5" xfId="1882" xr:uid="{2D03EF89-1F13-4972-8BA0-72698F096C28}"/>
    <cellStyle name="Normal 7 2 3 5 2" xfId="4380" xr:uid="{3597082A-33AB-4658-BCDA-648F2753157C}"/>
    <cellStyle name="Normal 7 2 3 5 2 2" xfId="9376" xr:uid="{A49F24B9-7092-4A6E-B2AC-19388CE1B314}"/>
    <cellStyle name="Normal 7 2 3 5 3" xfId="6878" xr:uid="{61F7C44E-A54E-4FA5-A08C-428833541B19}"/>
    <cellStyle name="Normal 7 2 3 6" xfId="3131" xr:uid="{AECCD50D-11E3-424F-9A55-126B766FE523}"/>
    <cellStyle name="Normal 7 2 3 6 2" xfId="8127" xr:uid="{0BBA6AB1-103D-46FD-B996-E39CF52ACA30}"/>
    <cellStyle name="Normal 7 2 3 7" xfId="5629" xr:uid="{48A6CEAE-E9F3-4624-AA9D-8E91BFCDAA26}"/>
    <cellStyle name="Normal 7 2 3 8" xfId="631" xr:uid="{43893E55-3BB5-4567-9C1D-482A0F8F692E}"/>
    <cellStyle name="Normal 7 2 4" xfId="728" xr:uid="{2EF6907C-1B9B-464E-9E65-4B25344791CD}"/>
    <cellStyle name="Normal 7 2 4 2" xfId="1979" xr:uid="{5A977103-321D-4E16-9AF4-84BE91B1A0ED}"/>
    <cellStyle name="Normal 7 2 4 2 2" xfId="4477" xr:uid="{47528871-E6EA-44A0-A74C-04566B1BAB06}"/>
    <cellStyle name="Normal 7 2 4 2 2 2" xfId="9473" xr:uid="{8AB4BD22-6C89-40D5-9430-0C0C74B61F83}"/>
    <cellStyle name="Normal 7 2 4 2 3" xfId="6975" xr:uid="{5DDB1413-418F-415B-A590-794D1B06129C}"/>
    <cellStyle name="Normal 7 2 4 3" xfId="3228" xr:uid="{EDA0019B-662C-463A-970B-57DA2F9E4114}"/>
    <cellStyle name="Normal 7 2 4 3 2" xfId="8224" xr:uid="{BE011060-D44F-4821-A7C7-029091E4EB42}"/>
    <cellStyle name="Normal 7 2 4 4" xfId="5726" xr:uid="{8FFD18D3-13C9-4F26-B6B5-4AFA690AF85A}"/>
    <cellStyle name="Normal 7 2 5" xfId="1041" xr:uid="{A591DD71-5EF9-4DCB-9C5C-F96E2BB47C2E}"/>
    <cellStyle name="Normal 7 2 5 2" xfId="2291" xr:uid="{1250528E-437A-4ABF-8B0E-93039E735523}"/>
    <cellStyle name="Normal 7 2 5 2 2" xfId="4789" xr:uid="{85548025-7D9F-4385-91D9-C5AD638E86FF}"/>
    <cellStyle name="Normal 7 2 5 2 2 2" xfId="9785" xr:uid="{7417DB8E-0291-40B2-AC90-E50D565C7240}"/>
    <cellStyle name="Normal 7 2 5 2 3" xfId="7287" xr:uid="{635EB21A-DE09-4A0F-8977-81010EA6AE29}"/>
    <cellStyle name="Normal 7 2 5 3" xfId="3540" xr:uid="{42E9ABB0-6DDA-4C88-B5AF-BB6C7CBAF24A}"/>
    <cellStyle name="Normal 7 2 5 3 2" xfId="8536" xr:uid="{31F68BCD-C048-4C7A-9C5D-99E91E32728C}"/>
    <cellStyle name="Normal 7 2 5 4" xfId="6038" xr:uid="{3A4DE53A-DD2D-48B3-84CA-570BCADFED61}"/>
    <cellStyle name="Normal 7 2 6" xfId="1354" xr:uid="{3F1FD388-2599-44E2-828B-D0CA7B9974CC}"/>
    <cellStyle name="Normal 7 2 6 2" xfId="2604" xr:uid="{725A83F8-8FC4-4EF6-B883-FDBF9D8CEE0A}"/>
    <cellStyle name="Normal 7 2 6 2 2" xfId="5102" xr:uid="{FFA9857A-DD83-419B-9DC0-AE338A9EB5BF}"/>
    <cellStyle name="Normal 7 2 6 2 2 2" xfId="10098" xr:uid="{0F22E671-5CFD-476D-A53C-9E58BB848B98}"/>
    <cellStyle name="Normal 7 2 6 2 3" xfId="7600" xr:uid="{2AFC9B1B-F1F0-4AD7-A1CE-B1DDBC9FDED8}"/>
    <cellStyle name="Normal 7 2 6 3" xfId="3853" xr:uid="{1A03B50B-BC69-4C77-B13E-6467E2F2A3A6}"/>
    <cellStyle name="Normal 7 2 6 3 2" xfId="8849" xr:uid="{C14F378B-E5E8-4EA1-94E6-4740F61401F9}"/>
    <cellStyle name="Normal 7 2 6 4" xfId="6351" xr:uid="{A248A8D8-F7DE-44E0-B9AE-D52EF74100BD}"/>
    <cellStyle name="Normal 7 2 7" xfId="1685" xr:uid="{3F67E0D9-BEBE-4AE8-8134-14AE948B1843}"/>
    <cellStyle name="Normal 7 2 7 2" xfId="4183" xr:uid="{132D20F1-3902-4BD2-B6C4-B01BDFD78309}"/>
    <cellStyle name="Normal 7 2 7 2 2" xfId="9179" xr:uid="{2E77C196-092F-4003-BCE6-D6A54C5F3F12}"/>
    <cellStyle name="Normal 7 2 7 3" xfId="6681" xr:uid="{BD005974-8CEC-48A5-97C9-11DB7A8FA8DF}"/>
    <cellStyle name="Normal 7 2 8" xfId="2934" xr:uid="{2F38CBDD-CD57-49EE-85F4-8565C7349F12}"/>
    <cellStyle name="Normal 7 2 8 2" xfId="7930" xr:uid="{EEC06F3D-5AAF-4331-A76E-19BED1337879}"/>
    <cellStyle name="Normal 7 2 9" xfId="5432" xr:uid="{B17BE255-2BCD-4F92-A19F-0C95DB719BB0}"/>
    <cellStyle name="Normal 7 3" xfId="98" xr:uid="{924C1392-826F-4CFF-BD26-FFADFADBD92B}"/>
    <cellStyle name="Normal 7 3 2" xfId="288" xr:uid="{AB38468F-DF15-46C1-A826-E150FDBA7C59}"/>
    <cellStyle name="Normal 7 3 2 2" xfId="907" xr:uid="{AA463323-F0B1-46A0-9EC3-923EF8B2FA51}"/>
    <cellStyle name="Normal 7 3 2 2 2" xfId="2158" xr:uid="{D9F8665B-CA78-4A09-954E-0937B6F3C064}"/>
    <cellStyle name="Normal 7 3 2 2 2 2" xfId="4656" xr:uid="{4FA0C307-7CA7-4208-9C64-C6DCE4EDD979}"/>
    <cellStyle name="Normal 7 3 2 2 2 2 2" xfId="9652" xr:uid="{5CA0E56A-56E9-4CA1-A270-69B86A5859E6}"/>
    <cellStyle name="Normal 7 3 2 2 2 3" xfId="7154" xr:uid="{5634F0E6-B935-4648-BA3B-EF022552BF9A}"/>
    <cellStyle name="Normal 7 3 2 2 3" xfId="3407" xr:uid="{237DEE16-DDF4-45D5-A27C-276256D8C5C0}"/>
    <cellStyle name="Normal 7 3 2 2 3 2" xfId="8403" xr:uid="{7C1BBE35-C4BC-4202-AE73-10C7AD3D334C}"/>
    <cellStyle name="Normal 7 3 2 2 4" xfId="5905" xr:uid="{38D63842-9230-4D21-9E8D-80FE8D4FF154}"/>
    <cellStyle name="Normal 7 3 2 3" xfId="1220" xr:uid="{47246476-F0BD-46BD-860E-3A2E7AD5146D}"/>
    <cellStyle name="Normal 7 3 2 3 2" xfId="2470" xr:uid="{78C9004A-4562-4C65-A34A-A56CAC78179F}"/>
    <cellStyle name="Normal 7 3 2 3 2 2" xfId="4968" xr:uid="{5C86CAB1-0DA7-43FD-B44E-936014F85BA6}"/>
    <cellStyle name="Normal 7 3 2 3 2 2 2" xfId="9964" xr:uid="{2C42517A-98CA-4B18-95C8-4D84EFF68D2E}"/>
    <cellStyle name="Normal 7 3 2 3 2 3" xfId="7466" xr:uid="{B0A862C6-F89E-4542-B9E2-41727F5A45B3}"/>
    <cellStyle name="Normal 7 3 2 3 3" xfId="3719" xr:uid="{740CC1AC-A7E6-4423-A7A0-4737357D93B1}"/>
    <cellStyle name="Normal 7 3 2 3 3 2" xfId="8715" xr:uid="{8E1F9BF6-761F-41CA-9A82-BA2CCA7E481E}"/>
    <cellStyle name="Normal 7 3 2 3 4" xfId="6217" xr:uid="{E4163C39-C83D-415E-A9F2-405FE505676D}"/>
    <cellStyle name="Normal 7 3 2 4" xfId="1553" xr:uid="{E4514B3A-8CA0-4D1D-B8B5-7C3C4B2720B0}"/>
    <cellStyle name="Normal 7 3 2 4 2" xfId="2803" xr:uid="{E6F95E22-A0AF-477E-909E-8070130BFA9A}"/>
    <cellStyle name="Normal 7 3 2 4 2 2" xfId="5301" xr:uid="{8E1427D7-15DF-4230-BE4B-7402F2BAE044}"/>
    <cellStyle name="Normal 7 3 2 4 2 2 2" xfId="10297" xr:uid="{F2ADFB30-1D89-4DEA-B7AB-CB46951309CB}"/>
    <cellStyle name="Normal 7 3 2 4 2 3" xfId="7799" xr:uid="{E84D9A2F-7D77-4735-9460-2FD9BE3D2F5C}"/>
    <cellStyle name="Normal 7 3 2 4 3" xfId="4052" xr:uid="{F5EC5E84-5EEB-4963-BFF8-4E318478A3B9}"/>
    <cellStyle name="Normal 7 3 2 4 3 2" xfId="9048" xr:uid="{932A8AB1-9EC6-4DBC-BA11-C25BDC5BBBCB}"/>
    <cellStyle name="Normal 7 3 2 4 4" xfId="6550" xr:uid="{6F0F4316-A943-4DE0-B1E3-6FF1529B478D}"/>
    <cellStyle name="Normal 7 3 2 5" xfId="1884" xr:uid="{B60CAE4D-26D3-4FA3-9809-1AAA147E1DBC}"/>
    <cellStyle name="Normal 7 3 2 5 2" xfId="4382" xr:uid="{714362C7-C501-467D-B220-5102419B2502}"/>
    <cellStyle name="Normal 7 3 2 5 2 2" xfId="9378" xr:uid="{6E74AC57-FE39-49D6-A79C-D8B633C5AA9A}"/>
    <cellStyle name="Normal 7 3 2 5 3" xfId="6880" xr:uid="{A224A3C4-69B6-4FB5-A757-11C90E0B86A7}"/>
    <cellStyle name="Normal 7 3 2 6" xfId="3133" xr:uid="{827CB5D0-972B-4895-A790-BF614C0DEA06}"/>
    <cellStyle name="Normal 7 3 2 6 2" xfId="8129" xr:uid="{2886D704-73E0-41FC-B650-411483682D8F}"/>
    <cellStyle name="Normal 7 3 2 7" xfId="5631" xr:uid="{5E06A46D-EA1D-4635-9E61-239CB20DBD57}"/>
    <cellStyle name="Normal 7 3 2 8" xfId="633" xr:uid="{5300AAD3-E082-4EE6-8FBA-7218EBC66457}"/>
    <cellStyle name="Normal 7 3 3" xfId="752" xr:uid="{90CC2F9F-4A17-4C43-9517-A80B10C00E19}"/>
    <cellStyle name="Normal 7 3 3 2" xfId="2003" xr:uid="{9BD572CC-0DEA-449E-839B-D160D0878608}"/>
    <cellStyle name="Normal 7 3 3 2 2" xfId="4501" xr:uid="{FAE62460-DFD2-4B53-8ABC-B46708F0EB31}"/>
    <cellStyle name="Normal 7 3 3 2 2 2" xfId="9497" xr:uid="{E7D4282D-4362-4A91-A4C5-FB8FB390C79E}"/>
    <cellStyle name="Normal 7 3 3 2 3" xfId="6999" xr:uid="{0078CD6A-9D55-45B8-8DB4-A27A39B55A7D}"/>
    <cellStyle name="Normal 7 3 3 3" xfId="3252" xr:uid="{D7439A06-6099-4CFE-8C38-E2EF9ACA6317}"/>
    <cellStyle name="Normal 7 3 3 3 2" xfId="8248" xr:uid="{5E9406D6-85F6-466E-A486-803530416C7C}"/>
    <cellStyle name="Normal 7 3 3 4" xfId="5750" xr:uid="{74AB5DD9-C429-4AD1-A29C-3B19C8746D36}"/>
    <cellStyle name="Normal 7 3 4" xfId="1065" xr:uid="{B2E0F40A-9BA1-4EC3-BAA3-F7EE9FDC1285}"/>
    <cellStyle name="Normal 7 3 4 2" xfId="2315" xr:uid="{605BD9D1-1143-4C6A-9E9E-1876379AA2D7}"/>
    <cellStyle name="Normal 7 3 4 2 2" xfId="4813" xr:uid="{B07B3C29-0206-4905-938B-F468E13B3BD5}"/>
    <cellStyle name="Normal 7 3 4 2 2 2" xfId="9809" xr:uid="{DB279D34-6FAE-4DF3-A81A-789E68F753D3}"/>
    <cellStyle name="Normal 7 3 4 2 3" xfId="7311" xr:uid="{90643E3B-5220-4FDC-9DD0-89BE86FFC878}"/>
    <cellStyle name="Normal 7 3 4 3" xfId="3564" xr:uid="{0CB8B7EE-E528-4E85-BAD4-870904860AD7}"/>
    <cellStyle name="Normal 7 3 4 3 2" xfId="8560" xr:uid="{AC2D03C9-6304-40DF-B477-5ED165D8CFC2}"/>
    <cellStyle name="Normal 7 3 4 4" xfId="6062" xr:uid="{09F29E18-3B04-40F4-8D06-0E19EE85977C}"/>
    <cellStyle name="Normal 7 3 5" xfId="1426" xr:uid="{5B38BB1C-4675-4CD9-ABD4-551D29EFE8E3}"/>
    <cellStyle name="Normal 7 3 5 2" xfId="2676" xr:uid="{C4C69294-E923-4FA6-8899-6F43B1BA1A28}"/>
    <cellStyle name="Normal 7 3 5 2 2" xfId="5174" xr:uid="{4AD3C920-81E3-4040-BCE1-2CCEFA750225}"/>
    <cellStyle name="Normal 7 3 5 2 2 2" xfId="10170" xr:uid="{2553FD1C-F444-47EC-84D9-94D582D8054B}"/>
    <cellStyle name="Normal 7 3 5 2 3" xfId="7672" xr:uid="{107BA300-FDDE-414D-A5B0-C82D8A50E083}"/>
    <cellStyle name="Normal 7 3 5 3" xfId="3925" xr:uid="{B0EE6BEA-8B74-4193-8B95-BCC52258D912}"/>
    <cellStyle name="Normal 7 3 5 3 2" xfId="8921" xr:uid="{1EAEB1CF-0CE5-4053-A3B6-5E8C8010FD09}"/>
    <cellStyle name="Normal 7 3 5 4" xfId="6423" xr:uid="{53887F1D-DCDA-4B9E-94F5-3ACCC9556243}"/>
    <cellStyle name="Normal 7 3 6" xfId="1757" xr:uid="{BDA0220E-886F-46B8-9D17-AD8BA097BD15}"/>
    <cellStyle name="Normal 7 3 6 2" xfId="4255" xr:uid="{26F2CFD6-F76F-4244-8D61-4B555F9A043E}"/>
    <cellStyle name="Normal 7 3 6 2 2" xfId="9251" xr:uid="{6CA3989F-3422-4A00-B8E7-CB92108A3941}"/>
    <cellStyle name="Normal 7 3 6 3" xfId="6753" xr:uid="{10FEA338-0FDB-4165-9D32-ED538AF4CE85}"/>
    <cellStyle name="Normal 7 3 7" xfId="3006" xr:uid="{72EEA75E-0511-404E-A49A-FF9CEBF75B4C}"/>
    <cellStyle name="Normal 7 3 7 2" xfId="8002" xr:uid="{73B56623-D3AB-4D9C-B4D7-6E9EA5385746}"/>
    <cellStyle name="Normal 7 3 8" xfId="5504" xr:uid="{A4B14C14-CA2C-4DBC-9B5C-C6FD0C8D5DDC}"/>
    <cellStyle name="Normal 7 3 9" xfId="506" xr:uid="{016FBD0B-8A7C-45CE-9877-CD95A18E3AB2}"/>
    <cellStyle name="Normal 7 4" xfId="289" xr:uid="{ECAE5D07-BFBE-4C84-BEBC-77D9A2B8044F}"/>
    <cellStyle name="Normal 7 4 2" xfId="290" xr:uid="{F6E89B63-1956-4215-A3E3-995F509EA02E}"/>
    <cellStyle name="Normal 7 4 2 2" xfId="909" xr:uid="{795E7876-24F0-4F95-9464-940EAA1CA123}"/>
    <cellStyle name="Normal 7 4 2 2 2" xfId="2160" xr:uid="{13CA2DB5-B5C2-4C84-8F1F-E68193B84619}"/>
    <cellStyle name="Normal 7 4 2 2 2 2" xfId="4658" xr:uid="{CF85D7DB-51F5-4738-BC68-D179998680F2}"/>
    <cellStyle name="Normal 7 4 2 2 2 2 2" xfId="9654" xr:uid="{97D3D31F-0CE0-4238-AC63-BB7FDD58471B}"/>
    <cellStyle name="Normal 7 4 2 2 2 3" xfId="7156" xr:uid="{36F9B3C2-6148-42D5-9502-3091C05921DC}"/>
    <cellStyle name="Normal 7 4 2 2 3" xfId="3409" xr:uid="{2AAE1777-9631-4AB2-802B-1EA71A331A77}"/>
    <cellStyle name="Normal 7 4 2 2 3 2" xfId="8405" xr:uid="{C3847ADE-B6F7-4B0E-BFDD-3CFD6111F79E}"/>
    <cellStyle name="Normal 7 4 2 2 4" xfId="5907" xr:uid="{B6DEB10D-DEC3-4E61-95FD-95F44A691CDC}"/>
    <cellStyle name="Normal 7 4 2 3" xfId="1222" xr:uid="{1BB4383B-943C-41A9-9652-72D2700AAF95}"/>
    <cellStyle name="Normal 7 4 2 3 2" xfId="2472" xr:uid="{97E04882-FFFF-4D0C-9E54-4F177F974458}"/>
    <cellStyle name="Normal 7 4 2 3 2 2" xfId="4970" xr:uid="{4B502173-99F7-432E-807A-AF5E5ADFECE6}"/>
    <cellStyle name="Normal 7 4 2 3 2 2 2" xfId="9966" xr:uid="{8E25C491-68B7-42AD-B3A6-A20A3E3B661B}"/>
    <cellStyle name="Normal 7 4 2 3 2 3" xfId="7468" xr:uid="{B0367F70-4228-4C5A-9E63-322D0F7968AC}"/>
    <cellStyle name="Normal 7 4 2 3 3" xfId="3721" xr:uid="{F1D9D14F-D792-43AD-91A3-5F831544C2B2}"/>
    <cellStyle name="Normal 7 4 2 3 3 2" xfId="8717" xr:uid="{20F3FB10-2B2C-45A4-A575-02DEB71C134F}"/>
    <cellStyle name="Normal 7 4 2 3 4" xfId="6219" xr:uid="{8B9C298B-B272-4ED3-A479-F245AEC5E16B}"/>
    <cellStyle name="Normal 7 4 2 4" xfId="1554" xr:uid="{C3B046D9-E20D-4A3E-AE64-3F80AF6C4660}"/>
    <cellStyle name="Normal 7 4 2 4 2" xfId="2804" xr:uid="{0C6A6327-A799-46B7-9E07-6C50936A79EB}"/>
    <cellStyle name="Normal 7 4 2 4 2 2" xfId="5302" xr:uid="{46851F0A-66BD-4242-86CE-399A57E9BA3D}"/>
    <cellStyle name="Normal 7 4 2 4 2 2 2" xfId="10298" xr:uid="{A9B1642F-D869-484C-859B-23691B1DFE1E}"/>
    <cellStyle name="Normal 7 4 2 4 2 3" xfId="7800" xr:uid="{AC7C4EF0-667D-445C-90DE-8443FA76E95C}"/>
    <cellStyle name="Normal 7 4 2 4 3" xfId="4053" xr:uid="{3D5F32EC-9CAC-4895-BEEE-3C01F80C4C9D}"/>
    <cellStyle name="Normal 7 4 2 4 3 2" xfId="9049" xr:uid="{3B5EFF3C-1A05-47F0-976B-7BA59558D3FB}"/>
    <cellStyle name="Normal 7 4 2 4 4" xfId="6551" xr:uid="{C391B367-A511-4555-886C-CB6D559ED7B4}"/>
    <cellStyle name="Normal 7 4 2 5" xfId="1885" xr:uid="{BFB0D61D-E738-449B-B053-3FB950122F7B}"/>
    <cellStyle name="Normal 7 4 2 5 2" xfId="4383" xr:uid="{5A793653-EFA2-49AA-8A1E-752AEAA77115}"/>
    <cellStyle name="Normal 7 4 2 5 2 2" xfId="9379" xr:uid="{037011B4-1509-4FF5-8D11-F0B83673989A}"/>
    <cellStyle name="Normal 7 4 2 5 3" xfId="6881" xr:uid="{F1A87E01-6E38-482E-8968-A880217151DE}"/>
    <cellStyle name="Normal 7 4 2 6" xfId="3134" xr:uid="{66E66EAC-922F-4C1D-857B-99C660EF3C3F}"/>
    <cellStyle name="Normal 7 4 2 6 2" xfId="8130" xr:uid="{F2D7B72F-C961-4A32-AAD1-AD27F67CE2A4}"/>
    <cellStyle name="Normal 7 4 2 7" xfId="5632" xr:uid="{20C677A6-E415-49C6-8B11-C6A9321D9901}"/>
    <cellStyle name="Normal 7 4 2 8" xfId="634" xr:uid="{75CD655A-665F-4378-BE14-A2DBDD16BA1B}"/>
    <cellStyle name="Normal 7 4 3" xfId="908" xr:uid="{FC32A118-B018-46C3-85F8-E7BD07136B72}"/>
    <cellStyle name="Normal 7 4 3 2" xfId="2159" xr:uid="{35CA26D5-6D0D-4BC7-9A3C-7AD9207E4B00}"/>
    <cellStyle name="Normal 7 4 3 2 2" xfId="4657" xr:uid="{CE7847C1-D70B-45F2-9EA7-3F34B12A99F6}"/>
    <cellStyle name="Normal 7 4 3 2 2 2" xfId="9653" xr:uid="{F5E50B82-63B0-4F20-83BC-7BF287DC5046}"/>
    <cellStyle name="Normal 7 4 3 2 3" xfId="7155" xr:uid="{71B8FE40-69D3-42DE-B4E5-DE8B47291CE0}"/>
    <cellStyle name="Normal 7 4 3 3" xfId="3408" xr:uid="{5247350A-89F9-416D-AC79-3E3732778C83}"/>
    <cellStyle name="Normal 7 4 3 3 2" xfId="8404" xr:uid="{9D8ACD66-4551-4FDD-8BCF-615BADBEEB72}"/>
    <cellStyle name="Normal 7 4 3 4" xfId="5906" xr:uid="{E34DB54F-9460-4E51-A365-7DAEFA5A7260}"/>
    <cellStyle name="Normal 7 4 4" xfId="1221" xr:uid="{EE05C422-1D32-4289-8499-1F51E9EFFBEB}"/>
    <cellStyle name="Normal 7 4 4 2" xfId="2471" xr:uid="{F8CF49BB-FCA9-4266-95E8-9152A5B03EA7}"/>
    <cellStyle name="Normal 7 4 4 2 2" xfId="4969" xr:uid="{1CBAEB4C-8CBE-4117-994B-6075DC74D396}"/>
    <cellStyle name="Normal 7 4 4 2 2 2" xfId="9965" xr:uid="{DE99A084-8279-4827-92A1-58723E55AC7E}"/>
    <cellStyle name="Normal 7 4 4 2 3" xfId="7467" xr:uid="{7DA102E2-B8C2-4760-98BB-3143B0EB35B2}"/>
    <cellStyle name="Normal 7 4 4 3" xfId="3720" xr:uid="{AACECEAC-CC6D-4EEA-9618-11E23A60EB57}"/>
    <cellStyle name="Normal 7 4 4 3 2" xfId="8716" xr:uid="{BA45B5F9-AC4A-4757-AC06-49EDE473F70E}"/>
    <cellStyle name="Normal 7 4 4 4" xfId="6218" xr:uid="{9E1719D7-8251-44C0-A455-BBCF499BC895}"/>
    <cellStyle name="Normal 7 4 5" xfId="1424" xr:uid="{242246B9-5E3B-47D1-8619-C6BC5B13AE4E}"/>
    <cellStyle name="Normal 7 4 5 2" xfId="2674" xr:uid="{A1905E61-D34D-4418-AA90-659071B11ACE}"/>
    <cellStyle name="Normal 7 4 5 2 2" xfId="5172" xr:uid="{CB610058-E012-4684-96C7-F829446348EF}"/>
    <cellStyle name="Normal 7 4 5 2 2 2" xfId="10168" xr:uid="{2A7BA6D5-B039-421A-BB20-2533CCD051FC}"/>
    <cellStyle name="Normal 7 4 5 2 3" xfId="7670" xr:uid="{FD347AA9-426D-47A7-8F92-CF3F020552C7}"/>
    <cellStyle name="Normal 7 4 5 3" xfId="3923" xr:uid="{C13B8F31-7663-41B9-98E6-DC63ADA9E71B}"/>
    <cellStyle name="Normal 7 4 5 3 2" xfId="8919" xr:uid="{60B60FD2-D896-4EBC-ACFC-22E54D7AEFF4}"/>
    <cellStyle name="Normal 7 4 5 4" xfId="6421" xr:uid="{17E5ED83-CEC0-4445-A704-58BEBD530B4C}"/>
    <cellStyle name="Normal 7 4 6" xfId="1755" xr:uid="{FA24C6B6-ABFF-46E6-B0CC-EE8093D98921}"/>
    <cellStyle name="Normal 7 4 6 2" xfId="4253" xr:uid="{EAC82796-92F5-4BF1-AA72-60735814DD00}"/>
    <cellStyle name="Normal 7 4 6 2 2" xfId="9249" xr:uid="{9124C05B-85AC-4F47-8F3F-0F9D52D9F450}"/>
    <cellStyle name="Normal 7 4 6 3" xfId="6751" xr:uid="{7BC356F9-B4EE-4D72-9D40-025622BE1323}"/>
    <cellStyle name="Normal 7 4 7" xfId="3004" xr:uid="{64F3836B-FB76-422C-B2DF-14DA60D37AA3}"/>
    <cellStyle name="Normal 7 4 7 2" xfId="8000" xr:uid="{B1025C27-E115-4126-954D-FE6950F5FDBD}"/>
    <cellStyle name="Normal 7 4 8" xfId="5502" xr:uid="{762E1F8F-F25B-453B-8BD7-F630BAA28324}"/>
    <cellStyle name="Normal 7 4 9" xfId="504" xr:uid="{B280A014-84B3-43A9-9CBA-A2A8C2DEBDC8}"/>
    <cellStyle name="Normal 7 5" xfId="291" xr:uid="{E34736F6-D517-4EE5-99D2-5CC12F1E516E}"/>
    <cellStyle name="Normal 7 5 2" xfId="910" xr:uid="{42EB5551-14E4-48E9-9775-EF65600133D7}"/>
    <cellStyle name="Normal 7 5 2 2" xfId="2161" xr:uid="{B26CBA17-BF85-436A-8A50-BA48245C95B6}"/>
    <cellStyle name="Normal 7 5 2 2 2" xfId="4659" xr:uid="{67864DF8-A21C-4E5B-82B8-9F2968734CA1}"/>
    <cellStyle name="Normal 7 5 2 2 2 2" xfId="9655" xr:uid="{BE4139E4-95D9-41EC-9B8A-496E67066952}"/>
    <cellStyle name="Normal 7 5 2 2 3" xfId="7157" xr:uid="{396E825E-D7A7-47B3-A34E-4EAED788A27B}"/>
    <cellStyle name="Normal 7 5 2 3" xfId="3410" xr:uid="{CDCD2931-D5A4-4EE0-9DC8-CDE0FC4F4146}"/>
    <cellStyle name="Normal 7 5 2 3 2" xfId="8406" xr:uid="{1E1153F3-FDDF-4C61-891A-6BB5B4CD2792}"/>
    <cellStyle name="Normal 7 5 2 4" xfId="5908" xr:uid="{A5CD4172-1F85-4FE4-B95E-91E1A75B630B}"/>
    <cellStyle name="Normal 7 5 3" xfId="1223" xr:uid="{987D8AC2-A659-4D1F-B18F-4F2D3E5AD0FD}"/>
    <cellStyle name="Normal 7 5 3 2" xfId="2473" xr:uid="{022172B7-E0E1-40E0-A35F-AE81BF64F2A6}"/>
    <cellStyle name="Normal 7 5 3 2 2" xfId="4971" xr:uid="{E340DC11-6DA5-40F0-97DF-EF8CA0F3B6D9}"/>
    <cellStyle name="Normal 7 5 3 2 2 2" xfId="9967" xr:uid="{01E8CE16-E399-4818-A0D7-D3E81C61AAAB}"/>
    <cellStyle name="Normal 7 5 3 2 3" xfId="7469" xr:uid="{F022818F-F068-42EC-9961-A4B950029684}"/>
    <cellStyle name="Normal 7 5 3 3" xfId="3722" xr:uid="{1C147116-EF07-4DB6-8F63-7ADD32D9A582}"/>
    <cellStyle name="Normal 7 5 3 3 2" xfId="8718" xr:uid="{10ABAF5D-3D82-4ADE-AF9C-0989DF8030AA}"/>
    <cellStyle name="Normal 7 5 3 4" xfId="6220" xr:uid="{2E5C89BF-A833-4E71-9699-1E71843A5410}"/>
    <cellStyle name="Normal 7 5 4" xfId="1550" xr:uid="{3E397114-3D99-4C0E-88A4-DC77FCEEB1B2}"/>
    <cellStyle name="Normal 7 5 4 2" xfId="2800" xr:uid="{13FFC44E-14A3-468D-A55D-390035CE4698}"/>
    <cellStyle name="Normal 7 5 4 2 2" xfId="5298" xr:uid="{A2F8FFEC-3EE7-49BE-A72E-B5808B5DC36E}"/>
    <cellStyle name="Normal 7 5 4 2 2 2" xfId="10294" xr:uid="{EA000D68-E40D-46D0-B394-658BE11A74B2}"/>
    <cellStyle name="Normal 7 5 4 2 3" xfId="7796" xr:uid="{6F848820-C924-4EBA-826A-CFCBC77F7DDB}"/>
    <cellStyle name="Normal 7 5 4 3" xfId="4049" xr:uid="{BFBA45F5-B063-4F3E-A857-AE9F44B890DB}"/>
    <cellStyle name="Normal 7 5 4 3 2" xfId="9045" xr:uid="{9C24CDD1-8C09-46D2-B4C4-59CA715D0C9A}"/>
    <cellStyle name="Normal 7 5 4 4" xfId="6547" xr:uid="{E6C4623F-0564-40F3-B30E-721410DA733D}"/>
    <cellStyle name="Normal 7 5 5" xfId="1881" xr:uid="{1F9FB470-D0AD-42B9-801A-2711EB654E1F}"/>
    <cellStyle name="Normal 7 5 5 2" xfId="4379" xr:uid="{644B1C99-D092-49FC-AF49-EE059E212C14}"/>
    <cellStyle name="Normal 7 5 5 2 2" xfId="9375" xr:uid="{7B3C30ED-5C37-4435-82BF-1BDB00F5BB1F}"/>
    <cellStyle name="Normal 7 5 5 3" xfId="6877" xr:uid="{4FFDFF38-A656-4431-B31F-F71914DCF64F}"/>
    <cellStyle name="Normal 7 5 6" xfId="3130" xr:uid="{2EC99B6D-A69F-4454-886A-BDEF0F08052C}"/>
    <cellStyle name="Normal 7 5 6 2" xfId="8126" xr:uid="{2D1A4CC4-D8CC-471B-B2B7-2C769ECE2540}"/>
    <cellStyle name="Normal 7 5 7" xfId="5628" xr:uid="{7A9D6ADB-B337-4ECB-9246-F1F933525EF3}"/>
    <cellStyle name="Normal 7 5 8" xfId="630" xr:uid="{60D167A8-061E-4E6D-941C-57C8251D5A27}"/>
    <cellStyle name="Normal 7 6" xfId="379" xr:uid="{2C3418F5-CE30-43D5-A4B5-9F85F864E293}"/>
    <cellStyle name="Normal 7 6 2" xfId="1300" xr:uid="{9669DB4F-EE65-4788-B7EB-0DAC82CCBB6C}"/>
    <cellStyle name="Normal 7 6 2 2" xfId="2550" xr:uid="{0A45015E-18AC-4127-B677-3EFBDFE4A3CD}"/>
    <cellStyle name="Normal 7 6 2 2 2" xfId="5048" xr:uid="{DC6EF8E7-3508-4DDB-AD8E-064AD679A5A0}"/>
    <cellStyle name="Normal 7 6 2 2 2 2" xfId="10044" xr:uid="{279C8FC7-2FB2-4E61-BE25-6E6DC3CE8DD2}"/>
    <cellStyle name="Normal 7 6 2 2 3" xfId="7546" xr:uid="{93FCD3FC-A7B5-459E-999B-E40B416DF745}"/>
    <cellStyle name="Normal 7 6 2 3" xfId="3799" xr:uid="{8986B57D-BA55-4469-B567-73B4DF3C7172}"/>
    <cellStyle name="Normal 7 6 2 3 2" xfId="8795" xr:uid="{769C98DB-7931-4F78-9B9F-FB03FA53FE5D}"/>
    <cellStyle name="Normal 7 6 2 4" xfId="6297" xr:uid="{44BD10BC-5D84-4C63-B2BB-12BE68D2FB23}"/>
    <cellStyle name="Normal 7 6 3" xfId="2238" xr:uid="{6797E17B-F087-4CE3-94DF-AA7100AA6E94}"/>
    <cellStyle name="Normal 7 6 3 2" xfId="4736" xr:uid="{1C608040-3576-4B37-AECF-7F1B4CDD5299}"/>
    <cellStyle name="Normal 7 6 3 2 2" xfId="9732" xr:uid="{962B4855-D8ED-4B7A-8A5A-8855CD82AC2F}"/>
    <cellStyle name="Normal 7 6 3 3" xfId="7234" xr:uid="{1504E818-195E-4D9E-84E5-6FFC5CC83904}"/>
    <cellStyle name="Normal 7 6 4" xfId="3487" xr:uid="{D3A7DB3E-55A5-4831-BD91-BE3095A4B27E}"/>
    <cellStyle name="Normal 7 6 4 2" xfId="8483" xr:uid="{DE79A710-B8C9-42A1-9B77-951D842A6F9D}"/>
    <cellStyle name="Normal 7 6 5" xfId="5985" xr:uid="{7367AD02-D326-4B45-84C6-7EDEC65CB9E9}"/>
    <cellStyle name="Normal 7 6 6" xfId="988" xr:uid="{C2740D51-E2CC-4DC2-9DE9-46E5570A85BA}"/>
    <cellStyle name="Normal 7 7" xfId="700" xr:uid="{8C26F8BD-4C4F-4E7E-B6D6-0CE001C81817}"/>
    <cellStyle name="Normal 7 7 2" xfId="1951" xr:uid="{D3C83D3F-1579-4033-B7A3-B13D5916186D}"/>
    <cellStyle name="Normal 7 7 2 2" xfId="4449" xr:uid="{31A9E67C-076A-42C5-BF27-CB6896D66D7F}"/>
    <cellStyle name="Normal 7 7 2 2 2" xfId="9445" xr:uid="{35D2D310-DFAC-4FEC-828E-288FA4B1F8F8}"/>
    <cellStyle name="Normal 7 7 2 3" xfId="6947" xr:uid="{664B9DF0-8218-438C-986B-C99C8966E070}"/>
    <cellStyle name="Normal 7 7 3" xfId="3200" xr:uid="{0B051EFD-C3FD-4D3F-9BDE-A5ABC430153A}"/>
    <cellStyle name="Normal 7 7 3 2" xfId="8196" xr:uid="{3C0A5014-317C-4E94-8466-C75C409402CB}"/>
    <cellStyle name="Normal 7 7 4" xfId="5698" xr:uid="{0482EDAC-5929-423F-B23C-CC74046851C3}"/>
    <cellStyle name="Normal 7 8" xfId="1013" xr:uid="{802AE0DC-742A-4963-875F-574A330B9CFF}"/>
    <cellStyle name="Normal 7 8 2" xfId="2263" xr:uid="{A32A13AB-4499-48EB-870C-76915FCC27F8}"/>
    <cellStyle name="Normal 7 8 2 2" xfId="4761" xr:uid="{BDF5222C-0B1F-4120-9807-F31FD6132CFC}"/>
    <cellStyle name="Normal 7 8 2 2 2" xfId="9757" xr:uid="{0E7D1B24-55D0-436A-B218-BBA3F8F5B1A0}"/>
    <cellStyle name="Normal 7 8 2 3" xfId="7259" xr:uid="{A71698C5-AE4D-458B-98F7-A940E3EA75D7}"/>
    <cellStyle name="Normal 7 8 3" xfId="3512" xr:uid="{F97FF81B-C6A0-4D83-8ACB-EB6FAF2F191C}"/>
    <cellStyle name="Normal 7 8 3 2" xfId="8508" xr:uid="{0ED70A81-A797-4CD6-9E5B-4044084BB695}"/>
    <cellStyle name="Normal 7 8 4" xfId="6010" xr:uid="{9C4B9CF7-8763-4822-B9D5-A817E221D92A}"/>
    <cellStyle name="Normal 7 9" xfId="1314" xr:uid="{F65B32A9-F604-476A-9D4A-653968B25311}"/>
    <cellStyle name="Normal 7 9 2" xfId="2564" xr:uid="{E2D2378B-2DCE-4D6E-BB62-8FA449FDF57E}"/>
    <cellStyle name="Normal 7 9 2 2" xfId="5062" xr:uid="{90AB079B-3930-4B56-B873-96D1265694CB}"/>
    <cellStyle name="Normal 7 9 2 2 2" xfId="10058" xr:uid="{70951E94-AF99-4E2C-A781-F0494B631C87}"/>
    <cellStyle name="Normal 7 9 2 3" xfId="7560" xr:uid="{C8E21F66-1AB8-4523-9556-3EBE294F5C9A}"/>
    <cellStyle name="Normal 7 9 3" xfId="3813" xr:uid="{75405756-7ED8-45B6-BFB3-B711597C608B}"/>
    <cellStyle name="Normal 7 9 3 2" xfId="8809" xr:uid="{898E809C-2ACF-4D49-9217-339B4F42491F}"/>
    <cellStyle name="Normal 7 9 4" xfId="6311" xr:uid="{112692EC-322B-4A59-9EB4-F9A6415A9BBA}"/>
    <cellStyle name="Normal 8" xfId="45" xr:uid="{93AF4BF3-5F1F-4F81-8262-B9D3A44CE661}"/>
    <cellStyle name="Normal 8 10" xfId="1648" xr:uid="{E9B66B8C-9C15-45FC-9F27-03ED6BD8C71D}"/>
    <cellStyle name="Normal 8 10 2" xfId="4146" xr:uid="{7162ADAB-5013-4E40-B92D-40AD714C6F04}"/>
    <cellStyle name="Normal 8 10 2 2" xfId="9142" xr:uid="{1D329A2B-19DF-49E8-8FE9-B8D73D774F5C}"/>
    <cellStyle name="Normal 8 10 3" xfId="6644" xr:uid="{1ECC02F1-53AD-40D4-A7D2-AD6B0447EEA9}"/>
    <cellStyle name="Normal 8 11" xfId="2897" xr:uid="{EDCA78E1-BDBF-42D7-9983-74FEC040632D}"/>
    <cellStyle name="Normal 8 11 2" xfId="7893" xr:uid="{10DF6C16-A1B9-4A47-8C3F-DBD7C6E38FEC}"/>
    <cellStyle name="Normal 8 12" xfId="5395" xr:uid="{D65AF8CB-C56A-40A1-9059-6A8A49EF59DE}"/>
    <cellStyle name="Normal 8 13" xfId="397" xr:uid="{CA2DFC52-C95D-4A37-A39A-5B6074290E41}"/>
    <cellStyle name="Normal 8 2" xfId="75" xr:uid="{FE4FD70D-A9FB-4843-A9D9-EFD8073349C2}"/>
    <cellStyle name="Normal 8 2 10" xfId="435" xr:uid="{51A3B523-458B-462C-8F73-8BD3CC89A370}"/>
    <cellStyle name="Normal 8 2 2" xfId="292" xr:uid="{99D28A0B-516E-4233-B3EC-1A725C19141C}"/>
    <cellStyle name="Normal 8 2 2 2" xfId="293" xr:uid="{4696E728-FD1D-4F5C-8905-BB9EA4847686}"/>
    <cellStyle name="Normal 8 2 2 2 2" xfId="912" xr:uid="{E7DE4DDA-FC0E-4D2B-9197-19636ADCD64A}"/>
    <cellStyle name="Normal 8 2 2 2 2 2" xfId="2163" xr:uid="{9FE58AEA-688F-4FFF-B788-648E6C4DB515}"/>
    <cellStyle name="Normal 8 2 2 2 2 2 2" xfId="4661" xr:uid="{EA5E8331-6134-45AC-95E5-3FFE53FEEB6D}"/>
    <cellStyle name="Normal 8 2 2 2 2 2 2 2" xfId="9657" xr:uid="{7B3B7283-4C11-449E-9705-EE4B5D129EBC}"/>
    <cellStyle name="Normal 8 2 2 2 2 2 3" xfId="7159" xr:uid="{63384713-B232-4294-9A2B-35C22A1645CC}"/>
    <cellStyle name="Normal 8 2 2 2 2 3" xfId="3412" xr:uid="{41B1AFA9-12A9-474C-84B6-8BACA7C71E5F}"/>
    <cellStyle name="Normal 8 2 2 2 2 3 2" xfId="8408" xr:uid="{60999653-6949-4BD9-842A-8FD3301D8253}"/>
    <cellStyle name="Normal 8 2 2 2 2 4" xfId="5910" xr:uid="{1F377EDC-94BE-4AAB-AFA5-4B02A79061A5}"/>
    <cellStyle name="Normal 8 2 2 2 3" xfId="1225" xr:uid="{4BC86756-874C-45AA-BE17-9E43F1FB13B3}"/>
    <cellStyle name="Normal 8 2 2 2 3 2" xfId="2475" xr:uid="{56FAAB00-D72F-4748-B917-FCEBB141DB24}"/>
    <cellStyle name="Normal 8 2 2 2 3 2 2" xfId="4973" xr:uid="{A67948D3-2B99-4D84-B89E-E9C1C8050A90}"/>
    <cellStyle name="Normal 8 2 2 2 3 2 2 2" xfId="9969" xr:uid="{6686DDFB-29EC-46A4-974A-A5A4C8F0AD2C}"/>
    <cellStyle name="Normal 8 2 2 2 3 2 3" xfId="7471" xr:uid="{2B1838E7-9A5A-404B-A393-431F64347860}"/>
    <cellStyle name="Normal 8 2 2 2 3 3" xfId="3724" xr:uid="{4432992A-34B8-4C03-B56A-3ADE546D55A0}"/>
    <cellStyle name="Normal 8 2 2 2 3 3 2" xfId="8720" xr:uid="{CAB6BC46-AD45-4035-9391-44B5C29E2026}"/>
    <cellStyle name="Normal 8 2 2 2 3 4" xfId="6222" xr:uid="{C853E1F5-1D6D-4A35-A74A-67930817DAEC}"/>
    <cellStyle name="Normal 8 2 2 2 4" xfId="1557" xr:uid="{085253F1-0992-4A75-8AEE-C8B046B45350}"/>
    <cellStyle name="Normal 8 2 2 2 4 2" xfId="2807" xr:uid="{920AC75E-6118-4988-B24B-719798F5A5A2}"/>
    <cellStyle name="Normal 8 2 2 2 4 2 2" xfId="5305" xr:uid="{A61FE523-5635-49B6-9665-ADC80E42BDB6}"/>
    <cellStyle name="Normal 8 2 2 2 4 2 2 2" xfId="10301" xr:uid="{B8450ED9-B192-4422-A033-D9F6679DDEEC}"/>
    <cellStyle name="Normal 8 2 2 2 4 2 3" xfId="7803" xr:uid="{C4009E28-CD7D-4A96-B7F8-2B6FAF546172}"/>
    <cellStyle name="Normal 8 2 2 2 4 3" xfId="4056" xr:uid="{36A70288-21CE-4B9A-A72D-B9D74C1C4828}"/>
    <cellStyle name="Normal 8 2 2 2 4 3 2" xfId="9052" xr:uid="{1161C650-A3FD-424D-B1FE-C66DF49B6619}"/>
    <cellStyle name="Normal 8 2 2 2 4 4" xfId="6554" xr:uid="{685C9800-5658-469F-A8CF-AA8936714B93}"/>
    <cellStyle name="Normal 8 2 2 2 5" xfId="1888" xr:uid="{D7751613-8EDE-436F-9E56-BBB01DE71BE5}"/>
    <cellStyle name="Normal 8 2 2 2 5 2" xfId="4386" xr:uid="{7F53DBAE-86AD-4CE6-99B0-4BAEAE4D3E59}"/>
    <cellStyle name="Normal 8 2 2 2 5 2 2" xfId="9382" xr:uid="{26A91448-2374-41CA-8E34-547BBA55F09B}"/>
    <cellStyle name="Normal 8 2 2 2 5 3" xfId="6884" xr:uid="{A7DE0EA3-741A-4A71-B3EE-6F42FDDBDFF3}"/>
    <cellStyle name="Normal 8 2 2 2 6" xfId="3137" xr:uid="{2F7D40C5-5C07-44D5-9864-6589A8DFC89D}"/>
    <cellStyle name="Normal 8 2 2 2 6 2" xfId="8133" xr:uid="{DA479BF4-6EBB-47F8-9D83-D4B4CD4BB08E}"/>
    <cellStyle name="Normal 8 2 2 2 7" xfId="5635" xr:uid="{B8F33C56-F653-4D6A-83BD-7904FF066BE5}"/>
    <cellStyle name="Normal 8 2 2 2 8" xfId="637" xr:uid="{CD4A3CEB-F4B2-49B4-B736-426D547C93C7}"/>
    <cellStyle name="Normal 8 2 2 3" xfId="911" xr:uid="{E5FBB132-AF1B-476B-8364-4759ED15A490}"/>
    <cellStyle name="Normal 8 2 2 3 2" xfId="2162" xr:uid="{CCA5B180-2967-41CC-8D6C-98E6EF1736FF}"/>
    <cellStyle name="Normal 8 2 2 3 2 2" xfId="4660" xr:uid="{973D734F-272B-4BC5-B961-4BC94046B8AF}"/>
    <cellStyle name="Normal 8 2 2 3 2 2 2" xfId="9656" xr:uid="{AA04C808-84F3-4A50-937F-3B6C652991F2}"/>
    <cellStyle name="Normal 8 2 2 3 2 3" xfId="7158" xr:uid="{0B5EFBF4-0639-4B61-8FA5-78F9CE7F28D8}"/>
    <cellStyle name="Normal 8 2 2 3 3" xfId="3411" xr:uid="{5980C74D-3E24-44DD-B150-358DA09F7108}"/>
    <cellStyle name="Normal 8 2 2 3 3 2" xfId="8407" xr:uid="{40F6B485-4C1A-41C6-9A79-82E717DB0921}"/>
    <cellStyle name="Normal 8 2 2 3 4" xfId="5909" xr:uid="{92165E11-31DF-45AB-9938-5D75DD557B20}"/>
    <cellStyle name="Normal 8 2 2 4" xfId="1224" xr:uid="{E0B84EC4-D07A-4F7A-ACCB-9C347CECD580}"/>
    <cellStyle name="Normal 8 2 2 4 2" xfId="2474" xr:uid="{BE0B4891-75E8-4013-9E07-B1076438EF33}"/>
    <cellStyle name="Normal 8 2 2 4 2 2" xfId="4972" xr:uid="{07342E79-3421-4106-99B9-3A43876506DE}"/>
    <cellStyle name="Normal 8 2 2 4 2 2 2" xfId="9968" xr:uid="{539C4512-61F9-4C9F-9023-25613CDE9058}"/>
    <cellStyle name="Normal 8 2 2 4 2 3" xfId="7470" xr:uid="{0B8DA13F-C54E-436F-A573-78D801225625}"/>
    <cellStyle name="Normal 8 2 2 4 3" xfId="3723" xr:uid="{F2892037-6A1A-4E2D-A977-94B40143AB26}"/>
    <cellStyle name="Normal 8 2 2 4 3 2" xfId="8719" xr:uid="{F42A1AA0-E02D-458A-B00E-D4181B2326EF}"/>
    <cellStyle name="Normal 8 2 2 4 4" xfId="6221" xr:uid="{B2B61707-F881-4D55-A8E9-495854CB9E46}"/>
    <cellStyle name="Normal 8 2 2 5" xfId="1428" xr:uid="{30CADBFC-F0FD-4AEE-B7AC-D6E93AD0A878}"/>
    <cellStyle name="Normal 8 2 2 5 2" xfId="2678" xr:uid="{631717EF-D32E-4D56-92E1-E44538D7CE55}"/>
    <cellStyle name="Normal 8 2 2 5 2 2" xfId="5176" xr:uid="{B99491FC-A267-4137-8FC8-494FC801A425}"/>
    <cellStyle name="Normal 8 2 2 5 2 2 2" xfId="10172" xr:uid="{56BD6915-D0CF-4C78-AB02-D01C1D37D3C3}"/>
    <cellStyle name="Normal 8 2 2 5 2 3" xfId="7674" xr:uid="{C033BC9A-9BA0-42F3-B92C-22667E4045EF}"/>
    <cellStyle name="Normal 8 2 2 5 3" xfId="3927" xr:uid="{4929CBB6-350B-405A-A214-B73975990094}"/>
    <cellStyle name="Normal 8 2 2 5 3 2" xfId="8923" xr:uid="{BACCBD90-E436-409B-9C16-C6CE698F517A}"/>
    <cellStyle name="Normal 8 2 2 5 4" xfId="6425" xr:uid="{B0E10BD8-032B-4840-947D-44C873AC5E3C}"/>
    <cellStyle name="Normal 8 2 2 6" xfId="1759" xr:uid="{A2C48DEF-8C45-4B93-B66E-7F147697AF8E}"/>
    <cellStyle name="Normal 8 2 2 6 2" xfId="4257" xr:uid="{0CBA6576-DBA4-40DD-ACD0-4CC008D579F5}"/>
    <cellStyle name="Normal 8 2 2 6 2 2" xfId="9253" xr:uid="{543F297E-8A33-48AA-BB33-BE3D6840CB73}"/>
    <cellStyle name="Normal 8 2 2 6 3" xfId="6755" xr:uid="{30162445-2610-4D0D-8325-C6E14000B028}"/>
    <cellStyle name="Normal 8 2 2 7" xfId="3008" xr:uid="{3DB9E884-1E85-45FB-8440-3D3585C4F2AE}"/>
    <cellStyle name="Normal 8 2 2 7 2" xfId="8004" xr:uid="{AA6ED32D-6CED-40C7-AED0-164BAF8ABAC5}"/>
    <cellStyle name="Normal 8 2 2 8" xfId="5506" xr:uid="{038D99E6-AFE4-493D-A8AC-E889883749BB}"/>
    <cellStyle name="Normal 8 2 2 9" xfId="508" xr:uid="{83808E32-4090-4696-95FA-063B1B146D1E}"/>
    <cellStyle name="Normal 8 2 3" xfId="294" xr:uid="{6AD63281-DE94-4E48-99CE-64CC76C98196}"/>
    <cellStyle name="Normal 8 2 3 2" xfId="913" xr:uid="{0D20BC9E-075F-4CF9-80F0-B5B28E24DD7D}"/>
    <cellStyle name="Normal 8 2 3 2 2" xfId="2164" xr:uid="{C383F55C-6CA5-4402-80C3-7C930366D049}"/>
    <cellStyle name="Normal 8 2 3 2 2 2" xfId="4662" xr:uid="{FB1DECB6-399D-4B70-90F7-E9EA0B1BEE7E}"/>
    <cellStyle name="Normal 8 2 3 2 2 2 2" xfId="9658" xr:uid="{062A3381-3426-4695-8728-FF1BDD720CB9}"/>
    <cellStyle name="Normal 8 2 3 2 2 3" xfId="7160" xr:uid="{B23A9B6C-F99E-4925-905D-DB11EF9079D9}"/>
    <cellStyle name="Normal 8 2 3 2 3" xfId="3413" xr:uid="{8EF67E2F-10E2-46B6-A032-60F9B864724B}"/>
    <cellStyle name="Normal 8 2 3 2 3 2" xfId="8409" xr:uid="{30A82BBA-5205-4F44-A516-8F27734E8F53}"/>
    <cellStyle name="Normal 8 2 3 2 4" xfId="5911" xr:uid="{2D0A9CC8-D5FD-4A25-AE38-819013FB4337}"/>
    <cellStyle name="Normal 8 2 3 3" xfId="1226" xr:uid="{6F4665B8-D688-44F0-9E95-8F263B9EF348}"/>
    <cellStyle name="Normal 8 2 3 3 2" xfId="2476" xr:uid="{ED6F3DB4-4275-4254-A673-D9236C852CCB}"/>
    <cellStyle name="Normal 8 2 3 3 2 2" xfId="4974" xr:uid="{69852ACC-4262-4E7B-B2E0-DAC69AF50138}"/>
    <cellStyle name="Normal 8 2 3 3 2 2 2" xfId="9970" xr:uid="{F3F119CC-5FD5-4F51-B41E-E71CAB8FE7B7}"/>
    <cellStyle name="Normal 8 2 3 3 2 3" xfId="7472" xr:uid="{0D61C3F3-B5A0-4EFA-9695-6F179B0B5C0F}"/>
    <cellStyle name="Normal 8 2 3 3 3" xfId="3725" xr:uid="{B968BC9B-0432-41DD-877D-00A14B98668C}"/>
    <cellStyle name="Normal 8 2 3 3 3 2" xfId="8721" xr:uid="{12E19641-5CE2-4131-8784-0FB31180E3C7}"/>
    <cellStyle name="Normal 8 2 3 3 4" xfId="6223" xr:uid="{6736340C-4948-4538-89C9-C2AEB73F49F8}"/>
    <cellStyle name="Normal 8 2 3 4" xfId="1556" xr:uid="{45765C89-CB98-48A3-8550-77178B265788}"/>
    <cellStyle name="Normal 8 2 3 4 2" xfId="2806" xr:uid="{03030749-541E-4011-9E76-A6B87915E670}"/>
    <cellStyle name="Normal 8 2 3 4 2 2" xfId="5304" xr:uid="{593E4A39-B967-43AE-AB4F-F93C10BD87EA}"/>
    <cellStyle name="Normal 8 2 3 4 2 2 2" xfId="10300" xr:uid="{49330494-4892-4F74-B117-A7304122711B}"/>
    <cellStyle name="Normal 8 2 3 4 2 3" xfId="7802" xr:uid="{C07D2B0C-2CA8-4EE4-8813-A2EC7639E9AC}"/>
    <cellStyle name="Normal 8 2 3 4 3" xfId="4055" xr:uid="{BB133903-0C98-4F8E-9629-FB18FB57AFB2}"/>
    <cellStyle name="Normal 8 2 3 4 3 2" xfId="9051" xr:uid="{26C4300B-65B0-40B0-8DCD-CE31F12A0A65}"/>
    <cellStyle name="Normal 8 2 3 4 4" xfId="6553" xr:uid="{E9BC5532-B15D-4D2B-A661-F00017218BA2}"/>
    <cellStyle name="Normal 8 2 3 5" xfId="1887" xr:uid="{FF129668-FBC3-478F-9B6E-1C9659DBB3EB}"/>
    <cellStyle name="Normal 8 2 3 5 2" xfId="4385" xr:uid="{00658F1D-9941-4B19-BD1B-D00E5193D866}"/>
    <cellStyle name="Normal 8 2 3 5 2 2" xfId="9381" xr:uid="{538650B6-FDBF-4649-B5AF-5FE81EAE7632}"/>
    <cellStyle name="Normal 8 2 3 5 3" xfId="6883" xr:uid="{F6E52AAE-066A-496D-9EF8-60C202939E0B}"/>
    <cellStyle name="Normal 8 2 3 6" xfId="3136" xr:uid="{DDA13F91-1DD8-43A4-9845-C2714C83B8FF}"/>
    <cellStyle name="Normal 8 2 3 6 2" xfId="8132" xr:uid="{52EFBC80-FB7F-4042-9DCE-93394808597A}"/>
    <cellStyle name="Normal 8 2 3 7" xfId="5634" xr:uid="{913889BC-F3C6-47D0-9A07-06BBE97775D6}"/>
    <cellStyle name="Normal 8 2 3 8" xfId="636" xr:uid="{92CE5938-84F1-48A3-A39C-9FE949290F02}"/>
    <cellStyle name="Normal 8 2 4" xfId="729" xr:uid="{C9A903F5-4CC5-4745-8D77-B5CD958FFC54}"/>
    <cellStyle name="Normal 8 2 4 2" xfId="1980" xr:uid="{812C28B9-CE8C-4596-824F-028D219EE5A5}"/>
    <cellStyle name="Normal 8 2 4 2 2" xfId="4478" xr:uid="{3A3E717E-A2DC-40D1-9409-A4017F6CE456}"/>
    <cellStyle name="Normal 8 2 4 2 2 2" xfId="9474" xr:uid="{03417BFB-D022-4248-9D5E-DFE3445343FC}"/>
    <cellStyle name="Normal 8 2 4 2 3" xfId="6976" xr:uid="{03C46F9A-476E-49C6-8BB4-D8160042AEB5}"/>
    <cellStyle name="Normal 8 2 4 3" xfId="3229" xr:uid="{7EA334EC-D1A6-46A5-BDE3-4206F40F54DE}"/>
    <cellStyle name="Normal 8 2 4 3 2" xfId="8225" xr:uid="{516D6EAC-BA57-48F4-8658-8F7728EEAB5C}"/>
    <cellStyle name="Normal 8 2 4 4" xfId="5727" xr:uid="{43117DCF-9E13-429C-BC06-23B9C7007A52}"/>
    <cellStyle name="Normal 8 2 5" xfId="1042" xr:uid="{0550C89F-46B0-427C-A08B-DC92F0739B9F}"/>
    <cellStyle name="Normal 8 2 5 2" xfId="2292" xr:uid="{489F8359-26E9-4046-93CA-FF80697B9C15}"/>
    <cellStyle name="Normal 8 2 5 2 2" xfId="4790" xr:uid="{3AF098D9-4BEB-4FF6-8B7D-88C27AAAF72B}"/>
    <cellStyle name="Normal 8 2 5 2 2 2" xfId="9786" xr:uid="{5B018CF5-84A8-4A47-9891-7AB28B697FFA}"/>
    <cellStyle name="Normal 8 2 5 2 3" xfId="7288" xr:uid="{5624FB19-A21A-4E7C-A1DB-FB4D6CD060C4}"/>
    <cellStyle name="Normal 8 2 5 3" xfId="3541" xr:uid="{4985FE06-ABD6-42A3-A325-CCB879734C05}"/>
    <cellStyle name="Normal 8 2 5 3 2" xfId="8537" xr:uid="{0CACC795-0BC5-42E1-9E27-27D46ECF0D13}"/>
    <cellStyle name="Normal 8 2 5 4" xfId="6039" xr:uid="{1AA9A679-4866-47EF-92E6-20C8233CBB91}"/>
    <cellStyle name="Normal 8 2 6" xfId="1355" xr:uid="{3321948F-A02C-49BC-B6A4-273206DCD752}"/>
    <cellStyle name="Normal 8 2 6 2" xfId="2605" xr:uid="{512FC24C-E48A-4508-A17A-531D2BFD68D5}"/>
    <cellStyle name="Normal 8 2 6 2 2" xfId="5103" xr:uid="{801731C9-D547-4645-A629-70C8DA3E0F23}"/>
    <cellStyle name="Normal 8 2 6 2 2 2" xfId="10099" xr:uid="{F237D1B1-2ED0-410C-A4AB-F60A643EBA23}"/>
    <cellStyle name="Normal 8 2 6 2 3" xfId="7601" xr:uid="{5EB384DF-8D3F-459C-9D1C-124FB596BD2A}"/>
    <cellStyle name="Normal 8 2 6 3" xfId="3854" xr:uid="{17DC54EE-E42C-4825-A774-91739901ADB4}"/>
    <cellStyle name="Normal 8 2 6 3 2" xfId="8850" xr:uid="{0F72F43A-7034-4EED-B308-4BA2EA2AA6FA}"/>
    <cellStyle name="Normal 8 2 6 4" xfId="6352" xr:uid="{7E930EED-0801-49E1-AEDE-EFC24F2FC3AC}"/>
    <cellStyle name="Normal 8 2 7" xfId="1686" xr:uid="{30A5FDA2-52B0-4EA7-9C73-BD3B8E2F6211}"/>
    <cellStyle name="Normal 8 2 7 2" xfId="4184" xr:uid="{25C08788-743A-4A2B-B0C2-D41FFDEDC59F}"/>
    <cellStyle name="Normal 8 2 7 2 2" xfId="9180" xr:uid="{B079AC89-D4B7-422E-B3E5-16AE3B6B6322}"/>
    <cellStyle name="Normal 8 2 7 3" xfId="6682" xr:uid="{40E7B451-73A1-46C0-AB43-BAB292572C8E}"/>
    <cellStyle name="Normal 8 2 8" xfId="2935" xr:uid="{D5A206C6-F13D-405C-8284-2509B001625D}"/>
    <cellStyle name="Normal 8 2 8 2" xfId="7931" xr:uid="{E8CC9047-6E50-4E51-96B5-9DBEAB5146BF}"/>
    <cellStyle name="Normal 8 2 9" xfId="5433" xr:uid="{CE3727D3-5B88-4EAA-A372-A0BDCC91AC35}"/>
    <cellStyle name="Normal 8 3" xfId="99" xr:uid="{99C87082-DA8E-4E10-BB6A-478146E5C286}"/>
    <cellStyle name="Normal 8 3 2" xfId="295" xr:uid="{26C4EB4B-9CE0-4329-A82F-9CBFACD7F45C}"/>
    <cellStyle name="Normal 8 3 2 2" xfId="914" xr:uid="{BA0AC04D-BF59-45C1-A82A-95B961EF5620}"/>
    <cellStyle name="Normal 8 3 2 2 2" xfId="2165" xr:uid="{17897D89-FBF7-4E1E-8065-56A2851A16BC}"/>
    <cellStyle name="Normal 8 3 2 2 2 2" xfId="4663" xr:uid="{89D1F170-14A6-43DE-BE8A-EF6A18B482E9}"/>
    <cellStyle name="Normal 8 3 2 2 2 2 2" xfId="9659" xr:uid="{0D1DB7BB-C45C-4515-8C85-1A6E606A686E}"/>
    <cellStyle name="Normal 8 3 2 2 2 3" xfId="7161" xr:uid="{BBD5322A-CB39-46BE-A1FA-6D70D6701A6A}"/>
    <cellStyle name="Normal 8 3 2 2 3" xfId="3414" xr:uid="{6FF92819-2422-480E-B3B8-2B892F71E16E}"/>
    <cellStyle name="Normal 8 3 2 2 3 2" xfId="8410" xr:uid="{CB6983D6-B053-442D-ADB4-B47826CA672E}"/>
    <cellStyle name="Normal 8 3 2 2 4" xfId="5912" xr:uid="{E13E8599-995F-4D4B-AC71-9471C85AD8DA}"/>
    <cellStyle name="Normal 8 3 2 3" xfId="1227" xr:uid="{89E35589-314F-4534-BE8C-51FE822911E7}"/>
    <cellStyle name="Normal 8 3 2 3 2" xfId="2477" xr:uid="{D0CF91C3-F105-4369-A4EE-487B5F590C1B}"/>
    <cellStyle name="Normal 8 3 2 3 2 2" xfId="4975" xr:uid="{3E748C49-3F86-4020-A041-37196716A56C}"/>
    <cellStyle name="Normal 8 3 2 3 2 2 2" xfId="9971" xr:uid="{F19B0739-D9CE-48DA-8B61-80E9161B8B98}"/>
    <cellStyle name="Normal 8 3 2 3 2 3" xfId="7473" xr:uid="{2B110BD0-4766-4CD0-8FF4-162B321D6422}"/>
    <cellStyle name="Normal 8 3 2 3 3" xfId="3726" xr:uid="{890CD24F-95AF-4579-AE45-0013E2BD990C}"/>
    <cellStyle name="Normal 8 3 2 3 3 2" xfId="8722" xr:uid="{808FF0B2-F65C-4568-8831-D5B41BB3C99A}"/>
    <cellStyle name="Normal 8 3 2 3 4" xfId="6224" xr:uid="{045244FB-0AD9-49B3-B4E8-A4D7FA1424D8}"/>
    <cellStyle name="Normal 8 3 2 4" xfId="1558" xr:uid="{EA86F5CF-FAB4-44D6-A01A-8B55FEBCC482}"/>
    <cellStyle name="Normal 8 3 2 4 2" xfId="2808" xr:uid="{C7C0EB6A-5667-4A9C-9477-419C77C94574}"/>
    <cellStyle name="Normal 8 3 2 4 2 2" xfId="5306" xr:uid="{B3A2EF7B-5D9B-4A31-BDC8-26D0D3EF8237}"/>
    <cellStyle name="Normal 8 3 2 4 2 2 2" xfId="10302" xr:uid="{DB2059CC-DA27-4F7F-A53F-74C743BB1798}"/>
    <cellStyle name="Normal 8 3 2 4 2 3" xfId="7804" xr:uid="{CC23F8CB-5F38-4551-81DA-DD739EBFF8B2}"/>
    <cellStyle name="Normal 8 3 2 4 3" xfId="4057" xr:uid="{FB8396ED-1B7D-4DC3-A1AB-A7AD37F07C95}"/>
    <cellStyle name="Normal 8 3 2 4 3 2" xfId="9053" xr:uid="{95E1AE3F-013F-4456-AFA4-2773070EF9BA}"/>
    <cellStyle name="Normal 8 3 2 4 4" xfId="6555" xr:uid="{0730D294-AA12-41A8-8CBA-987C67BA8A13}"/>
    <cellStyle name="Normal 8 3 2 5" xfId="1889" xr:uid="{4E94389A-BC77-4EBC-93F7-16C9FD47F7A8}"/>
    <cellStyle name="Normal 8 3 2 5 2" xfId="4387" xr:uid="{B2EB7942-D659-479C-BF51-392696F3E511}"/>
    <cellStyle name="Normal 8 3 2 5 2 2" xfId="9383" xr:uid="{F3033764-9EB1-4426-BBAD-B21E59CADC93}"/>
    <cellStyle name="Normal 8 3 2 5 3" xfId="6885" xr:uid="{9469E2EC-5C99-490C-AC93-50B588235FA1}"/>
    <cellStyle name="Normal 8 3 2 6" xfId="3138" xr:uid="{CA8535C5-9796-4DF6-B986-748A71D22AB6}"/>
    <cellStyle name="Normal 8 3 2 6 2" xfId="8134" xr:uid="{FC366DAC-EF2F-4C8E-B3BA-8DD61659B636}"/>
    <cellStyle name="Normal 8 3 2 7" xfId="5636" xr:uid="{DA16F1EF-EB83-44E3-9920-A709BDDC44F7}"/>
    <cellStyle name="Normal 8 3 2 8" xfId="638" xr:uid="{83587D8F-AEA5-468C-B684-BAEACAD01625}"/>
    <cellStyle name="Normal 8 3 3" xfId="753" xr:uid="{B88FC8EA-E601-4D1E-A3CC-2FACFA6B5C42}"/>
    <cellStyle name="Normal 8 3 3 2" xfId="2004" xr:uid="{70AE7C0C-56EE-4C7B-A630-AFCD8069B9EB}"/>
    <cellStyle name="Normal 8 3 3 2 2" xfId="4502" xr:uid="{19A94C9E-DC02-463D-8416-8A55E50F3894}"/>
    <cellStyle name="Normal 8 3 3 2 2 2" xfId="9498" xr:uid="{04E35E72-AB50-42D3-9D12-A5C3CB22CC7C}"/>
    <cellStyle name="Normal 8 3 3 2 3" xfId="7000" xr:uid="{6E510F42-985D-4481-A75B-97EF3077EB7E}"/>
    <cellStyle name="Normal 8 3 3 3" xfId="3253" xr:uid="{11BCAF32-F512-469F-80BA-E0E89F1C3379}"/>
    <cellStyle name="Normal 8 3 3 3 2" xfId="8249" xr:uid="{199631FD-8D06-4456-AF50-1A4C47D78980}"/>
    <cellStyle name="Normal 8 3 3 4" xfId="5751" xr:uid="{290F3747-05E7-4E02-A925-0CDF9B45A8ED}"/>
    <cellStyle name="Normal 8 3 4" xfId="1066" xr:uid="{695BF516-0497-4AE0-8DB6-3A2C277ADA62}"/>
    <cellStyle name="Normal 8 3 4 2" xfId="2316" xr:uid="{D3480D30-1F87-4C61-BE10-E10C367505C0}"/>
    <cellStyle name="Normal 8 3 4 2 2" xfId="4814" xr:uid="{378EB0A5-DACD-40A0-AC0C-738C16D091F6}"/>
    <cellStyle name="Normal 8 3 4 2 2 2" xfId="9810" xr:uid="{2969E14D-C362-4457-BB70-D23B520C60F7}"/>
    <cellStyle name="Normal 8 3 4 2 3" xfId="7312" xr:uid="{489D1452-0AEA-4767-88E6-D0F5BA0CB4B1}"/>
    <cellStyle name="Normal 8 3 4 3" xfId="3565" xr:uid="{5001D549-E360-4571-971B-ADCF11A423F1}"/>
    <cellStyle name="Normal 8 3 4 3 2" xfId="8561" xr:uid="{43B5C68C-9264-4DA2-A153-53F24211E4AE}"/>
    <cellStyle name="Normal 8 3 4 4" xfId="6063" xr:uid="{1F9709B3-17B5-479C-88CA-07D71445E716}"/>
    <cellStyle name="Normal 8 3 5" xfId="1429" xr:uid="{69BDB206-1875-400F-AF54-07FE2E0A8851}"/>
    <cellStyle name="Normal 8 3 5 2" xfId="2679" xr:uid="{8823C103-BCD5-476A-BBAE-4123935C06E6}"/>
    <cellStyle name="Normal 8 3 5 2 2" xfId="5177" xr:uid="{17FEC904-E693-4118-94CF-DC67BAF4BEE5}"/>
    <cellStyle name="Normal 8 3 5 2 2 2" xfId="10173" xr:uid="{7E351E9A-0482-43CD-AB05-FDC33AF3EDD0}"/>
    <cellStyle name="Normal 8 3 5 2 3" xfId="7675" xr:uid="{774F0CCA-9CEC-4E8C-AF9F-00158CE081E0}"/>
    <cellStyle name="Normal 8 3 5 3" xfId="3928" xr:uid="{0C167AF6-754F-40CA-B103-4A449621D4FE}"/>
    <cellStyle name="Normal 8 3 5 3 2" xfId="8924" xr:uid="{FC6B5EE6-28AF-4768-8C79-781597F29D84}"/>
    <cellStyle name="Normal 8 3 5 4" xfId="6426" xr:uid="{19A8C9BA-DF2C-4D9F-9804-0260EADAB1CC}"/>
    <cellStyle name="Normal 8 3 6" xfId="1760" xr:uid="{0A7BAD8C-7868-4C50-BE28-DADB3538168C}"/>
    <cellStyle name="Normal 8 3 6 2" xfId="4258" xr:uid="{7D14BD94-BCFA-42E7-801A-7EE70C863A02}"/>
    <cellStyle name="Normal 8 3 6 2 2" xfId="9254" xr:uid="{A1556AAA-A10B-4450-B41A-E40156153C99}"/>
    <cellStyle name="Normal 8 3 6 3" xfId="6756" xr:uid="{178491C6-B4CD-43F1-A8BC-AA75F3063D3F}"/>
    <cellStyle name="Normal 8 3 7" xfId="3009" xr:uid="{60D99421-AAF0-4B44-BDBC-F350F8CA2CF8}"/>
    <cellStyle name="Normal 8 3 7 2" xfId="8005" xr:uid="{9C1F1511-4BC6-489C-A7BA-856F6A37D7B0}"/>
    <cellStyle name="Normal 8 3 8" xfId="5507" xr:uid="{C473EA4F-8377-41E9-9FE2-7E0938853ADB}"/>
    <cellStyle name="Normal 8 3 9" xfId="509" xr:uid="{66F9BB32-42FA-463B-9A3C-828B79DD3211}"/>
    <cellStyle name="Normal 8 4" xfId="296" xr:uid="{676E9109-370F-40C0-849D-98B013A7864C}"/>
    <cellStyle name="Normal 8 4 2" xfId="297" xr:uid="{E72653A7-A410-4362-9471-8B893C0073C4}"/>
    <cellStyle name="Normal 8 4 2 2" xfId="916" xr:uid="{5E9C4460-A86F-41B6-8ACD-1B0960C1FA02}"/>
    <cellStyle name="Normal 8 4 2 2 2" xfId="2167" xr:uid="{8C7FEC7C-9AB3-40B3-A34A-DD04A3A4D784}"/>
    <cellStyle name="Normal 8 4 2 2 2 2" xfId="4665" xr:uid="{DA305E80-2B2B-494A-A1AC-81AC3A6D3F62}"/>
    <cellStyle name="Normal 8 4 2 2 2 2 2" xfId="9661" xr:uid="{AFB340D9-045D-4E39-B5E1-F3193F1FC315}"/>
    <cellStyle name="Normal 8 4 2 2 2 3" xfId="7163" xr:uid="{64A39C64-40CD-4E5E-ADD6-78F23CEA54B5}"/>
    <cellStyle name="Normal 8 4 2 2 3" xfId="3416" xr:uid="{E90DF929-F745-4104-9379-CC19F086FF5A}"/>
    <cellStyle name="Normal 8 4 2 2 3 2" xfId="8412" xr:uid="{DF915E75-C0DE-4F6B-B7D6-569EEF0E175C}"/>
    <cellStyle name="Normal 8 4 2 2 4" xfId="5914" xr:uid="{4935889C-F828-472A-8649-BFB5B91E8297}"/>
    <cellStyle name="Normal 8 4 2 3" xfId="1229" xr:uid="{28A9331F-D322-4310-BDB7-292DB20F1C78}"/>
    <cellStyle name="Normal 8 4 2 3 2" xfId="2479" xr:uid="{4CD40BAA-9D40-4A5A-B30D-B9CD4447B0C5}"/>
    <cellStyle name="Normal 8 4 2 3 2 2" xfId="4977" xr:uid="{9DF01076-D3EB-4E58-9D37-52008AE18693}"/>
    <cellStyle name="Normal 8 4 2 3 2 2 2" xfId="9973" xr:uid="{A366B0BB-582E-422F-AF12-0323BA6373D3}"/>
    <cellStyle name="Normal 8 4 2 3 2 3" xfId="7475" xr:uid="{34853A6D-57CF-416C-871E-73BF9F802D0B}"/>
    <cellStyle name="Normal 8 4 2 3 3" xfId="3728" xr:uid="{B8876C62-CE73-4646-8D41-54CF86FAFEF4}"/>
    <cellStyle name="Normal 8 4 2 3 3 2" xfId="8724" xr:uid="{CC52B6E8-F6B4-4CB8-A363-3E6555EFE399}"/>
    <cellStyle name="Normal 8 4 2 3 4" xfId="6226" xr:uid="{0AEB7065-662D-40A3-BA90-9D2BA1976FB9}"/>
    <cellStyle name="Normal 8 4 2 4" xfId="1559" xr:uid="{3865DDA8-BA7E-460F-8481-AFC89A1A0B33}"/>
    <cellStyle name="Normal 8 4 2 4 2" xfId="2809" xr:uid="{2D6FCD0C-7B16-4BCE-916A-1507AC177696}"/>
    <cellStyle name="Normal 8 4 2 4 2 2" xfId="5307" xr:uid="{1F2A0A4C-5B4E-4A73-BE5B-E83C91DE43FC}"/>
    <cellStyle name="Normal 8 4 2 4 2 2 2" xfId="10303" xr:uid="{A971C22F-6EB5-4332-A6DE-4EAC0BB2C520}"/>
    <cellStyle name="Normal 8 4 2 4 2 3" xfId="7805" xr:uid="{A5F63DD5-3BAD-4826-AD2F-2B7C5F641BDD}"/>
    <cellStyle name="Normal 8 4 2 4 3" xfId="4058" xr:uid="{18A19E96-1E5F-4317-B1BF-6FFE6C0B1F36}"/>
    <cellStyle name="Normal 8 4 2 4 3 2" xfId="9054" xr:uid="{AC4E1323-F619-4A22-BE47-603CC1ED4B9C}"/>
    <cellStyle name="Normal 8 4 2 4 4" xfId="6556" xr:uid="{E3628054-41D7-48DB-AF57-AB63650B9F82}"/>
    <cellStyle name="Normal 8 4 2 5" xfId="1890" xr:uid="{1224265B-ECA4-4F36-908F-822AF7CAC52A}"/>
    <cellStyle name="Normal 8 4 2 5 2" xfId="4388" xr:uid="{CAC20B61-76A7-4130-8B5B-688EDC34D995}"/>
    <cellStyle name="Normal 8 4 2 5 2 2" xfId="9384" xr:uid="{7B6C4526-FB5E-4ECD-872B-60A0586FF919}"/>
    <cellStyle name="Normal 8 4 2 5 3" xfId="6886" xr:uid="{28F41E39-9940-47BB-B250-7759DC876782}"/>
    <cellStyle name="Normal 8 4 2 6" xfId="3139" xr:uid="{C8E18931-2660-4F7C-8C58-6F8098E4424C}"/>
    <cellStyle name="Normal 8 4 2 6 2" xfId="8135" xr:uid="{E4E5EA98-F772-4BB2-9E9C-508888C29900}"/>
    <cellStyle name="Normal 8 4 2 7" xfId="5637" xr:uid="{D43309F0-2227-458C-BC92-4BF9BBA9CD9C}"/>
    <cellStyle name="Normal 8 4 2 8" xfId="639" xr:uid="{43721239-25AE-4F33-A84D-6DF4C1DE43E2}"/>
    <cellStyle name="Normal 8 4 3" xfId="915" xr:uid="{BC8288DB-C742-4C09-B39E-38EECDF6E780}"/>
    <cellStyle name="Normal 8 4 3 2" xfId="2166" xr:uid="{92D93AED-C5AF-4183-8E42-72751E89E32F}"/>
    <cellStyle name="Normal 8 4 3 2 2" xfId="4664" xr:uid="{AC23F012-C66D-401F-9781-8E6EFA73DEB3}"/>
    <cellStyle name="Normal 8 4 3 2 2 2" xfId="9660" xr:uid="{9306F735-628B-4724-91B6-8F02F6F05329}"/>
    <cellStyle name="Normal 8 4 3 2 3" xfId="7162" xr:uid="{CF4E22B5-2EBC-4A7B-BCBB-323470ACE9D3}"/>
    <cellStyle name="Normal 8 4 3 3" xfId="3415" xr:uid="{4F3C2AA4-58B0-4406-94E8-0514D82B9A97}"/>
    <cellStyle name="Normal 8 4 3 3 2" xfId="8411" xr:uid="{F016E3F3-C41A-4740-851F-D6557832B3C2}"/>
    <cellStyle name="Normal 8 4 3 4" xfId="5913" xr:uid="{08710BAC-A5D0-485D-A0CC-C72645F7E688}"/>
    <cellStyle name="Normal 8 4 4" xfId="1228" xr:uid="{6E8B7CA4-72AF-4950-9162-5A171E1F2226}"/>
    <cellStyle name="Normal 8 4 4 2" xfId="2478" xr:uid="{049D0284-E95B-4045-B641-CE6162F9F6DB}"/>
    <cellStyle name="Normal 8 4 4 2 2" xfId="4976" xr:uid="{FF37A7EA-CFF7-4299-876C-298AE563BE44}"/>
    <cellStyle name="Normal 8 4 4 2 2 2" xfId="9972" xr:uid="{17A869ED-B107-4BB5-9F58-8AD47BB39C90}"/>
    <cellStyle name="Normal 8 4 4 2 3" xfId="7474" xr:uid="{6493A490-553D-4FFA-82F9-0606C43378F1}"/>
    <cellStyle name="Normal 8 4 4 3" xfId="3727" xr:uid="{11760D22-FDE8-4E4D-893D-7B88960D97CC}"/>
    <cellStyle name="Normal 8 4 4 3 2" xfId="8723" xr:uid="{F7A094CD-6F65-4995-BDE3-7F29E75B6F0D}"/>
    <cellStyle name="Normal 8 4 4 4" xfId="6225" xr:uid="{141CA69A-2E44-4062-83F1-D7A3E36B0C6D}"/>
    <cellStyle name="Normal 8 4 5" xfId="1427" xr:uid="{7F6E8D53-F660-45D5-B3CF-D24A102D46F7}"/>
    <cellStyle name="Normal 8 4 5 2" xfId="2677" xr:uid="{D9F34C9B-E710-4C8D-AEAB-BECA0BA0EE13}"/>
    <cellStyle name="Normal 8 4 5 2 2" xfId="5175" xr:uid="{44446C56-5E3D-4DAE-ADF3-9BA74CA120FA}"/>
    <cellStyle name="Normal 8 4 5 2 2 2" xfId="10171" xr:uid="{E7D587C6-085D-40A7-A287-A16076BBEAED}"/>
    <cellStyle name="Normal 8 4 5 2 3" xfId="7673" xr:uid="{98FDD901-F723-45EB-BE69-4D7E0AC92C21}"/>
    <cellStyle name="Normal 8 4 5 3" xfId="3926" xr:uid="{34BD47D6-6B4C-433F-BDA5-FA7E18B73E2B}"/>
    <cellStyle name="Normal 8 4 5 3 2" xfId="8922" xr:uid="{4DE9C501-F972-4EF9-8484-68BD157BFA3A}"/>
    <cellStyle name="Normal 8 4 5 4" xfId="6424" xr:uid="{A968876D-1F96-40D2-AC9E-356C4630AD21}"/>
    <cellStyle name="Normal 8 4 6" xfId="1758" xr:uid="{23A59D45-9ED9-4DB3-9E2D-C0F7172F2A44}"/>
    <cellStyle name="Normal 8 4 6 2" xfId="4256" xr:uid="{DE689AB8-F55F-41F5-AB8D-5FBD99FD2EF6}"/>
    <cellStyle name="Normal 8 4 6 2 2" xfId="9252" xr:uid="{655FB548-FE9D-4330-94E9-EF479856F445}"/>
    <cellStyle name="Normal 8 4 6 3" xfId="6754" xr:uid="{39AAD127-D30C-443F-8255-3D0BB29B797A}"/>
    <cellStyle name="Normal 8 4 7" xfId="3007" xr:uid="{3DFB0294-67DF-4D2F-91B6-E630B0C772E7}"/>
    <cellStyle name="Normal 8 4 7 2" xfId="8003" xr:uid="{AFD6955B-DA87-4768-BE2B-3FA0E059E8B9}"/>
    <cellStyle name="Normal 8 4 8" xfId="5505" xr:uid="{5EBA3DE7-A754-4113-9212-2DF305C59EE4}"/>
    <cellStyle name="Normal 8 4 9" xfId="507" xr:uid="{CB5FBDBF-C010-452D-8F00-8E68B6DF26DF}"/>
    <cellStyle name="Normal 8 5" xfId="298" xr:uid="{5CF992E6-6E2A-4293-A052-059EEC294C1D}"/>
    <cellStyle name="Normal 8 5 2" xfId="917" xr:uid="{61E8BB7A-E3BF-41C1-980A-6C77CE3E94B8}"/>
    <cellStyle name="Normal 8 5 2 2" xfId="2168" xr:uid="{E609CF51-4041-4FC0-A1EE-9AF7491768DD}"/>
    <cellStyle name="Normal 8 5 2 2 2" xfId="4666" xr:uid="{50DE0BF0-4D9A-4701-B5C1-D17B74267D30}"/>
    <cellStyle name="Normal 8 5 2 2 2 2" xfId="9662" xr:uid="{28CE73CD-20D5-4DF7-AB15-5258071305FF}"/>
    <cellStyle name="Normal 8 5 2 2 3" xfId="7164" xr:uid="{FA3A43A9-8D7F-418F-A187-F281735BE0E6}"/>
    <cellStyle name="Normal 8 5 2 3" xfId="3417" xr:uid="{D8646ED7-A3F5-4371-96B7-1BE4F8DBB6CB}"/>
    <cellStyle name="Normal 8 5 2 3 2" xfId="8413" xr:uid="{618AD63C-BCF3-49FD-BA6E-71055175F3FA}"/>
    <cellStyle name="Normal 8 5 2 4" xfId="5915" xr:uid="{E221CB00-42F9-4C7B-8237-1F8C431B2D51}"/>
    <cellStyle name="Normal 8 5 3" xfId="1230" xr:uid="{9313E528-5CF7-4E1D-8618-615E6F6B032A}"/>
    <cellStyle name="Normal 8 5 3 2" xfId="2480" xr:uid="{7410DD35-28AC-4B8F-AF3B-6F86861C7B88}"/>
    <cellStyle name="Normal 8 5 3 2 2" xfId="4978" xr:uid="{6584F9B4-6F4B-4D5D-8651-A29C8D789CCE}"/>
    <cellStyle name="Normal 8 5 3 2 2 2" xfId="9974" xr:uid="{3066C1FE-C5A2-48B8-B426-47F840AC206B}"/>
    <cellStyle name="Normal 8 5 3 2 3" xfId="7476" xr:uid="{400FA569-C431-4371-8C9D-C6B6A19ADD59}"/>
    <cellStyle name="Normal 8 5 3 3" xfId="3729" xr:uid="{784FE305-034A-4766-A1D4-B43EFCA3022B}"/>
    <cellStyle name="Normal 8 5 3 3 2" xfId="8725" xr:uid="{C20274E5-50E4-4F92-87FE-24B40D918708}"/>
    <cellStyle name="Normal 8 5 3 4" xfId="6227" xr:uid="{55992E90-8318-4753-9DF5-7B74054AE2EF}"/>
    <cellStyle name="Normal 8 5 4" xfId="1555" xr:uid="{5FE526E7-F242-4BBD-B670-CE9BBCEAA304}"/>
    <cellStyle name="Normal 8 5 4 2" xfId="2805" xr:uid="{D015FBA2-6784-4B6F-8441-C1C8BC942525}"/>
    <cellStyle name="Normal 8 5 4 2 2" xfId="5303" xr:uid="{4567FD90-FC74-488C-B4E0-866373277CE6}"/>
    <cellStyle name="Normal 8 5 4 2 2 2" xfId="10299" xr:uid="{AFA95076-356E-49A5-9988-711DD279CC96}"/>
    <cellStyle name="Normal 8 5 4 2 3" xfId="7801" xr:uid="{3679E2BB-9FEE-4043-ABE6-E2C56D2F3D7B}"/>
    <cellStyle name="Normal 8 5 4 3" xfId="4054" xr:uid="{3CD28737-3B62-4EF2-BC9E-96FC02299D16}"/>
    <cellStyle name="Normal 8 5 4 3 2" xfId="9050" xr:uid="{70755D08-E014-400A-B200-5DC21332E5D4}"/>
    <cellStyle name="Normal 8 5 4 4" xfId="6552" xr:uid="{2252D0C0-FF92-4539-AA9D-930D53800B5B}"/>
    <cellStyle name="Normal 8 5 5" xfId="1886" xr:uid="{BC100A23-FAF3-4ACC-8432-6D030CA27296}"/>
    <cellStyle name="Normal 8 5 5 2" xfId="4384" xr:uid="{0BB77287-9CF4-4A4D-8103-F6D3D35609AE}"/>
    <cellStyle name="Normal 8 5 5 2 2" xfId="9380" xr:uid="{3DBBDB67-1043-46FB-A14D-BC1F708DAE4A}"/>
    <cellStyle name="Normal 8 5 5 3" xfId="6882" xr:uid="{248544D4-A813-42D1-9A85-1CC62D1944AE}"/>
    <cellStyle name="Normal 8 5 6" xfId="3135" xr:uid="{2932E842-4065-4F9C-BD84-72AF8BF4D73E}"/>
    <cellStyle name="Normal 8 5 6 2" xfId="8131" xr:uid="{BD4A22F0-95B6-4554-BABC-0678BC52047F}"/>
    <cellStyle name="Normal 8 5 7" xfId="5633" xr:uid="{D0B7ADFE-A305-4B4F-AD95-C33ABF7B9A1C}"/>
    <cellStyle name="Normal 8 5 8" xfId="635" xr:uid="{179F1DDC-85DD-48A4-9F2C-96E8209218DE}"/>
    <cellStyle name="Normal 8 6" xfId="380" xr:uid="{D5615F71-26E9-46AF-A330-4214BB7C8069}"/>
    <cellStyle name="Normal 8 6 2" xfId="1301" xr:uid="{254C18FD-D1C6-48CD-B67D-682EDEB02375}"/>
    <cellStyle name="Normal 8 6 2 2" xfId="2551" xr:uid="{5CEC6849-09AE-4DB9-B999-CFB34B85BFE1}"/>
    <cellStyle name="Normal 8 6 2 2 2" xfId="5049" xr:uid="{12604CA5-3F3E-4CB7-AB27-68B9759E3FB3}"/>
    <cellStyle name="Normal 8 6 2 2 2 2" xfId="10045" xr:uid="{A54C70EF-F4D0-4B89-B541-1F81598C7BD1}"/>
    <cellStyle name="Normal 8 6 2 2 3" xfId="7547" xr:uid="{2E7279B3-9F58-4638-8FC7-EA7704175C95}"/>
    <cellStyle name="Normal 8 6 2 3" xfId="3800" xr:uid="{797A1911-F446-4E46-B4F9-8629AF83B014}"/>
    <cellStyle name="Normal 8 6 2 3 2" xfId="8796" xr:uid="{F1F3E8CB-7ACF-49AC-8015-CAB036BFE331}"/>
    <cellStyle name="Normal 8 6 2 4" xfId="6298" xr:uid="{A499DD1F-632D-4A66-93BE-88AE00C76C92}"/>
    <cellStyle name="Normal 8 6 3" xfId="2239" xr:uid="{5755D759-158D-4BE9-BC86-274612369BDC}"/>
    <cellStyle name="Normal 8 6 3 2" xfId="4737" xr:uid="{C233C92C-1DD0-459D-BAA3-5D178284BBDE}"/>
    <cellStyle name="Normal 8 6 3 2 2" xfId="9733" xr:uid="{5470F3C1-22D3-4EE2-95AA-860F6734EAD7}"/>
    <cellStyle name="Normal 8 6 3 3" xfId="7235" xr:uid="{963D7CB0-182D-40E3-9AD1-94A5E40E13F9}"/>
    <cellStyle name="Normal 8 6 4" xfId="3488" xr:uid="{4D39FC2A-D590-4980-B9D3-889437562B04}"/>
    <cellStyle name="Normal 8 6 4 2" xfId="8484" xr:uid="{3BE8547B-01B5-474F-8D49-4F0B798B84D7}"/>
    <cellStyle name="Normal 8 6 5" xfId="5986" xr:uid="{C08827FD-1950-4C2F-BF47-25CF84A50FB3}"/>
    <cellStyle name="Normal 8 6 6" xfId="989" xr:uid="{8EDC0616-AB60-4159-9DAF-5EE70E3C7869}"/>
    <cellStyle name="Normal 8 7" xfId="701" xr:uid="{8931ABC0-BEA3-44DD-B06E-B57086D2CCE9}"/>
    <cellStyle name="Normal 8 7 2" xfId="1952" xr:uid="{47E87E32-3D37-4476-BF9A-B14896A4619B}"/>
    <cellStyle name="Normal 8 7 2 2" xfId="4450" xr:uid="{97755B8E-C9AB-4456-A697-89FC674640C0}"/>
    <cellStyle name="Normal 8 7 2 2 2" xfId="9446" xr:uid="{CFFC715A-6D33-462F-A545-74958B6B290E}"/>
    <cellStyle name="Normal 8 7 2 3" xfId="6948" xr:uid="{1E2A754E-1F1D-4A3B-9103-8E8EEC46BB62}"/>
    <cellStyle name="Normal 8 7 3" xfId="3201" xr:uid="{6F57F3CB-A86A-4D93-BD25-5A474D10A643}"/>
    <cellStyle name="Normal 8 7 3 2" xfId="8197" xr:uid="{3A46BB39-47CA-4284-BD43-0D101FD92593}"/>
    <cellStyle name="Normal 8 7 4" xfId="5699" xr:uid="{F64F3F69-06F5-4FD6-AF13-DC3FEDFAD16F}"/>
    <cellStyle name="Normal 8 8" xfId="1014" xr:uid="{C08372E9-CB8B-427A-8379-FD84152F0FFB}"/>
    <cellStyle name="Normal 8 8 2" xfId="2264" xr:uid="{AF69D608-F325-40C3-BB03-1F8228A1889A}"/>
    <cellStyle name="Normal 8 8 2 2" xfId="4762" xr:uid="{69E13924-EE41-478C-9B70-3217E87EB4DE}"/>
    <cellStyle name="Normal 8 8 2 2 2" xfId="9758" xr:uid="{FC711428-1610-4E18-B5EB-0C94B3A71DF2}"/>
    <cellStyle name="Normal 8 8 2 3" xfId="7260" xr:uid="{4E7D20E7-8EA4-4F6F-8B7B-4FE559D22854}"/>
    <cellStyle name="Normal 8 8 3" xfId="3513" xr:uid="{2FC04C66-ADE9-4486-B948-7EA78BF03034}"/>
    <cellStyle name="Normal 8 8 3 2" xfId="8509" xr:uid="{17EBCA28-5E8B-4C9E-B635-4559D46843E8}"/>
    <cellStyle name="Normal 8 8 4" xfId="6011" xr:uid="{EA7832DB-3049-4653-B24F-31177012DA8E}"/>
    <cellStyle name="Normal 8 9" xfId="1317" xr:uid="{0DC5228E-544E-43A4-89C1-962F12268D08}"/>
    <cellStyle name="Normal 8 9 2" xfId="2567" xr:uid="{5B9D145C-252C-424A-BC36-7E90F253EC8C}"/>
    <cellStyle name="Normal 8 9 2 2" xfId="5065" xr:uid="{9E0E8F26-F638-48BC-AF61-15D12898ED76}"/>
    <cellStyle name="Normal 8 9 2 2 2" xfId="10061" xr:uid="{B43D7967-7751-4E39-9040-1F35B80763D9}"/>
    <cellStyle name="Normal 8 9 2 3" xfId="7563" xr:uid="{84918E90-7279-4062-8C1A-EFB097A5D09F}"/>
    <cellStyle name="Normal 8 9 3" xfId="3816" xr:uid="{173C1385-1083-4227-B482-816892C17CBE}"/>
    <cellStyle name="Normal 8 9 3 2" xfId="8812" xr:uid="{2FEF264C-6089-4CEA-B830-83339B437239}"/>
    <cellStyle name="Normal 8 9 4" xfId="6314" xr:uid="{E3E0953E-863D-45D6-97CC-CE70BA202CC6}"/>
    <cellStyle name="Normal 9" xfId="46" xr:uid="{BE5E35DF-A158-4535-B2C1-665B8132D71F}"/>
    <cellStyle name="Normal 9 10" xfId="1015" xr:uid="{51AD764C-921E-4ACC-80F4-128F03AC5891}"/>
    <cellStyle name="Normal 9 10 2" xfId="2265" xr:uid="{B7AA87C1-6D35-4D50-9FC4-4C5ED61D11B6}"/>
    <cellStyle name="Normal 9 10 2 2" xfId="4763" xr:uid="{B0AE97B4-AC5E-4C23-A7BF-BD167B97E1B2}"/>
    <cellStyle name="Normal 9 10 2 2 2" xfId="9759" xr:uid="{3A80EBCA-3E94-49D7-A0F5-1DA7229EB559}"/>
    <cellStyle name="Normal 9 10 2 3" xfId="7261" xr:uid="{CCD9A6BE-6C53-4BA0-AE3C-4A9280425A73}"/>
    <cellStyle name="Normal 9 10 3" xfId="3514" xr:uid="{A515EA73-6723-482E-AAC4-BAC8AED87DD6}"/>
    <cellStyle name="Normal 9 10 3 2" xfId="8510" xr:uid="{B2BF3406-9FE4-4F97-937E-076A72B9066B}"/>
    <cellStyle name="Normal 9 10 4" xfId="6012" xr:uid="{2945B74E-CA8B-4789-B79E-D5C7BF5F9133}"/>
    <cellStyle name="Normal 9 11" xfId="1319" xr:uid="{34387677-6110-44BA-97D2-E67F27DF62BE}"/>
    <cellStyle name="Normal 9 11 2" xfId="2569" xr:uid="{B877CC02-486E-47BE-B530-4DC28A9B74CC}"/>
    <cellStyle name="Normal 9 11 2 2" xfId="5067" xr:uid="{2AB33EB9-C8B6-499A-BC7D-78DFD6CC46A4}"/>
    <cellStyle name="Normal 9 11 2 2 2" xfId="10063" xr:uid="{0AC16ED0-978A-4DDE-BC28-7897A542A0ED}"/>
    <cellStyle name="Normal 9 11 2 3" xfId="7565" xr:uid="{8593061D-5A4F-4E3E-A4DA-078A58140666}"/>
    <cellStyle name="Normal 9 11 3" xfId="3818" xr:uid="{71F931BE-7AA3-4D90-9225-3C19B89C8FD5}"/>
    <cellStyle name="Normal 9 11 3 2" xfId="8814" xr:uid="{5CB8FD48-EA2A-465C-8D2A-D2AAB84B4A75}"/>
    <cellStyle name="Normal 9 11 4" xfId="6316" xr:uid="{6C3BE6C6-D78A-4F47-AEA2-1CE4A990A563}"/>
    <cellStyle name="Normal 9 12" xfId="1650" xr:uid="{918165EC-078A-4E19-A055-2264F233F1CC}"/>
    <cellStyle name="Normal 9 12 2" xfId="4148" xr:uid="{9843FE9E-5638-4EB7-A7D7-91950AA584D6}"/>
    <cellStyle name="Normal 9 12 2 2" xfId="9144" xr:uid="{7595F18C-44A9-4A26-997B-CB18CD951CAA}"/>
    <cellStyle name="Normal 9 12 3" xfId="6646" xr:uid="{88AB6F25-D825-4899-8931-8C68C6955B0B}"/>
    <cellStyle name="Normal 9 13" xfId="2899" xr:uid="{C169A882-1708-4E83-BFC8-4DB0A10E324C}"/>
    <cellStyle name="Normal 9 13 2" xfId="7895" xr:uid="{6945F831-2A0B-41F1-AA2A-E3BEC8A75051}"/>
    <cellStyle name="Normal 9 14" xfId="5397" xr:uid="{75BA2D4D-850B-4D22-BEF1-DA18C530B8F2}"/>
    <cellStyle name="Normal 9 15" xfId="399" xr:uid="{715E7FAA-692E-44B0-99BA-DD0B5F05D798}"/>
    <cellStyle name="Normal 9 2" xfId="47" xr:uid="{98DE30F4-FA07-4FE6-BDF3-8C58C9C7CE77}"/>
    <cellStyle name="Normal 9 2 10" xfId="1656" xr:uid="{70EA1D43-2368-4262-99B8-D90357708E83}"/>
    <cellStyle name="Normal 9 2 10 2" xfId="4154" xr:uid="{99AB1EAE-C3FD-42C3-9D7A-F43BCF797814}"/>
    <cellStyle name="Normal 9 2 10 2 2" xfId="9150" xr:uid="{16EE9596-131F-4788-8CC9-489740F756D2}"/>
    <cellStyle name="Normal 9 2 10 3" xfId="6652" xr:uid="{F1F0C4DE-CC53-4B0A-AD88-A2F822E2970C}"/>
    <cellStyle name="Normal 9 2 11" xfId="2905" xr:uid="{A7EC5FA4-BE07-4E6C-82E3-4C581897D941}"/>
    <cellStyle name="Normal 9 2 11 2" xfId="7901" xr:uid="{4A2D59A9-EE1A-45B0-BDAE-0E3CF978A917}"/>
    <cellStyle name="Normal 9 2 12" xfId="5403" xr:uid="{8088C5E9-C049-4A1F-A54A-772C7FF7D2D0}"/>
    <cellStyle name="Normal 9 2 13" xfId="405" xr:uid="{880DE978-7976-4964-AC2E-C99ED5530406}"/>
    <cellStyle name="Normal 9 2 2" xfId="77" xr:uid="{DC76E378-8C99-40C0-ABDB-B64B3C11EDD4}"/>
    <cellStyle name="Normal 9 2 2 2" xfId="299" xr:uid="{5F4081D5-2905-4984-B46A-5424C10390C1}"/>
    <cellStyle name="Normal 9 2 2 2 2" xfId="918" xr:uid="{6C726C25-DC95-4E5B-8D8E-110F32F66667}"/>
    <cellStyle name="Normal 9 2 2 2 2 2" xfId="2169" xr:uid="{256C823B-0117-4594-B2CD-749B131E4C15}"/>
    <cellStyle name="Normal 9 2 2 2 2 2 2" xfId="4667" xr:uid="{7A95E0B6-59EF-43BB-82FF-08F79371B5DF}"/>
    <cellStyle name="Normal 9 2 2 2 2 2 2 2" xfId="9663" xr:uid="{AF03AC34-546E-4E11-AADD-EADC653EC0C8}"/>
    <cellStyle name="Normal 9 2 2 2 2 2 3" xfId="7165" xr:uid="{9A473E61-15C2-4287-BEB7-1DA6CB098DCB}"/>
    <cellStyle name="Normal 9 2 2 2 2 3" xfId="3418" xr:uid="{1D8266B9-2F01-4FC3-8B45-99587B97676B}"/>
    <cellStyle name="Normal 9 2 2 2 2 3 2" xfId="8414" xr:uid="{92691583-B061-4BF5-8DAC-801FC80B041B}"/>
    <cellStyle name="Normal 9 2 2 2 2 4" xfId="5916" xr:uid="{82D2C7FE-EE33-40D1-988F-E7FF0597BC23}"/>
    <cellStyle name="Normal 9 2 2 2 3" xfId="1231" xr:uid="{D6DFC983-4FDB-4711-B5E7-EEFF33360E36}"/>
    <cellStyle name="Normal 9 2 2 2 3 2" xfId="2481" xr:uid="{4BFF3FBC-E9B0-4B42-A6C3-C598260D1A7E}"/>
    <cellStyle name="Normal 9 2 2 2 3 2 2" xfId="4979" xr:uid="{30C1F70E-4E51-4529-8183-13CE6A7B1584}"/>
    <cellStyle name="Normal 9 2 2 2 3 2 2 2" xfId="9975" xr:uid="{755D1EF1-ED3E-443F-8EAB-147A94CFC1F6}"/>
    <cellStyle name="Normal 9 2 2 2 3 2 3" xfId="7477" xr:uid="{8EBC870B-BDA1-4D7B-A5E5-AF3BA05577AD}"/>
    <cellStyle name="Normal 9 2 2 2 3 3" xfId="3730" xr:uid="{434B10FA-CABB-45E6-A3AB-643BED815D4D}"/>
    <cellStyle name="Normal 9 2 2 2 3 3 2" xfId="8726" xr:uid="{71D58B64-C953-49F4-9A9E-E2B3700AA37A}"/>
    <cellStyle name="Normal 9 2 2 2 3 4" xfId="6228" xr:uid="{7F1AA48F-FC4B-4AE9-9719-7F4547593F08}"/>
    <cellStyle name="Normal 9 2 2 2 4" xfId="1562" xr:uid="{91BEDFDA-A993-4BF2-8FEF-B7B9AD9EAE76}"/>
    <cellStyle name="Normal 9 2 2 2 4 2" xfId="2812" xr:uid="{CC3EA94D-CB98-4C0C-A677-0D267EB41724}"/>
    <cellStyle name="Normal 9 2 2 2 4 2 2" xfId="5310" xr:uid="{C0142CE0-A223-42DC-900D-2B4A6A510648}"/>
    <cellStyle name="Normal 9 2 2 2 4 2 2 2" xfId="10306" xr:uid="{CA525606-9A70-406E-B961-CF41AE0AB6F2}"/>
    <cellStyle name="Normal 9 2 2 2 4 2 3" xfId="7808" xr:uid="{C5A633A6-3D7A-48D5-BA5F-09052559030C}"/>
    <cellStyle name="Normal 9 2 2 2 4 3" xfId="4061" xr:uid="{BFC24511-BC1D-4FC4-9D99-EFD6838FEB37}"/>
    <cellStyle name="Normal 9 2 2 2 4 3 2" xfId="9057" xr:uid="{9AB8DAB5-1DDA-4A5F-8FDE-E716B25DC12F}"/>
    <cellStyle name="Normal 9 2 2 2 4 4" xfId="6559" xr:uid="{B62FD78C-9481-4609-9917-AFF636FCEDD8}"/>
    <cellStyle name="Normal 9 2 2 2 5" xfId="1893" xr:uid="{1540C58E-BB6F-4591-AA46-17599D45D4BE}"/>
    <cellStyle name="Normal 9 2 2 2 5 2" xfId="4391" xr:uid="{BEB6B546-EC6B-47EA-8B73-046766A2151C}"/>
    <cellStyle name="Normal 9 2 2 2 5 2 2" xfId="9387" xr:uid="{8A4CD466-9E1C-4145-930F-3A19CF3D0FEE}"/>
    <cellStyle name="Normal 9 2 2 2 5 3" xfId="6889" xr:uid="{8D53FDE0-8025-4FE7-A848-E609FF7FB547}"/>
    <cellStyle name="Normal 9 2 2 2 6" xfId="3142" xr:uid="{BB52D188-7BE9-4215-8D93-858672B565C9}"/>
    <cellStyle name="Normal 9 2 2 2 6 2" xfId="8138" xr:uid="{05A8F1FE-C782-4571-953E-C1A7A0922106}"/>
    <cellStyle name="Normal 9 2 2 2 7" xfId="5640" xr:uid="{FA32CAB9-97C1-4717-B4AD-B27044A4B948}"/>
    <cellStyle name="Normal 9 2 2 2 8" xfId="642" xr:uid="{35EDC9E8-1676-4E07-BD82-090F6FA2A6BC}"/>
    <cellStyle name="Normal 9 2 2 3" xfId="731" xr:uid="{A4851FF1-81AF-45BF-84C4-FB25252B96B6}"/>
    <cellStyle name="Normal 9 2 2 3 2" xfId="1982" xr:uid="{1DE11EBA-D41F-4FE9-9F29-A68A92E742DA}"/>
    <cellStyle name="Normal 9 2 2 3 2 2" xfId="4480" xr:uid="{71A90155-45D8-413F-81EF-D28CE67CBA4A}"/>
    <cellStyle name="Normal 9 2 2 3 2 2 2" xfId="9476" xr:uid="{0CA7FCDD-5FC4-4A46-AF40-02DB6FB680CD}"/>
    <cellStyle name="Normal 9 2 2 3 2 3" xfId="6978" xr:uid="{D30EB3D0-B589-411F-986F-98F86D9C6193}"/>
    <cellStyle name="Normal 9 2 2 3 3" xfId="3231" xr:uid="{AB1C8C7C-91E1-4C1A-B682-2DCE0512C678}"/>
    <cellStyle name="Normal 9 2 2 3 3 2" xfId="8227" xr:uid="{2212B012-95EB-4C2A-BBA6-A307F84F45A7}"/>
    <cellStyle name="Normal 9 2 2 3 4" xfId="5729" xr:uid="{4BBC112A-323E-4988-A485-9BB68575169C}"/>
    <cellStyle name="Normal 9 2 2 4" xfId="1044" xr:uid="{576D054F-CAA1-4003-B8C2-FA6D43F1A8E7}"/>
    <cellStyle name="Normal 9 2 2 4 2" xfId="2294" xr:uid="{C7B856BE-7BEB-4B1F-BCAC-B23D0C2A2306}"/>
    <cellStyle name="Normal 9 2 2 4 2 2" xfId="4792" xr:uid="{1BF75F52-91F4-4CDB-9924-DAEC383B58EE}"/>
    <cellStyle name="Normal 9 2 2 4 2 2 2" xfId="9788" xr:uid="{1850116A-7195-428E-8990-440C7D8D5844}"/>
    <cellStyle name="Normal 9 2 2 4 2 3" xfId="7290" xr:uid="{14844EE8-AD78-4CF9-94E0-2A8554371E43}"/>
    <cellStyle name="Normal 9 2 2 4 3" xfId="3543" xr:uid="{A52D9027-BF4A-41D7-99CC-F5AB6CA3ABC8}"/>
    <cellStyle name="Normal 9 2 2 4 3 2" xfId="8539" xr:uid="{7DFF37C1-FDC3-440B-B027-47ADD8D786C6}"/>
    <cellStyle name="Normal 9 2 2 4 4" xfId="6041" xr:uid="{D9DEC09E-25A1-4299-86BB-BB3A1FAA617E}"/>
    <cellStyle name="Normal 9 2 2 5" xfId="1432" xr:uid="{9E629BA3-1799-45D5-909C-E595033E07CF}"/>
    <cellStyle name="Normal 9 2 2 5 2" xfId="2682" xr:uid="{C94E89F7-91C9-4E62-880F-E2E09A7CA703}"/>
    <cellStyle name="Normal 9 2 2 5 2 2" xfId="5180" xr:uid="{11F37485-D914-4EBB-BD69-51A102B47640}"/>
    <cellStyle name="Normal 9 2 2 5 2 2 2" xfId="10176" xr:uid="{39B5663F-C636-4AB2-AAE1-F0AA55D8C166}"/>
    <cellStyle name="Normal 9 2 2 5 2 3" xfId="7678" xr:uid="{E295E937-FD18-41F3-ABF1-2BED45262124}"/>
    <cellStyle name="Normal 9 2 2 5 3" xfId="3931" xr:uid="{E5CC71F8-5A19-4DDC-9059-E8C8C1A45622}"/>
    <cellStyle name="Normal 9 2 2 5 3 2" xfId="8927" xr:uid="{480F6B4A-DA1A-47EC-BCBE-31A85308A69C}"/>
    <cellStyle name="Normal 9 2 2 5 4" xfId="6429" xr:uid="{B74C2D1B-AE5C-4603-8967-B53F2E23548C}"/>
    <cellStyle name="Normal 9 2 2 6" xfId="1763" xr:uid="{68A2E959-8641-4887-AB78-8DD2BEAA78FD}"/>
    <cellStyle name="Normal 9 2 2 6 2" xfId="4261" xr:uid="{D64E6ED9-7CA2-4191-90E1-690424B7906F}"/>
    <cellStyle name="Normal 9 2 2 6 2 2" xfId="9257" xr:uid="{D2D8233D-8429-4301-AE42-1AF6A709C3AC}"/>
    <cellStyle name="Normal 9 2 2 6 3" xfId="6759" xr:uid="{484A6869-7250-4068-A18A-A0BD16983B6E}"/>
    <cellStyle name="Normal 9 2 2 7" xfId="3012" xr:uid="{05B48EAF-8151-42AD-894B-0AD423C57F94}"/>
    <cellStyle name="Normal 9 2 2 7 2" xfId="8008" xr:uid="{418EE874-F36E-4E96-92A7-AFB67894C8F2}"/>
    <cellStyle name="Normal 9 2 2 8" xfId="5510" xr:uid="{098E5F2E-4DA6-4C45-8449-08F66C7C9677}"/>
    <cellStyle name="Normal 9 2 2 9" xfId="512" xr:uid="{13E403BD-B90E-4566-BCC3-B33064DC6A5D}"/>
    <cellStyle name="Normal 9 2 3" xfId="101" xr:uid="{62DEEC3A-63BB-4CD8-AC48-1392C3AB0E27}"/>
    <cellStyle name="Normal 9 2 3 2" xfId="300" xr:uid="{B22A37AD-41CD-4A57-81CC-7D12837B2A98}"/>
    <cellStyle name="Normal 9 2 3 2 2" xfId="919" xr:uid="{079FC5F9-12A6-4724-89DD-A0E11EF1ECB9}"/>
    <cellStyle name="Normal 9 2 3 2 2 2" xfId="2170" xr:uid="{79DB24C6-A160-4EBE-9EF7-F9E39B657BF6}"/>
    <cellStyle name="Normal 9 2 3 2 2 2 2" xfId="4668" xr:uid="{FC9FA5E3-E1DF-4CA6-807F-F371CD2A72E6}"/>
    <cellStyle name="Normal 9 2 3 2 2 2 2 2" xfId="9664" xr:uid="{848CE54D-D8E1-41BC-8311-980AA4C34BA1}"/>
    <cellStyle name="Normal 9 2 3 2 2 2 3" xfId="7166" xr:uid="{F063987E-1AAE-4AD8-98AB-96DC85BF2BA6}"/>
    <cellStyle name="Normal 9 2 3 2 2 3" xfId="3419" xr:uid="{12FE24DD-FA2B-4C25-8BF9-1FDAD8430EE1}"/>
    <cellStyle name="Normal 9 2 3 2 2 3 2" xfId="8415" xr:uid="{5562BFF2-14BE-4650-B52B-5DAC0CBC4D56}"/>
    <cellStyle name="Normal 9 2 3 2 2 4" xfId="5917" xr:uid="{AA39DB7E-E8FF-48E1-83CC-C19DED8E3DCF}"/>
    <cellStyle name="Normal 9 2 3 2 3" xfId="1232" xr:uid="{5A34475C-E551-4DDD-AC18-F1E693CD020C}"/>
    <cellStyle name="Normal 9 2 3 2 3 2" xfId="2482" xr:uid="{D4408C4E-9DC8-4B89-92CA-CA4484908836}"/>
    <cellStyle name="Normal 9 2 3 2 3 2 2" xfId="4980" xr:uid="{F6A14CD5-9EC9-4410-BF71-210715FDD4E4}"/>
    <cellStyle name="Normal 9 2 3 2 3 2 2 2" xfId="9976" xr:uid="{C95AD8F2-CFDB-49F9-A7BA-7BB23B5EFA20}"/>
    <cellStyle name="Normal 9 2 3 2 3 2 3" xfId="7478" xr:uid="{78008E8D-A83B-4C97-985B-3BC9556EADF6}"/>
    <cellStyle name="Normal 9 2 3 2 3 3" xfId="3731" xr:uid="{0CE27EA5-3787-46ED-A080-44E178B485E5}"/>
    <cellStyle name="Normal 9 2 3 2 3 3 2" xfId="8727" xr:uid="{680260FD-7DC6-4815-B8F2-7BBE4F2103FB}"/>
    <cellStyle name="Normal 9 2 3 2 3 4" xfId="6229" xr:uid="{AFE9A50F-84F4-4A6C-B5CC-764F156AB3AF}"/>
    <cellStyle name="Normal 9 2 3 2 4" xfId="1563" xr:uid="{16403A9B-373B-4166-81F2-A8A5596E2D35}"/>
    <cellStyle name="Normal 9 2 3 2 4 2" xfId="2813" xr:uid="{F72234CB-8F5B-46B6-9DB5-AA4638CCB9AC}"/>
    <cellStyle name="Normal 9 2 3 2 4 2 2" xfId="5311" xr:uid="{7036F0F5-5A8E-4973-8F94-20FB9631398C}"/>
    <cellStyle name="Normal 9 2 3 2 4 2 2 2" xfId="10307" xr:uid="{150D951B-FF16-46FC-9E55-67085B2085F3}"/>
    <cellStyle name="Normal 9 2 3 2 4 2 3" xfId="7809" xr:uid="{C951AD71-6E80-4276-B3BD-61621C0E4D25}"/>
    <cellStyle name="Normal 9 2 3 2 4 3" xfId="4062" xr:uid="{FAC219F1-F255-4C6F-823B-3476DFAC111A}"/>
    <cellStyle name="Normal 9 2 3 2 4 3 2" xfId="9058" xr:uid="{BB396966-96A0-4C74-89B3-A6C4EB96E366}"/>
    <cellStyle name="Normal 9 2 3 2 4 4" xfId="6560" xr:uid="{F8DC8F4C-2640-4E18-BFA4-EA6CC0EE3456}"/>
    <cellStyle name="Normal 9 2 3 2 5" xfId="1894" xr:uid="{46BF92BB-3C16-4CB5-9804-2462EC680A8A}"/>
    <cellStyle name="Normal 9 2 3 2 5 2" xfId="4392" xr:uid="{AF5A5DF5-FC5C-4C6B-B9AD-3651F2323F65}"/>
    <cellStyle name="Normal 9 2 3 2 5 2 2" xfId="9388" xr:uid="{DCB65F3B-941F-4425-9763-D754E2D76F63}"/>
    <cellStyle name="Normal 9 2 3 2 5 3" xfId="6890" xr:uid="{5D92CBB5-86B5-4701-A0D4-1B0F4090F455}"/>
    <cellStyle name="Normal 9 2 3 2 6" xfId="3143" xr:uid="{E6562EB9-245B-4EBC-80B9-D17BAEEBAF34}"/>
    <cellStyle name="Normal 9 2 3 2 6 2" xfId="8139" xr:uid="{490E5228-BB84-4719-817B-F9F8ABCB577D}"/>
    <cellStyle name="Normal 9 2 3 2 7" xfId="5641" xr:uid="{6DFF04AF-E03E-4C24-BD34-82286D4A639F}"/>
    <cellStyle name="Normal 9 2 3 2 8" xfId="643" xr:uid="{7B7BE30B-D15E-4AD7-B41C-692A7D3F6C9C}"/>
    <cellStyle name="Normal 9 2 3 3" xfId="755" xr:uid="{C9261FBD-D43D-4850-85CF-1795CEBFB38E}"/>
    <cellStyle name="Normal 9 2 3 3 2" xfId="2006" xr:uid="{356B68E9-8D8F-46A5-B70A-F7425981BA6D}"/>
    <cellStyle name="Normal 9 2 3 3 2 2" xfId="4504" xr:uid="{9CDD8D1E-9FC9-49A6-9A83-7668249B62CD}"/>
    <cellStyle name="Normal 9 2 3 3 2 2 2" xfId="9500" xr:uid="{9BDCDD38-8ECA-455F-A31A-1063EB1C8723}"/>
    <cellStyle name="Normal 9 2 3 3 2 3" xfId="7002" xr:uid="{E13EF3BA-2401-4A6B-8A5D-CB9C4470CCF1}"/>
    <cellStyle name="Normal 9 2 3 3 3" xfId="3255" xr:uid="{7366F5FA-244F-44D0-93A0-656115AE665B}"/>
    <cellStyle name="Normal 9 2 3 3 3 2" xfId="8251" xr:uid="{6EAFEB65-7028-4628-85DE-ADBF26B8DC71}"/>
    <cellStyle name="Normal 9 2 3 3 4" xfId="5753" xr:uid="{2DD5DDF5-0EC9-412E-A763-914C4A2C76EE}"/>
    <cellStyle name="Normal 9 2 3 4" xfId="1068" xr:uid="{7B9E2C17-E469-4CC9-9D92-19C27CE7600D}"/>
    <cellStyle name="Normal 9 2 3 4 2" xfId="2318" xr:uid="{AB513078-B2AD-42E8-9F37-36BFDA80CFE9}"/>
    <cellStyle name="Normal 9 2 3 4 2 2" xfId="4816" xr:uid="{FD75BB33-9B38-4BF3-8DBF-BB24BAACF804}"/>
    <cellStyle name="Normal 9 2 3 4 2 2 2" xfId="9812" xr:uid="{3F2D483F-EB4A-46FF-92A5-FF892B218E82}"/>
    <cellStyle name="Normal 9 2 3 4 2 3" xfId="7314" xr:uid="{BDC94A9D-0193-4AA0-A3CC-9DEAEE4C268E}"/>
    <cellStyle name="Normal 9 2 3 4 3" xfId="3567" xr:uid="{8714AD91-DA91-400D-949A-C99E745403EC}"/>
    <cellStyle name="Normal 9 2 3 4 3 2" xfId="8563" xr:uid="{83FB2D99-5E17-4396-9A37-923966F302B0}"/>
    <cellStyle name="Normal 9 2 3 4 4" xfId="6065" xr:uid="{14642933-5FE8-427C-B4A5-9ADEB6DA6D84}"/>
    <cellStyle name="Normal 9 2 3 5" xfId="1433" xr:uid="{E948675D-D53C-4F47-A834-858D74EADD87}"/>
    <cellStyle name="Normal 9 2 3 5 2" xfId="2683" xr:uid="{F2ED60B1-F72B-4449-B4AE-D17F54A4461D}"/>
    <cellStyle name="Normal 9 2 3 5 2 2" xfId="5181" xr:uid="{B2A07607-95F9-49A9-912F-C42C6F617462}"/>
    <cellStyle name="Normal 9 2 3 5 2 2 2" xfId="10177" xr:uid="{353DD772-6614-48BC-B6CA-BA053942B74F}"/>
    <cellStyle name="Normal 9 2 3 5 2 3" xfId="7679" xr:uid="{88AB4609-D412-47AA-A6BC-BCAA1FE48D2F}"/>
    <cellStyle name="Normal 9 2 3 5 3" xfId="3932" xr:uid="{2CDA6E2E-071E-4240-8078-9D303091BA01}"/>
    <cellStyle name="Normal 9 2 3 5 3 2" xfId="8928" xr:uid="{0FB0DFAD-FEAC-44C5-A20D-5D7BB063C368}"/>
    <cellStyle name="Normal 9 2 3 5 4" xfId="6430" xr:uid="{4C25DA7B-7EF6-4CD0-99E6-F9615A8D84E6}"/>
    <cellStyle name="Normal 9 2 3 6" xfId="1764" xr:uid="{014F228C-A32D-46AA-8D8E-49C16ABC662F}"/>
    <cellStyle name="Normal 9 2 3 6 2" xfId="4262" xr:uid="{E29BF1B8-CC33-4E43-AB0D-B911EC045CAD}"/>
    <cellStyle name="Normal 9 2 3 6 2 2" xfId="9258" xr:uid="{194E6025-E9FF-4B58-B9C1-FD64187C2EFE}"/>
    <cellStyle name="Normal 9 2 3 6 3" xfId="6760" xr:uid="{DBF83E95-71DB-4315-A3A3-F83C75DA4485}"/>
    <cellStyle name="Normal 9 2 3 7" xfId="3013" xr:uid="{A83F422E-D187-4768-B65E-F356FCF15CC3}"/>
    <cellStyle name="Normal 9 2 3 7 2" xfId="8009" xr:uid="{B1111229-F19A-4FB1-A52F-A3EA49B7F377}"/>
    <cellStyle name="Normal 9 2 3 8" xfId="5511" xr:uid="{9C0BD772-AB94-4FEC-8A83-1FDA602BDCAA}"/>
    <cellStyle name="Normal 9 2 3 9" xfId="513" xr:uid="{7E275425-D65A-4380-B428-6D498402B73C}"/>
    <cellStyle name="Normal 9 2 4" xfId="301" xr:uid="{4288171C-D024-440F-9D7A-5F1C7A69CC36}"/>
    <cellStyle name="Normal 9 2 4 2" xfId="302" xr:uid="{D1FD668E-013D-46F0-9E03-2D95CBE23E2B}"/>
    <cellStyle name="Normal 9 2 4 2 2" xfId="921" xr:uid="{4BE2BCA2-FE56-4D64-BE3B-228B4A39D3F8}"/>
    <cellStyle name="Normal 9 2 4 2 2 2" xfId="2172" xr:uid="{DCB73FD8-D5CB-493C-98D0-3400296219D0}"/>
    <cellStyle name="Normal 9 2 4 2 2 2 2" xfId="4670" xr:uid="{33CD3F5D-ED40-4807-94FF-95E3AC5CAC38}"/>
    <cellStyle name="Normal 9 2 4 2 2 2 2 2" xfId="9666" xr:uid="{E1743BB2-FA15-404E-88ED-B559BED797D2}"/>
    <cellStyle name="Normal 9 2 4 2 2 2 3" xfId="7168" xr:uid="{4BB138C7-C961-422F-A7A6-A352C1EAE2C9}"/>
    <cellStyle name="Normal 9 2 4 2 2 3" xfId="3421" xr:uid="{D900D1DB-9720-4AAE-9215-FD84435331AA}"/>
    <cellStyle name="Normal 9 2 4 2 2 3 2" xfId="8417" xr:uid="{13B3D724-5233-425C-A93A-6A80017F03FA}"/>
    <cellStyle name="Normal 9 2 4 2 2 4" xfId="5919" xr:uid="{0D234B1D-AAE9-48D0-8508-18D3253080B2}"/>
    <cellStyle name="Normal 9 2 4 2 3" xfId="1234" xr:uid="{B592836C-2320-409E-9B22-FC91A0C31685}"/>
    <cellStyle name="Normal 9 2 4 2 3 2" xfId="2484" xr:uid="{A8938C2B-7B76-43C9-B0D2-E564B948A51F}"/>
    <cellStyle name="Normal 9 2 4 2 3 2 2" xfId="4982" xr:uid="{7AEF101B-72A7-4F63-8ED0-23A8187E551A}"/>
    <cellStyle name="Normal 9 2 4 2 3 2 2 2" xfId="9978" xr:uid="{CEA405D5-48A9-4ECE-A3D6-BA60306B013D}"/>
    <cellStyle name="Normal 9 2 4 2 3 2 3" xfId="7480" xr:uid="{56C80BD9-7878-473A-ACAD-C62676DE03BE}"/>
    <cellStyle name="Normal 9 2 4 2 3 3" xfId="3733" xr:uid="{9CBFDAE3-791F-4592-99D0-6F5F21174290}"/>
    <cellStyle name="Normal 9 2 4 2 3 3 2" xfId="8729" xr:uid="{B8CE66F0-E56E-4842-82BF-ED12D3E3FC5F}"/>
    <cellStyle name="Normal 9 2 4 2 3 4" xfId="6231" xr:uid="{D0549D17-583A-4848-904D-4955491A50D2}"/>
    <cellStyle name="Normal 9 2 4 2 4" xfId="1564" xr:uid="{370D8E2E-635D-4310-9DDD-3A5D8A72EA6F}"/>
    <cellStyle name="Normal 9 2 4 2 4 2" xfId="2814" xr:uid="{B1C93F86-C135-4410-B010-B537D4E1C25A}"/>
    <cellStyle name="Normal 9 2 4 2 4 2 2" xfId="5312" xr:uid="{1E61C99E-DD36-4A19-B75C-A1DA004469D5}"/>
    <cellStyle name="Normal 9 2 4 2 4 2 2 2" xfId="10308" xr:uid="{68FE83FB-E4BC-43E7-96B8-BADDE0C06B8D}"/>
    <cellStyle name="Normal 9 2 4 2 4 2 3" xfId="7810" xr:uid="{E1CC63BD-EFF0-42DA-AD3E-A0B1083FCFF2}"/>
    <cellStyle name="Normal 9 2 4 2 4 3" xfId="4063" xr:uid="{FBA224FD-6B37-4C03-8FDF-450A6AA86123}"/>
    <cellStyle name="Normal 9 2 4 2 4 3 2" xfId="9059" xr:uid="{7547EA03-27D9-4F28-8D1C-645FAF23A513}"/>
    <cellStyle name="Normal 9 2 4 2 4 4" xfId="6561" xr:uid="{BE358E8C-F580-4B91-87BD-1EB04B49A2B8}"/>
    <cellStyle name="Normal 9 2 4 2 5" xfId="1895" xr:uid="{6E52B91D-02C3-4F4F-8697-58DAF726C208}"/>
    <cellStyle name="Normal 9 2 4 2 5 2" xfId="4393" xr:uid="{98D44CA3-40BF-43D6-BF71-DAAD2A5A7D09}"/>
    <cellStyle name="Normal 9 2 4 2 5 2 2" xfId="9389" xr:uid="{3BA3C4F1-34F6-4F83-95CB-BD47B75BFA25}"/>
    <cellStyle name="Normal 9 2 4 2 5 3" xfId="6891" xr:uid="{50E2C142-A83F-41BD-A302-7EFBC1036A50}"/>
    <cellStyle name="Normal 9 2 4 2 6" xfId="3144" xr:uid="{A71A5BFB-BF7B-4953-85C7-6CE981804D44}"/>
    <cellStyle name="Normal 9 2 4 2 6 2" xfId="8140" xr:uid="{224ADCC9-98F9-43A5-89EA-49E7769557FF}"/>
    <cellStyle name="Normal 9 2 4 2 7" xfId="5642" xr:uid="{2BF83F89-7846-4BE9-81F2-9D49EF80CB48}"/>
    <cellStyle name="Normal 9 2 4 2 8" xfId="644" xr:uid="{BC8D8FBE-AA48-456A-9533-768828CE83D5}"/>
    <cellStyle name="Normal 9 2 4 3" xfId="920" xr:uid="{2B73814B-3F07-4DBE-96BA-8CFD855C8A00}"/>
    <cellStyle name="Normal 9 2 4 3 2" xfId="2171" xr:uid="{BC23596E-5B3A-43F9-BE12-5C05C58B1C8C}"/>
    <cellStyle name="Normal 9 2 4 3 2 2" xfId="4669" xr:uid="{6CFFCF45-8D45-4A67-8FB0-B170539105C7}"/>
    <cellStyle name="Normal 9 2 4 3 2 2 2" xfId="9665" xr:uid="{98145313-9CA3-4D03-985B-50DDED833649}"/>
    <cellStyle name="Normal 9 2 4 3 2 3" xfId="7167" xr:uid="{2935A180-DD9F-4A4E-B3FE-CEDD19DDD82B}"/>
    <cellStyle name="Normal 9 2 4 3 3" xfId="3420" xr:uid="{519C2B4A-573B-44A7-972B-EFF7C4E8C992}"/>
    <cellStyle name="Normal 9 2 4 3 3 2" xfId="8416" xr:uid="{FB8E1B68-C2E4-439B-A7CB-9FA13D1DA5B2}"/>
    <cellStyle name="Normal 9 2 4 3 4" xfId="5918" xr:uid="{0198B565-09A8-4AF3-85B6-94F0A032DE5E}"/>
    <cellStyle name="Normal 9 2 4 4" xfId="1233" xr:uid="{622E80E3-28A2-4120-8226-73171B4B9AD5}"/>
    <cellStyle name="Normal 9 2 4 4 2" xfId="2483" xr:uid="{B5E009CA-2F3B-4693-89C4-451DA211B886}"/>
    <cellStyle name="Normal 9 2 4 4 2 2" xfId="4981" xr:uid="{B94FA1F7-5216-465C-8778-82E00FE5B9A9}"/>
    <cellStyle name="Normal 9 2 4 4 2 2 2" xfId="9977" xr:uid="{4F9DF5C2-0C98-477A-A4D2-A3A7B95C0193}"/>
    <cellStyle name="Normal 9 2 4 4 2 3" xfId="7479" xr:uid="{803BEE84-7322-4609-8228-09369FD6476E}"/>
    <cellStyle name="Normal 9 2 4 4 3" xfId="3732" xr:uid="{FCD179F1-3097-466D-A3BF-1EB42B5ACFAE}"/>
    <cellStyle name="Normal 9 2 4 4 3 2" xfId="8728" xr:uid="{56875BBB-9450-4574-B6C2-098469123C0F}"/>
    <cellStyle name="Normal 9 2 4 4 4" xfId="6230" xr:uid="{F09FC892-1F9E-4A61-BD54-567B7351ECCF}"/>
    <cellStyle name="Normal 9 2 4 5" xfId="1431" xr:uid="{B3A35134-4C26-4D0E-AC23-A9CA92C451EC}"/>
    <cellStyle name="Normal 9 2 4 5 2" xfId="2681" xr:uid="{1CAB5510-F6D8-4A66-8786-BA376B82F983}"/>
    <cellStyle name="Normal 9 2 4 5 2 2" xfId="5179" xr:uid="{5E24C0ED-9B2B-4D02-A3FD-09AD4D41E836}"/>
    <cellStyle name="Normal 9 2 4 5 2 2 2" xfId="10175" xr:uid="{4215C6EF-97DB-483D-9418-0625E402DA05}"/>
    <cellStyle name="Normal 9 2 4 5 2 3" xfId="7677" xr:uid="{C191D3E3-65A4-4BED-99FB-565C55A51545}"/>
    <cellStyle name="Normal 9 2 4 5 3" xfId="3930" xr:uid="{9585D9E2-E384-4426-8CE7-3B055ABF3557}"/>
    <cellStyle name="Normal 9 2 4 5 3 2" xfId="8926" xr:uid="{3226BD6C-E2CE-4B4E-BB56-BDE8D409C92D}"/>
    <cellStyle name="Normal 9 2 4 5 4" xfId="6428" xr:uid="{AB964637-D556-4CD5-A499-515FA8BF2D5C}"/>
    <cellStyle name="Normal 9 2 4 6" xfId="1762" xr:uid="{723FB74F-2EC1-4077-A861-CC4777C0EA09}"/>
    <cellStyle name="Normal 9 2 4 6 2" xfId="4260" xr:uid="{A3E6C7CC-8652-4AF0-A709-47FBBD013FC8}"/>
    <cellStyle name="Normal 9 2 4 6 2 2" xfId="9256" xr:uid="{CF27C6C5-461E-4978-9F0E-CDF98436DB3A}"/>
    <cellStyle name="Normal 9 2 4 6 3" xfId="6758" xr:uid="{F801046A-B7B0-418A-A5C4-D33FC7C23E4B}"/>
    <cellStyle name="Normal 9 2 4 7" xfId="3011" xr:uid="{CFD1AC6B-B214-437B-8D56-BA70B597E3C0}"/>
    <cellStyle name="Normal 9 2 4 7 2" xfId="8007" xr:uid="{C8989C16-5DBD-4405-8E68-8CE04A83B266}"/>
    <cellStyle name="Normal 9 2 4 8" xfId="5509" xr:uid="{2AB06525-4E3B-46F9-B988-CF2D266970C7}"/>
    <cellStyle name="Normal 9 2 4 9" xfId="511" xr:uid="{A6E1BB14-9421-4512-98B9-0AB021C0E84D}"/>
    <cellStyle name="Normal 9 2 5" xfId="303" xr:uid="{EC3DA7C2-B752-4A43-AB57-8F725277558D}"/>
    <cellStyle name="Normal 9 2 5 2" xfId="922" xr:uid="{01C02626-3EEA-4A08-97E1-A718BE58B4AD}"/>
    <cellStyle name="Normal 9 2 5 2 2" xfId="2173" xr:uid="{8C328E2F-2B53-4066-8FD7-8AAD43C3B732}"/>
    <cellStyle name="Normal 9 2 5 2 2 2" xfId="4671" xr:uid="{9B767D61-E6C9-438D-AB61-E51DBBA0C93A}"/>
    <cellStyle name="Normal 9 2 5 2 2 2 2" xfId="9667" xr:uid="{CC4ACF50-D616-436A-B209-EB4E35340DA2}"/>
    <cellStyle name="Normal 9 2 5 2 2 3" xfId="7169" xr:uid="{4D6964A6-7980-4DFA-B6F5-5BF8645200B9}"/>
    <cellStyle name="Normal 9 2 5 2 3" xfId="3422" xr:uid="{19F43001-DF61-4F98-9851-15A0269A6DFD}"/>
    <cellStyle name="Normal 9 2 5 2 3 2" xfId="8418" xr:uid="{73BD1230-C143-4015-B2C3-47060C79002F}"/>
    <cellStyle name="Normal 9 2 5 2 4" xfId="5920" xr:uid="{954511C4-A256-45DF-85FE-0A9556579999}"/>
    <cellStyle name="Normal 9 2 5 3" xfId="1235" xr:uid="{14C1632D-D827-4DC5-9DD7-8695CF40CA0F}"/>
    <cellStyle name="Normal 9 2 5 3 2" xfId="2485" xr:uid="{6BD8727A-C44F-4A7A-8F72-63BA037728B7}"/>
    <cellStyle name="Normal 9 2 5 3 2 2" xfId="4983" xr:uid="{EFD76E79-DA35-4B8C-BEE2-F71C70A51A30}"/>
    <cellStyle name="Normal 9 2 5 3 2 2 2" xfId="9979" xr:uid="{23422BDF-738C-4641-8FE6-DD2DEEF8ED90}"/>
    <cellStyle name="Normal 9 2 5 3 2 3" xfId="7481" xr:uid="{CF19D84B-872E-4A22-9DAD-0750D0C0560E}"/>
    <cellStyle name="Normal 9 2 5 3 3" xfId="3734" xr:uid="{3DDF89CC-AB3C-42EA-ABF4-AB840B7B19F4}"/>
    <cellStyle name="Normal 9 2 5 3 3 2" xfId="8730" xr:uid="{E8C832A2-12D3-4904-9777-FA65BB87D5F9}"/>
    <cellStyle name="Normal 9 2 5 3 4" xfId="6232" xr:uid="{8AF08D7D-E770-43B8-8710-412611406524}"/>
    <cellStyle name="Normal 9 2 5 4" xfId="1561" xr:uid="{826344D6-6D16-47FA-9047-59315BAF3558}"/>
    <cellStyle name="Normal 9 2 5 4 2" xfId="2811" xr:uid="{450E0246-E1B9-4C46-948B-EBFA825C0CF9}"/>
    <cellStyle name="Normal 9 2 5 4 2 2" xfId="5309" xr:uid="{966BA4A1-A4DD-4FDF-9774-DD487A7F36A2}"/>
    <cellStyle name="Normal 9 2 5 4 2 2 2" xfId="10305" xr:uid="{AFDBE93C-4278-46A3-96DE-044414289667}"/>
    <cellStyle name="Normal 9 2 5 4 2 3" xfId="7807" xr:uid="{4A9CCC45-5508-4F06-88BB-BC207185BC77}"/>
    <cellStyle name="Normal 9 2 5 4 3" xfId="4060" xr:uid="{948855E4-C016-4529-B1D7-F9CDDA7AC602}"/>
    <cellStyle name="Normal 9 2 5 4 3 2" xfId="9056" xr:uid="{E43332F9-B22C-4116-88C0-9816EE20A288}"/>
    <cellStyle name="Normal 9 2 5 4 4" xfId="6558" xr:uid="{B3972F12-254F-48B8-B785-1DDD34E92F40}"/>
    <cellStyle name="Normal 9 2 5 5" xfId="1892" xr:uid="{4CF9C759-E9ED-4713-9E7F-27EF34105CC5}"/>
    <cellStyle name="Normal 9 2 5 5 2" xfId="4390" xr:uid="{6FBA3D6E-2070-42E8-B47F-9710878676E4}"/>
    <cellStyle name="Normal 9 2 5 5 2 2" xfId="9386" xr:uid="{FABF6546-D14A-4EE9-BF19-5963C55C64F9}"/>
    <cellStyle name="Normal 9 2 5 5 3" xfId="6888" xr:uid="{EEFB04F1-4B31-44CD-AB7A-1123998CDC23}"/>
    <cellStyle name="Normal 9 2 5 6" xfId="3141" xr:uid="{6699C21C-4A9F-493C-B9C9-66EA0E3028D9}"/>
    <cellStyle name="Normal 9 2 5 6 2" xfId="8137" xr:uid="{DDE767BA-B48A-4464-92E6-67860901F6A5}"/>
    <cellStyle name="Normal 9 2 5 7" xfId="5639" xr:uid="{8BFA060D-70A3-4CA9-BE1F-F0B9D59312B7}"/>
    <cellStyle name="Normal 9 2 5 8" xfId="641" xr:uid="{DC5B92F4-3F54-4936-9F2B-4215EB6CC84C}"/>
    <cellStyle name="Normal 9 2 6" xfId="382" xr:uid="{3B484D70-34DC-462A-A7F2-E914704E084C}"/>
    <cellStyle name="Normal 9 2 6 2" xfId="1303" xr:uid="{F479523A-C775-40B9-9301-6619D52F01E2}"/>
    <cellStyle name="Normal 9 2 6 2 2" xfId="2553" xr:uid="{641F96C8-A5B5-4BB7-B4B3-9566547502DC}"/>
    <cellStyle name="Normal 9 2 6 2 2 2" xfId="5051" xr:uid="{0719BC14-1430-4268-8293-FE8DAD343E7B}"/>
    <cellStyle name="Normal 9 2 6 2 2 2 2" xfId="10047" xr:uid="{27EB16DD-3008-4644-84B0-E6EA03EA1F0F}"/>
    <cellStyle name="Normal 9 2 6 2 2 3" xfId="7549" xr:uid="{670C5775-EC72-499E-BC50-C41647F6EA9E}"/>
    <cellStyle name="Normal 9 2 6 2 3" xfId="3802" xr:uid="{0DFDCF8F-BF3D-42BA-B835-9C8D073FBC95}"/>
    <cellStyle name="Normal 9 2 6 2 3 2" xfId="8798" xr:uid="{E04A8621-C582-4AA6-B1C9-4602E0ED52E1}"/>
    <cellStyle name="Normal 9 2 6 2 4" xfId="6300" xr:uid="{0E3ADD5E-E759-4BC4-8C9F-73909499B373}"/>
    <cellStyle name="Normal 9 2 6 3" xfId="2241" xr:uid="{049D5272-5E70-4B11-AC36-51D6355BFC10}"/>
    <cellStyle name="Normal 9 2 6 3 2" xfId="4739" xr:uid="{EEA41777-3B0E-4A0F-8C4B-EE1ABC8A3D49}"/>
    <cellStyle name="Normal 9 2 6 3 2 2" xfId="9735" xr:uid="{731383C3-5388-41F4-8650-7278910368FB}"/>
    <cellStyle name="Normal 9 2 6 3 3" xfId="7237" xr:uid="{FB30E3EC-B3B7-4A47-80D9-755B561F36EF}"/>
    <cellStyle name="Normal 9 2 6 4" xfId="3490" xr:uid="{A49B42EF-E969-43E7-9924-611A8ACDFF2B}"/>
    <cellStyle name="Normal 9 2 6 4 2" xfId="8486" xr:uid="{5011CCD9-2E35-4BE0-8846-80AE7889564C}"/>
    <cellStyle name="Normal 9 2 6 5" xfId="5988" xr:uid="{4209C12A-3438-436E-877A-C643A3EB854E}"/>
    <cellStyle name="Normal 9 2 6 6" xfId="991" xr:uid="{86962935-2C00-4388-A360-1E7ACF239CED}"/>
    <cellStyle name="Normal 9 2 7" xfId="703" xr:uid="{F657A43F-40A6-4F8D-B2AD-3E82F14334AF}"/>
    <cellStyle name="Normal 9 2 7 2" xfId="1954" xr:uid="{452F0B09-DFFE-4DC6-A210-EC345512373E}"/>
    <cellStyle name="Normal 9 2 7 2 2" xfId="4452" xr:uid="{56702071-61C0-4E09-8523-61E92FFD2D9F}"/>
    <cellStyle name="Normal 9 2 7 2 2 2" xfId="9448" xr:uid="{5AE97443-FF23-4D0F-91FB-87209ECE9632}"/>
    <cellStyle name="Normal 9 2 7 2 3" xfId="6950" xr:uid="{B7B39345-0761-4C84-9909-49A240099E79}"/>
    <cellStyle name="Normal 9 2 7 3" xfId="3203" xr:uid="{EAD52449-FD0A-4AC6-9593-CD0EDD394FF4}"/>
    <cellStyle name="Normal 9 2 7 3 2" xfId="8199" xr:uid="{A15CC259-3F0A-4F66-B417-EF3027BB6E2D}"/>
    <cellStyle name="Normal 9 2 7 4" xfId="5701" xr:uid="{3725F907-3D88-49D7-97E6-8000F3E12DF3}"/>
    <cellStyle name="Normal 9 2 8" xfId="1016" xr:uid="{1B6F6FFE-5E3F-4BE7-9833-DA2A40BEB713}"/>
    <cellStyle name="Normal 9 2 8 2" xfId="2266" xr:uid="{C14242BC-1667-4750-965E-A963173EAA0A}"/>
    <cellStyle name="Normal 9 2 8 2 2" xfId="4764" xr:uid="{6C6D29EA-BDA0-4092-8BB6-396738E24712}"/>
    <cellStyle name="Normal 9 2 8 2 2 2" xfId="9760" xr:uid="{26936218-E582-48BB-AB71-9676F1BA866C}"/>
    <cellStyle name="Normal 9 2 8 2 3" xfId="7262" xr:uid="{F290BD8F-F647-4FA4-A7C3-F775536D10DB}"/>
    <cellStyle name="Normal 9 2 8 3" xfId="3515" xr:uid="{56A0FF99-5682-4C4B-944A-D5816A99D7FE}"/>
    <cellStyle name="Normal 9 2 8 3 2" xfId="8511" xr:uid="{F1B12458-2823-4F2E-9BE6-4BE768F800E3}"/>
    <cellStyle name="Normal 9 2 8 4" xfId="6013" xr:uid="{30D74300-902C-4326-BEA9-E8BDBB05414C}"/>
    <cellStyle name="Normal 9 2 9" xfId="1325" xr:uid="{E70F6053-05E1-465A-8049-1A35B6CBA62C}"/>
    <cellStyle name="Normal 9 2 9 2" xfId="2575" xr:uid="{A7854984-ED03-4F72-9A6E-F8D03F635108}"/>
    <cellStyle name="Normal 9 2 9 2 2" xfId="5073" xr:uid="{11E27B22-2D9A-489E-BB6E-B9292154A0F5}"/>
    <cellStyle name="Normal 9 2 9 2 2 2" xfId="10069" xr:uid="{6C7C857B-6180-4627-A8D6-A147CDC1EDD3}"/>
    <cellStyle name="Normal 9 2 9 2 3" xfId="7571" xr:uid="{057C51CC-48E9-4D77-B710-6C4039900031}"/>
    <cellStyle name="Normal 9 2 9 3" xfId="3824" xr:uid="{6D2279EF-A3C3-45A5-A2EB-F08B46BCA3A5}"/>
    <cellStyle name="Normal 9 2 9 3 2" xfId="8820" xr:uid="{967BD34E-6D87-479E-989D-3C7F36C0F871}"/>
    <cellStyle name="Normal 9 2 9 4" xfId="6322" xr:uid="{61C8F470-60F1-4E74-BADA-2B9370EFFD95}"/>
    <cellStyle name="Normal 9 3" xfId="48" xr:uid="{036B3F0F-B098-4001-A228-53F556C6E7B7}"/>
    <cellStyle name="Normal 9 3 10" xfId="1660" xr:uid="{6AE95EA8-171B-4D3E-80F5-1D798B0284A9}"/>
    <cellStyle name="Normal 9 3 10 2" xfId="4158" xr:uid="{CF0F63AD-C2F7-425A-A764-48802FD80BE7}"/>
    <cellStyle name="Normal 9 3 10 2 2" xfId="9154" xr:uid="{8850FD45-1ECF-4690-BA5A-A020F154A247}"/>
    <cellStyle name="Normal 9 3 10 3" xfId="6656" xr:uid="{1F466FD9-E78A-44CC-96A4-3F8C24A92B1E}"/>
    <cellStyle name="Normal 9 3 11" xfId="2909" xr:uid="{1A34061D-7A86-4159-A463-5126F424CCC2}"/>
    <cellStyle name="Normal 9 3 11 2" xfId="7905" xr:uid="{3EA9295B-B31D-4A6D-8122-1CFC9127A34F}"/>
    <cellStyle name="Normal 9 3 12" xfId="5407" xr:uid="{AC32D054-4496-434A-9B07-4BB80D0BBAF2}"/>
    <cellStyle name="Normal 9 3 13" xfId="409" xr:uid="{8608F64A-4BB4-4ADE-9ED9-ADDB4424625E}"/>
    <cellStyle name="Normal 9 3 2" xfId="78" xr:uid="{31AE3EE0-F735-4524-8F4E-A980A046DE3C}"/>
    <cellStyle name="Normal 9 3 2 10" xfId="5414" xr:uid="{7813C102-B3D8-4F09-9800-BEEA046F418E}"/>
    <cellStyle name="Normal 9 3 2 11" xfId="416" xr:uid="{193CE652-14D0-4D51-8CE6-7EA4AC599E21}"/>
    <cellStyle name="Normal 9 3 2 2" xfId="304" xr:uid="{046916C0-417E-44F9-8BD5-48647002C74D}"/>
    <cellStyle name="Normal 9 3 2 2 10" xfId="420" xr:uid="{FEB19E58-7298-42CB-A386-B13C2364F9E1}"/>
    <cellStyle name="Normal 9 3 2 2 2" xfId="305" xr:uid="{38F42BA9-8B31-4D47-A5B1-4EC65C23B90D}"/>
    <cellStyle name="Normal 9 3 2 2 2 2" xfId="306" xr:uid="{94925D21-7B51-456B-8762-F241354DC473}"/>
    <cellStyle name="Normal 9 3 2 2 2 2 2" xfId="925" xr:uid="{2A0E22D5-BB6C-4DD6-9AE6-669A63B951E7}"/>
    <cellStyle name="Normal 9 3 2 2 2 2 2 2" xfId="2176" xr:uid="{0BDC3D94-9FFF-4B9F-A7B0-3D4B4DF41BC0}"/>
    <cellStyle name="Normal 9 3 2 2 2 2 2 2 2" xfId="4674" xr:uid="{569E2CFC-999D-4304-865A-34B6E86D0983}"/>
    <cellStyle name="Normal 9 3 2 2 2 2 2 2 2 2" xfId="9670" xr:uid="{DCF53915-21D0-4CB5-8B31-4A091228AC42}"/>
    <cellStyle name="Normal 9 3 2 2 2 2 2 2 3" xfId="7172" xr:uid="{AFC7FC4F-96A2-43B5-9524-B232A6947AC6}"/>
    <cellStyle name="Normal 9 3 2 2 2 2 2 3" xfId="3425" xr:uid="{99E694F8-C8AE-43C7-BEEC-A1A7971583C7}"/>
    <cellStyle name="Normal 9 3 2 2 2 2 2 3 2" xfId="8421" xr:uid="{8C355583-D27E-4201-A82C-5BFA5D0C0EE1}"/>
    <cellStyle name="Normal 9 3 2 2 2 2 2 4" xfId="5923" xr:uid="{0ECC1C22-CBB0-4E6D-A195-F14ECA0617C6}"/>
    <cellStyle name="Normal 9 3 2 2 2 2 3" xfId="1238" xr:uid="{EE9E2B99-ABEC-439A-82B8-0BCE5AB185C2}"/>
    <cellStyle name="Normal 9 3 2 2 2 2 3 2" xfId="2488" xr:uid="{F9D53777-2ABF-4D59-BB38-4D07FE8C908B}"/>
    <cellStyle name="Normal 9 3 2 2 2 2 3 2 2" xfId="4986" xr:uid="{DA9C7B0D-3B9F-47ED-9C45-624B053A280C}"/>
    <cellStyle name="Normal 9 3 2 2 2 2 3 2 2 2" xfId="9982" xr:uid="{AAF83CDD-FC80-4791-8FC7-52694E244100}"/>
    <cellStyle name="Normal 9 3 2 2 2 2 3 2 3" xfId="7484" xr:uid="{DCA7B3B7-D158-412C-9BAE-9198E6422C6D}"/>
    <cellStyle name="Normal 9 3 2 2 2 2 3 3" xfId="3737" xr:uid="{C6274734-223D-4DD6-AF48-A78DCFEB9463}"/>
    <cellStyle name="Normal 9 3 2 2 2 2 3 3 2" xfId="8733" xr:uid="{A0BB52BB-484D-4E87-9075-C76465F4D7A1}"/>
    <cellStyle name="Normal 9 3 2 2 2 2 3 4" xfId="6235" xr:uid="{5A688B40-2D3A-49C3-B18D-7BF73DD2D909}"/>
    <cellStyle name="Normal 9 3 2 2 2 2 4" xfId="1568" xr:uid="{5DC32C40-2A70-4B15-B4C3-94523F711ABA}"/>
    <cellStyle name="Normal 9 3 2 2 2 2 4 2" xfId="2818" xr:uid="{B0985887-1959-441E-A149-D3C32100A203}"/>
    <cellStyle name="Normal 9 3 2 2 2 2 4 2 2" xfId="5316" xr:uid="{3EB54CA1-9743-4F76-8A1D-3BF5974A43BD}"/>
    <cellStyle name="Normal 9 3 2 2 2 2 4 2 2 2" xfId="10312" xr:uid="{388A18BD-A0B3-44EA-B32E-AC0BCD63C02E}"/>
    <cellStyle name="Normal 9 3 2 2 2 2 4 2 3" xfId="7814" xr:uid="{2E56E7C1-A9E4-4F4F-9E82-6F9D280CD164}"/>
    <cellStyle name="Normal 9 3 2 2 2 2 4 3" xfId="4067" xr:uid="{768CFB8A-0176-4951-A164-27C03B1641D5}"/>
    <cellStyle name="Normal 9 3 2 2 2 2 4 3 2" xfId="9063" xr:uid="{ED01B09A-9C08-4288-BE54-6F183157E8FE}"/>
    <cellStyle name="Normal 9 3 2 2 2 2 4 4" xfId="6565" xr:uid="{7308FEB9-A57C-4238-9B39-E9FF318FE464}"/>
    <cellStyle name="Normal 9 3 2 2 2 2 5" xfId="1899" xr:uid="{CD29C277-496E-4C32-A79A-B256EE6D4E15}"/>
    <cellStyle name="Normal 9 3 2 2 2 2 5 2" xfId="4397" xr:uid="{F01A7988-8BB0-4E01-BC84-B1E06F7F35F8}"/>
    <cellStyle name="Normal 9 3 2 2 2 2 5 2 2" xfId="9393" xr:uid="{52B8C0FF-8028-4858-A657-765EA40DE1B0}"/>
    <cellStyle name="Normal 9 3 2 2 2 2 5 3" xfId="6895" xr:uid="{9CAADED8-A8A6-4CC9-BF3B-AF5B7020BB38}"/>
    <cellStyle name="Normal 9 3 2 2 2 2 6" xfId="3148" xr:uid="{0B2EB843-DB62-4564-B3FA-2A9C6329D31F}"/>
    <cellStyle name="Normal 9 3 2 2 2 2 6 2" xfId="8144" xr:uid="{DC4FE6E9-C5F0-4DDF-B1BB-31062E5562A1}"/>
    <cellStyle name="Normal 9 3 2 2 2 2 7" xfId="5646" xr:uid="{566D0ABC-7AD3-48D7-9AC0-163FD517DAD6}"/>
    <cellStyle name="Normal 9 3 2 2 2 2 8" xfId="648" xr:uid="{FBD03B30-D2DB-4988-8AD4-82B639CC7EAD}"/>
    <cellStyle name="Normal 9 3 2 2 2 3" xfId="924" xr:uid="{DCE22296-DA6A-4AB8-B1AD-E370A49DF8F1}"/>
    <cellStyle name="Normal 9 3 2 2 2 3 2" xfId="2175" xr:uid="{28172E63-8680-42FB-8BF3-49CE301BEA98}"/>
    <cellStyle name="Normal 9 3 2 2 2 3 2 2" xfId="4673" xr:uid="{75D771EB-4B9A-4A95-A8CD-6254F2E1CA6F}"/>
    <cellStyle name="Normal 9 3 2 2 2 3 2 2 2" xfId="9669" xr:uid="{3DB7D6AD-534C-4E9E-A7D9-0E4D734C860C}"/>
    <cellStyle name="Normal 9 3 2 2 2 3 2 3" xfId="7171" xr:uid="{D5618CA2-A7FE-4428-8B08-CB3904372765}"/>
    <cellStyle name="Normal 9 3 2 2 2 3 3" xfId="3424" xr:uid="{7489E3D6-F900-41B4-8E0B-1C7BFFF4C0A9}"/>
    <cellStyle name="Normal 9 3 2 2 2 3 3 2" xfId="8420" xr:uid="{EA518C12-3032-4398-BE71-79DE801E0E0A}"/>
    <cellStyle name="Normal 9 3 2 2 2 3 4" xfId="5922" xr:uid="{1BD448DF-CF34-40CF-A493-CCC4CE26BFEE}"/>
    <cellStyle name="Normal 9 3 2 2 2 4" xfId="1237" xr:uid="{E1DB3EA4-2DD2-410B-A999-DA4BCFCD5BD3}"/>
    <cellStyle name="Normal 9 3 2 2 2 4 2" xfId="2487" xr:uid="{83B53F52-1880-4946-983A-FF411A70189A}"/>
    <cellStyle name="Normal 9 3 2 2 2 4 2 2" xfId="4985" xr:uid="{39165589-58F5-4630-906A-3DF878186630}"/>
    <cellStyle name="Normal 9 3 2 2 2 4 2 2 2" xfId="9981" xr:uid="{7CD97EC4-681E-4179-A783-22AEE4CB373B}"/>
    <cellStyle name="Normal 9 3 2 2 2 4 2 3" xfId="7483" xr:uid="{1839E3F4-3AC2-47C0-9C78-009F264FB69F}"/>
    <cellStyle name="Normal 9 3 2 2 2 4 3" xfId="3736" xr:uid="{101AE96F-DCCB-4E79-8D4C-11298C2C13CC}"/>
    <cellStyle name="Normal 9 3 2 2 2 4 3 2" xfId="8732" xr:uid="{30D6EE8F-E174-4643-A68F-C0C4CC1C7782}"/>
    <cellStyle name="Normal 9 3 2 2 2 4 4" xfId="6234" xr:uid="{0CA20854-E48B-4BCB-85FA-A6A7D511DBBE}"/>
    <cellStyle name="Normal 9 3 2 2 2 5" xfId="1344" xr:uid="{716CE423-84F1-4688-B30B-8B7B24609315}"/>
    <cellStyle name="Normal 9 3 2 2 2 5 2" xfId="2594" xr:uid="{A8F17A11-2309-4433-9E51-8463C52AF340}"/>
    <cellStyle name="Normal 9 3 2 2 2 5 2 2" xfId="5092" xr:uid="{E103D833-CD84-4DDC-ACE7-24C78B1087CA}"/>
    <cellStyle name="Normal 9 3 2 2 2 5 2 2 2" xfId="10088" xr:uid="{6490061F-79FB-42DA-8C31-6FF89D5A4A8C}"/>
    <cellStyle name="Normal 9 3 2 2 2 5 2 3" xfId="7590" xr:uid="{3BBFEB24-1D87-4CBA-A0B1-C082BA085133}"/>
    <cellStyle name="Normal 9 3 2 2 2 5 3" xfId="3843" xr:uid="{58C8BCB1-F6A0-48AB-B085-0D1ED32942DD}"/>
    <cellStyle name="Normal 9 3 2 2 2 5 3 2" xfId="8839" xr:uid="{F097D78A-D2F3-4D6A-93B0-50FC871F4B73}"/>
    <cellStyle name="Normal 9 3 2 2 2 5 4" xfId="6341" xr:uid="{370B2672-C640-407D-9BE5-4E23142540B4}"/>
    <cellStyle name="Normal 9 3 2 2 2 6" xfId="1675" xr:uid="{8B476959-70E6-41B3-8B77-4AE7BF84108A}"/>
    <cellStyle name="Normal 9 3 2 2 2 6 2" xfId="4173" xr:uid="{D042F840-455E-481E-AFBB-644917C8FA8B}"/>
    <cellStyle name="Normal 9 3 2 2 2 6 2 2" xfId="9169" xr:uid="{5E399FAD-8278-4B2E-9E7A-655850CD1AAE}"/>
    <cellStyle name="Normal 9 3 2 2 2 6 3" xfId="6671" xr:uid="{0D381C0A-B199-4C61-86CD-B20A83579515}"/>
    <cellStyle name="Normal 9 3 2 2 2 7" xfId="2924" xr:uid="{E63FCF08-7B55-4E48-A86E-4A194A98D19D}"/>
    <cellStyle name="Normal 9 3 2 2 2 7 2" xfId="7920" xr:uid="{54B0807D-65F4-43B2-82EF-15422C8D04E5}"/>
    <cellStyle name="Normal 9 3 2 2 2 8" xfId="5422" xr:uid="{04DB4DD4-E320-4496-84E6-845E79C66A4E}"/>
    <cellStyle name="Normal 9 3 2 2 2 9" xfId="424" xr:uid="{01896DF3-CABA-4438-A8D6-C7E2EDB01F2C}"/>
    <cellStyle name="Normal 9 3 2 2 3" xfId="307" xr:uid="{2B2015D5-7CFA-46A0-91F5-2FF55401BD6E}"/>
    <cellStyle name="Normal 9 3 2 2 3 2" xfId="926" xr:uid="{D3EBE4ED-6D57-47E8-86CC-DCB673C4469E}"/>
    <cellStyle name="Normal 9 3 2 2 3 2 2" xfId="2177" xr:uid="{10517609-8E2D-41FC-AABF-58FD8BE54456}"/>
    <cellStyle name="Normal 9 3 2 2 3 2 2 2" xfId="4675" xr:uid="{29E06C62-1A88-4DA8-A592-D85A7FF5FE2A}"/>
    <cellStyle name="Normal 9 3 2 2 3 2 2 2 2" xfId="9671" xr:uid="{485C3B1D-B0C2-4B6A-959C-2108EF161F28}"/>
    <cellStyle name="Normal 9 3 2 2 3 2 2 3" xfId="7173" xr:uid="{9E54D7BF-F389-4190-824B-9076AEDFF0E6}"/>
    <cellStyle name="Normal 9 3 2 2 3 2 3" xfId="3426" xr:uid="{A4FAA768-8BBA-4AD5-8804-CC6650255F17}"/>
    <cellStyle name="Normal 9 3 2 2 3 2 3 2" xfId="8422" xr:uid="{F0D38D4F-18F2-4DCA-885F-B6B9DA918586}"/>
    <cellStyle name="Normal 9 3 2 2 3 2 4" xfId="5924" xr:uid="{B8DF38EF-A451-4F7B-B0D5-2995B0536C95}"/>
    <cellStyle name="Normal 9 3 2 2 3 3" xfId="1239" xr:uid="{3964BE35-F53A-4EA0-8F8C-BBF13F2548B9}"/>
    <cellStyle name="Normal 9 3 2 2 3 3 2" xfId="2489" xr:uid="{E7B76368-0D47-49FB-8F8F-6F5D30FA8C7C}"/>
    <cellStyle name="Normal 9 3 2 2 3 3 2 2" xfId="4987" xr:uid="{22F313AE-5F59-47F6-8D5F-CF468516F6EE}"/>
    <cellStyle name="Normal 9 3 2 2 3 3 2 2 2" xfId="9983" xr:uid="{00434E16-6F84-4F67-9FB3-7E3803CF27AC}"/>
    <cellStyle name="Normal 9 3 2 2 3 3 2 3" xfId="7485" xr:uid="{4911DB46-8EC0-40F8-92CC-999F2FAB4596}"/>
    <cellStyle name="Normal 9 3 2 2 3 3 3" xfId="3738" xr:uid="{5D084CC0-5B77-4CCD-8906-03AC54B8E8DA}"/>
    <cellStyle name="Normal 9 3 2 2 3 3 3 2" xfId="8734" xr:uid="{92B71892-2D1A-4E13-9DAF-E226BEFCDDF4}"/>
    <cellStyle name="Normal 9 3 2 2 3 3 4" xfId="6236" xr:uid="{804AFD57-12E6-4AE1-9ADD-C30162C55C00}"/>
    <cellStyle name="Normal 9 3 2 2 3 4" xfId="1567" xr:uid="{D697475D-082C-4DCF-B7B3-8237B2887D82}"/>
    <cellStyle name="Normal 9 3 2 2 3 4 2" xfId="2817" xr:uid="{65BB7ABA-D05E-44A4-B47C-4AB4B58609D7}"/>
    <cellStyle name="Normal 9 3 2 2 3 4 2 2" xfId="5315" xr:uid="{EBCC923A-76C8-45F6-BA16-45C82C3CCEC5}"/>
    <cellStyle name="Normal 9 3 2 2 3 4 2 2 2" xfId="10311" xr:uid="{A02CA1FA-AF90-4ADF-B479-B7E0016C5C64}"/>
    <cellStyle name="Normal 9 3 2 2 3 4 2 3" xfId="7813" xr:uid="{635C7898-C3C7-4BA1-8EC2-9DB39411531F}"/>
    <cellStyle name="Normal 9 3 2 2 3 4 3" xfId="4066" xr:uid="{A4534DEE-9B97-49F0-BC71-1E72D4E992E9}"/>
    <cellStyle name="Normal 9 3 2 2 3 4 3 2" xfId="9062" xr:uid="{A1484B67-4AE7-4E7C-BFAD-D232F0703B58}"/>
    <cellStyle name="Normal 9 3 2 2 3 4 4" xfId="6564" xr:uid="{7E9E1F73-030A-407E-BC82-DC730C654716}"/>
    <cellStyle name="Normal 9 3 2 2 3 5" xfId="1898" xr:uid="{7BCDF5D4-FD1F-4401-8C2B-B5EB0C3EC709}"/>
    <cellStyle name="Normal 9 3 2 2 3 5 2" xfId="4396" xr:uid="{D004BC9C-DEB7-490A-AE5B-29E4AF3D5AF7}"/>
    <cellStyle name="Normal 9 3 2 2 3 5 2 2" xfId="9392" xr:uid="{80D0244F-52D0-4D7F-9739-AB4F5AC05190}"/>
    <cellStyle name="Normal 9 3 2 2 3 5 3" xfId="6894" xr:uid="{ECCA88C0-6EA0-47CD-8226-8ED96238C129}"/>
    <cellStyle name="Normal 9 3 2 2 3 6" xfId="3147" xr:uid="{7D4AF009-DE4E-4AE4-A04C-FAABBF02770C}"/>
    <cellStyle name="Normal 9 3 2 2 3 6 2" xfId="8143" xr:uid="{76DD9AB4-0D1F-4746-9C0A-9395187FC2E6}"/>
    <cellStyle name="Normal 9 3 2 2 3 7" xfId="5645" xr:uid="{E028C4C4-144D-4574-9984-E1A8695DF83B}"/>
    <cellStyle name="Normal 9 3 2 2 3 8" xfId="647" xr:uid="{C2D15DAC-929B-4DC3-B860-2D52485296DD}"/>
    <cellStyle name="Normal 9 3 2 2 4" xfId="923" xr:uid="{D35FF5C1-899E-4A1A-9341-E1B6B251A757}"/>
    <cellStyle name="Normal 9 3 2 2 4 2" xfId="2174" xr:uid="{76525B51-C48E-422E-BEAC-9EFF6D175B29}"/>
    <cellStyle name="Normal 9 3 2 2 4 2 2" xfId="4672" xr:uid="{F3EFB2EC-0A5A-4795-9F27-58CD8869A48B}"/>
    <cellStyle name="Normal 9 3 2 2 4 2 2 2" xfId="9668" xr:uid="{18AF84CC-16DA-4AD3-A0FE-222D6902716B}"/>
    <cellStyle name="Normal 9 3 2 2 4 2 3" xfId="7170" xr:uid="{BEB16929-3925-425C-8DFA-2167BAE2963A}"/>
    <cellStyle name="Normal 9 3 2 2 4 3" xfId="3423" xr:uid="{79A62E07-821C-4A62-8512-C22B1766A06A}"/>
    <cellStyle name="Normal 9 3 2 2 4 3 2" xfId="8419" xr:uid="{4D0E551B-BB6C-4CC0-8B7F-83B5C3957DB2}"/>
    <cellStyle name="Normal 9 3 2 2 4 4" xfId="5921" xr:uid="{E272267F-0E84-4CBE-AEF6-25AA1C8238BA}"/>
    <cellStyle name="Normal 9 3 2 2 5" xfId="1236" xr:uid="{6C521CAF-69A3-4207-9B9A-34071A7DC71B}"/>
    <cellStyle name="Normal 9 3 2 2 5 2" xfId="2486" xr:uid="{78069078-291F-4EF9-B955-C1D9A900EFFC}"/>
    <cellStyle name="Normal 9 3 2 2 5 2 2" xfId="4984" xr:uid="{D877AF21-87D7-44F2-9340-72E34BB0896B}"/>
    <cellStyle name="Normal 9 3 2 2 5 2 2 2" xfId="9980" xr:uid="{929C5732-0D52-4318-960D-5C1065F72D87}"/>
    <cellStyle name="Normal 9 3 2 2 5 2 3" xfId="7482" xr:uid="{8AFA987C-4DD3-4053-9EC5-B7D9359DEF36}"/>
    <cellStyle name="Normal 9 3 2 2 5 3" xfId="3735" xr:uid="{6694215E-E75D-477B-8809-F16CC89588A0}"/>
    <cellStyle name="Normal 9 3 2 2 5 3 2" xfId="8731" xr:uid="{9401A15D-CC38-4ABF-B956-8A50EF27F6D8}"/>
    <cellStyle name="Normal 9 3 2 2 5 4" xfId="6233" xr:uid="{0E1E0411-AD6C-406F-9B84-B2562A1FC71B}"/>
    <cellStyle name="Normal 9 3 2 2 6" xfId="1340" xr:uid="{3985C28A-1068-4EC5-B706-C4466F3EB2AE}"/>
    <cellStyle name="Normal 9 3 2 2 6 2" xfId="2590" xr:uid="{C854F272-4714-43AD-99F9-38DEAD440308}"/>
    <cellStyle name="Normal 9 3 2 2 6 2 2" xfId="5088" xr:uid="{701AC726-117D-446F-857A-30DCAB534173}"/>
    <cellStyle name="Normal 9 3 2 2 6 2 2 2" xfId="10084" xr:uid="{37A8F346-91A6-4142-A378-B14534C6B26E}"/>
    <cellStyle name="Normal 9 3 2 2 6 2 3" xfId="7586" xr:uid="{5B5927BE-DA35-48E2-B535-94D516BB6FC1}"/>
    <cellStyle name="Normal 9 3 2 2 6 3" xfId="3839" xr:uid="{64C45725-9413-4522-96F8-E5F6AB7D5665}"/>
    <cellStyle name="Normal 9 3 2 2 6 3 2" xfId="8835" xr:uid="{CC3B9199-9EBF-4DD9-BE03-3F71A3EEEF45}"/>
    <cellStyle name="Normal 9 3 2 2 6 4" xfId="6337" xr:uid="{5F6F4FE2-12D4-4FDA-B7BE-C60020F243B7}"/>
    <cellStyle name="Normal 9 3 2 2 7" xfId="1671" xr:uid="{77450EA8-2F57-4F56-BA93-55447EE2D8C9}"/>
    <cellStyle name="Normal 9 3 2 2 7 2" xfId="4169" xr:uid="{1DB29B7B-7E19-47BA-96D9-BDA3ACF9E30C}"/>
    <cellStyle name="Normal 9 3 2 2 7 2 2" xfId="9165" xr:uid="{A55C1A89-0606-447B-A9E8-8B71D377C059}"/>
    <cellStyle name="Normal 9 3 2 2 7 3" xfId="6667" xr:uid="{136DE2D9-7A29-43B0-A4DB-1507A46E6165}"/>
    <cellStyle name="Normal 9 3 2 2 8" xfId="2920" xr:uid="{91BABADF-02D3-451B-871B-A9B909480FD2}"/>
    <cellStyle name="Normal 9 3 2 2 8 2" xfId="7916" xr:uid="{6F21EEC1-AA4D-45E5-B1EF-4766046A38AC}"/>
    <cellStyle name="Normal 9 3 2 2 9" xfId="5418" xr:uid="{21DD1096-CE19-41DA-995F-C69175CA8E1A}"/>
    <cellStyle name="Normal 9 3 2 3" xfId="308" xr:uid="{081167F9-EDAA-4EE9-A54B-135A1250BE63}"/>
    <cellStyle name="Normal 9 3 2 3 2" xfId="309" xr:uid="{2C01264A-F8FF-4F21-BA46-12EEAEF07149}"/>
    <cellStyle name="Normal 9 3 2 3 2 2" xfId="928" xr:uid="{C52AC099-2ECE-4DCE-A405-63D56C095F8C}"/>
    <cellStyle name="Normal 9 3 2 3 2 2 2" xfId="2179" xr:uid="{20969C6E-EE3C-451B-A0E0-F59A1326F42A}"/>
    <cellStyle name="Normal 9 3 2 3 2 2 2 2" xfId="4677" xr:uid="{2D4A19D8-9A68-4F31-964B-92CA3EE9DB03}"/>
    <cellStyle name="Normal 9 3 2 3 2 2 2 2 2" xfId="9673" xr:uid="{C0C51F7F-C8B1-4855-8C0E-94831A0E6F2D}"/>
    <cellStyle name="Normal 9 3 2 3 2 2 2 3" xfId="7175" xr:uid="{BBF5AEA8-EACD-4587-990A-69B4B27A3CD1}"/>
    <cellStyle name="Normal 9 3 2 3 2 2 3" xfId="3428" xr:uid="{BAD3F0FD-5E9F-4001-8B76-4498F6C0ADD1}"/>
    <cellStyle name="Normal 9 3 2 3 2 2 3 2" xfId="8424" xr:uid="{8726A22C-D8DC-42E4-AC28-3977723B2680}"/>
    <cellStyle name="Normal 9 3 2 3 2 2 4" xfId="5926" xr:uid="{A5322DF9-D483-4E44-A96F-96350B0D5BFA}"/>
    <cellStyle name="Normal 9 3 2 3 2 3" xfId="1241" xr:uid="{35F0B54C-66CB-4B2B-94EE-1A689942AA22}"/>
    <cellStyle name="Normal 9 3 2 3 2 3 2" xfId="2491" xr:uid="{4F2D9071-4CFD-4962-A2A9-BCAE7F3DD946}"/>
    <cellStyle name="Normal 9 3 2 3 2 3 2 2" xfId="4989" xr:uid="{25E2D609-4A10-49FD-B31B-882D1A6C4B54}"/>
    <cellStyle name="Normal 9 3 2 3 2 3 2 2 2" xfId="9985" xr:uid="{D958E250-101B-4EDF-8E02-87454F79D628}"/>
    <cellStyle name="Normal 9 3 2 3 2 3 2 3" xfId="7487" xr:uid="{1750277F-EFD5-4C45-AA9B-DA729D03DF5B}"/>
    <cellStyle name="Normal 9 3 2 3 2 3 3" xfId="3740" xr:uid="{5F279220-531E-4267-A971-DA3D0291C172}"/>
    <cellStyle name="Normal 9 3 2 3 2 3 3 2" xfId="8736" xr:uid="{34315735-5D64-4D15-9876-0BABCCCFE047}"/>
    <cellStyle name="Normal 9 3 2 3 2 3 4" xfId="6238" xr:uid="{21CF5DDB-5FB2-432B-B9FC-5FD9BA89C96C}"/>
    <cellStyle name="Normal 9 3 2 3 2 4" xfId="1569" xr:uid="{17F48C46-D6C2-45EE-B5BE-FEC8C10AD818}"/>
    <cellStyle name="Normal 9 3 2 3 2 4 2" xfId="2819" xr:uid="{3A9F3511-202F-4624-9229-213D2259FF60}"/>
    <cellStyle name="Normal 9 3 2 3 2 4 2 2" xfId="5317" xr:uid="{9B671A78-31A0-403B-9E0B-363FA4D4F481}"/>
    <cellStyle name="Normal 9 3 2 3 2 4 2 2 2" xfId="10313" xr:uid="{024D66FA-4BD5-4C40-9E09-1B6122A975D4}"/>
    <cellStyle name="Normal 9 3 2 3 2 4 2 3" xfId="7815" xr:uid="{6B1B399A-6E8B-4CF5-9F21-0975B21794C4}"/>
    <cellStyle name="Normal 9 3 2 3 2 4 3" xfId="4068" xr:uid="{153DF6F2-388C-4A0D-9942-12F63F0E6371}"/>
    <cellStyle name="Normal 9 3 2 3 2 4 3 2" xfId="9064" xr:uid="{80D507A2-91B3-41BF-B544-C2A0F66476E9}"/>
    <cellStyle name="Normal 9 3 2 3 2 4 4" xfId="6566" xr:uid="{1CBB54D9-362E-447F-BDFD-F1CC4A82B758}"/>
    <cellStyle name="Normal 9 3 2 3 2 5" xfId="1900" xr:uid="{EDECBC70-7A30-4451-B494-44107FBC3676}"/>
    <cellStyle name="Normal 9 3 2 3 2 5 2" xfId="4398" xr:uid="{C33A5587-D4A2-4DCF-BE92-9BEE07E814B3}"/>
    <cellStyle name="Normal 9 3 2 3 2 5 2 2" xfId="9394" xr:uid="{5672C704-BAB5-44B7-B3D4-B13394B7E9AD}"/>
    <cellStyle name="Normal 9 3 2 3 2 5 3" xfId="6896" xr:uid="{318CB48E-4D06-4EAF-BDA5-27532EE4EF0C}"/>
    <cellStyle name="Normal 9 3 2 3 2 6" xfId="3149" xr:uid="{77584072-E1F1-4162-8AB0-07329827C869}"/>
    <cellStyle name="Normal 9 3 2 3 2 6 2" xfId="8145" xr:uid="{5149916C-30E2-4EC7-8344-129D0027E0AE}"/>
    <cellStyle name="Normal 9 3 2 3 2 7" xfId="5647" xr:uid="{97D11BF6-3605-47FA-AAFB-FF56210C6569}"/>
    <cellStyle name="Normal 9 3 2 3 2 8" xfId="649" xr:uid="{3965F9D1-9598-490D-BE94-1EBCB4173F77}"/>
    <cellStyle name="Normal 9 3 2 3 3" xfId="927" xr:uid="{8121BCCA-E47B-48EF-944E-74C7E1FC5EE0}"/>
    <cellStyle name="Normal 9 3 2 3 3 2" xfId="2178" xr:uid="{E34006B2-C544-4444-936B-39A6EB2B5C3F}"/>
    <cellStyle name="Normal 9 3 2 3 3 2 2" xfId="4676" xr:uid="{12944D3D-A0A3-4B75-A369-9974F614B6BA}"/>
    <cellStyle name="Normal 9 3 2 3 3 2 2 2" xfId="9672" xr:uid="{8B96303C-5B19-4CB8-89C8-7DBBDEE53312}"/>
    <cellStyle name="Normal 9 3 2 3 3 2 3" xfId="7174" xr:uid="{65A0849E-7EA8-4BB4-8B95-29311E025FEE}"/>
    <cellStyle name="Normal 9 3 2 3 3 3" xfId="3427" xr:uid="{9AD8B4E0-E3A2-425F-A2F6-3349DC326100}"/>
    <cellStyle name="Normal 9 3 2 3 3 3 2" xfId="8423" xr:uid="{8192E115-9BFC-4001-A24C-CEFEC1F8417D}"/>
    <cellStyle name="Normal 9 3 2 3 3 4" xfId="5925" xr:uid="{2B1DA9B6-1469-4E8C-999E-9842FE9D5F8A}"/>
    <cellStyle name="Normal 9 3 2 3 4" xfId="1240" xr:uid="{7EC26AB5-75B2-43DE-97E9-F83357C3742E}"/>
    <cellStyle name="Normal 9 3 2 3 4 2" xfId="2490" xr:uid="{34B9E4D2-022A-40BD-985F-EDDF733B5D27}"/>
    <cellStyle name="Normal 9 3 2 3 4 2 2" xfId="4988" xr:uid="{C2AF89EC-A075-4C9A-B60C-B62E89274827}"/>
    <cellStyle name="Normal 9 3 2 3 4 2 2 2" xfId="9984" xr:uid="{355F82B8-E1F0-4AC1-9646-7ED8C4352055}"/>
    <cellStyle name="Normal 9 3 2 3 4 2 3" xfId="7486" xr:uid="{8F6C0DDC-988F-4A39-8832-F57484CD4CAA}"/>
    <cellStyle name="Normal 9 3 2 3 4 3" xfId="3739" xr:uid="{0545E238-E5A9-434C-BF97-F8AF0E490D31}"/>
    <cellStyle name="Normal 9 3 2 3 4 3 2" xfId="8735" xr:uid="{AFC7EE54-4F03-4278-AABE-AE618EBA6404}"/>
    <cellStyle name="Normal 9 3 2 3 4 4" xfId="6237" xr:uid="{93739461-B5F7-407B-874B-781EE7ADDFA2}"/>
    <cellStyle name="Normal 9 3 2 3 5" xfId="1435" xr:uid="{426BC6C0-1506-47DD-B8AC-D85217216097}"/>
    <cellStyle name="Normal 9 3 2 3 5 2" xfId="2685" xr:uid="{CE288E11-655C-4555-B59F-D074BA16C027}"/>
    <cellStyle name="Normal 9 3 2 3 5 2 2" xfId="5183" xr:uid="{A2D6161D-B25F-493B-BC3B-142F2E1669B2}"/>
    <cellStyle name="Normal 9 3 2 3 5 2 2 2" xfId="10179" xr:uid="{F93C0F31-C885-4B15-B625-9479B158536E}"/>
    <cellStyle name="Normal 9 3 2 3 5 2 3" xfId="7681" xr:uid="{DF82324E-5621-4CA2-B039-7EE904742652}"/>
    <cellStyle name="Normal 9 3 2 3 5 3" xfId="3934" xr:uid="{FD339AC5-F556-42E4-8C17-4B3841FE4A79}"/>
    <cellStyle name="Normal 9 3 2 3 5 3 2" xfId="8930" xr:uid="{F863F023-72BD-438D-A5AD-A30D537FF30B}"/>
    <cellStyle name="Normal 9 3 2 3 5 4" xfId="6432" xr:uid="{CA08B7A9-5A11-49B7-B4C7-85E665D36B21}"/>
    <cellStyle name="Normal 9 3 2 3 6" xfId="1766" xr:uid="{A90BC4A4-03FE-4C43-A90C-4ACF36663B9E}"/>
    <cellStyle name="Normal 9 3 2 3 6 2" xfId="4264" xr:uid="{A5E4212B-B9E2-40BC-AEDC-8BF58343986E}"/>
    <cellStyle name="Normal 9 3 2 3 6 2 2" xfId="9260" xr:uid="{80B19CF5-CECD-465B-BCB2-F7BA29A8714D}"/>
    <cellStyle name="Normal 9 3 2 3 6 3" xfId="6762" xr:uid="{6219C842-91F5-4E55-8D21-88F32166C4EE}"/>
    <cellStyle name="Normal 9 3 2 3 7" xfId="3015" xr:uid="{B8F5A1DD-A8DB-467D-89CE-D4A44BF97BDA}"/>
    <cellStyle name="Normal 9 3 2 3 7 2" xfId="8011" xr:uid="{760A04BA-348D-4DAF-9BE4-C45D3AEDD416}"/>
    <cellStyle name="Normal 9 3 2 3 8" xfId="5513" xr:uid="{1B6AB559-0E9C-4AA3-86F6-87D9CB24325D}"/>
    <cellStyle name="Normal 9 3 2 3 9" xfId="515" xr:uid="{6046A2E3-6704-4A3E-A42B-1996B98897F1}"/>
    <cellStyle name="Normal 9 3 2 4" xfId="310" xr:uid="{FDD262A6-19D6-404B-AB14-149986D3F7D1}"/>
    <cellStyle name="Normal 9 3 2 4 2" xfId="929" xr:uid="{903BBB43-2AC5-4868-97DC-FB6599FCE726}"/>
    <cellStyle name="Normal 9 3 2 4 2 2" xfId="2180" xr:uid="{66D55115-D487-4B60-919C-684A188EA9FF}"/>
    <cellStyle name="Normal 9 3 2 4 2 2 2" xfId="4678" xr:uid="{4D30B959-08D9-42DC-8ADE-ACC7CA22636C}"/>
    <cellStyle name="Normal 9 3 2 4 2 2 2 2" xfId="9674" xr:uid="{891D7DD0-D44C-4B6F-8CA6-C65FACD7055F}"/>
    <cellStyle name="Normal 9 3 2 4 2 2 3" xfId="7176" xr:uid="{C7812EAE-7ECB-4ECF-BD2F-943D59747E3D}"/>
    <cellStyle name="Normal 9 3 2 4 2 3" xfId="3429" xr:uid="{483C347B-59C6-435E-BCDB-2265E2591883}"/>
    <cellStyle name="Normal 9 3 2 4 2 3 2" xfId="8425" xr:uid="{95ACBFE9-6BE7-4763-8369-E6B022099C96}"/>
    <cellStyle name="Normal 9 3 2 4 2 4" xfId="5927" xr:uid="{8298F3C1-CDEF-4D88-999C-90C4B4A54D79}"/>
    <cellStyle name="Normal 9 3 2 4 3" xfId="1242" xr:uid="{873594A1-0257-4633-A76F-D54CC2DE0533}"/>
    <cellStyle name="Normal 9 3 2 4 3 2" xfId="2492" xr:uid="{B1FE0554-91B4-4E48-854B-8005F88AE69B}"/>
    <cellStyle name="Normal 9 3 2 4 3 2 2" xfId="4990" xr:uid="{FCA7CBA1-FA5F-4152-9F09-F598BE610D48}"/>
    <cellStyle name="Normal 9 3 2 4 3 2 2 2" xfId="9986" xr:uid="{4BA0DC71-7AAD-4AF4-A38C-CBD5CEB103A7}"/>
    <cellStyle name="Normal 9 3 2 4 3 2 3" xfId="7488" xr:uid="{0CD79773-E8F8-49E1-B015-339C0614C2B2}"/>
    <cellStyle name="Normal 9 3 2 4 3 3" xfId="3741" xr:uid="{1BD520DC-173C-4C6C-9A9C-EEED2A0A96AB}"/>
    <cellStyle name="Normal 9 3 2 4 3 3 2" xfId="8737" xr:uid="{0F601160-71BC-41A5-B210-C442D3B027A7}"/>
    <cellStyle name="Normal 9 3 2 4 3 4" xfId="6239" xr:uid="{2752B111-390C-47B4-AE24-8FF6122EDD55}"/>
    <cellStyle name="Normal 9 3 2 4 4" xfId="1566" xr:uid="{54382CF1-8782-4165-87EE-E5E57B74FBE7}"/>
    <cellStyle name="Normal 9 3 2 4 4 2" xfId="2816" xr:uid="{3F38F24A-7FB7-4479-A544-610AC89060C8}"/>
    <cellStyle name="Normal 9 3 2 4 4 2 2" xfId="5314" xr:uid="{E8178083-7F6D-45C8-8E4C-251CEB93210E}"/>
    <cellStyle name="Normal 9 3 2 4 4 2 2 2" xfId="10310" xr:uid="{9EA54E7B-D6CE-49C3-98E4-A3E9ADA0D902}"/>
    <cellStyle name="Normal 9 3 2 4 4 2 3" xfId="7812" xr:uid="{BA30C9C1-305C-4826-98FE-A68F88FB3F97}"/>
    <cellStyle name="Normal 9 3 2 4 4 3" xfId="4065" xr:uid="{A08AF29C-3BAB-4FB0-BE61-2B89742C433A}"/>
    <cellStyle name="Normal 9 3 2 4 4 3 2" xfId="9061" xr:uid="{C6DEFF96-F390-49D3-AECD-7F5BD6999947}"/>
    <cellStyle name="Normal 9 3 2 4 4 4" xfId="6563" xr:uid="{AF7654E9-F6B3-4327-8CD2-E47C0F090E7F}"/>
    <cellStyle name="Normal 9 3 2 4 5" xfId="1897" xr:uid="{8103467F-6AFD-4F00-8689-7D2ADEA422C9}"/>
    <cellStyle name="Normal 9 3 2 4 5 2" xfId="4395" xr:uid="{6C6718AA-AC91-4064-A330-6EBD6D980E62}"/>
    <cellStyle name="Normal 9 3 2 4 5 2 2" xfId="9391" xr:uid="{9CD45A87-357B-445D-A047-45D27038A798}"/>
    <cellStyle name="Normal 9 3 2 4 5 3" xfId="6893" xr:uid="{6E89C597-EAE9-493A-9CB1-EF9A6CBBADC3}"/>
    <cellStyle name="Normal 9 3 2 4 6" xfId="3146" xr:uid="{E93A5E05-9665-4DE4-8633-B13DC84BC800}"/>
    <cellStyle name="Normal 9 3 2 4 6 2" xfId="8142" xr:uid="{8EFD92AD-A976-457B-AC55-896C2D0A0A42}"/>
    <cellStyle name="Normal 9 3 2 4 7" xfId="5644" xr:uid="{B83416E7-3BA0-4A8F-B784-BD89C1A1E6E2}"/>
    <cellStyle name="Normal 9 3 2 4 8" xfId="646" xr:uid="{3120FB0D-BEE5-41B2-9385-56E6C98815DA}"/>
    <cellStyle name="Normal 9 3 2 5" xfId="732" xr:uid="{91B159C9-62A4-4FDB-90D8-0D24A9DFA329}"/>
    <cellStyle name="Normal 9 3 2 5 2" xfId="1983" xr:uid="{3B13C224-359C-4E21-97E6-9EAF47E0DEC2}"/>
    <cellStyle name="Normal 9 3 2 5 2 2" xfId="4481" xr:uid="{D690681F-AF9F-4F71-BD3F-D19E6261BA2F}"/>
    <cellStyle name="Normal 9 3 2 5 2 2 2" xfId="9477" xr:uid="{81CED0AB-D65A-4849-9C16-D7A88B5C4A99}"/>
    <cellStyle name="Normal 9 3 2 5 2 3" xfId="6979" xr:uid="{740C7575-F068-48F9-9A23-F0ADA4F24D2F}"/>
    <cellStyle name="Normal 9 3 2 5 3" xfId="3232" xr:uid="{252DD377-34B6-4C7B-883D-8A06CBC1A14E}"/>
    <cellStyle name="Normal 9 3 2 5 3 2" xfId="8228" xr:uid="{B48532F8-191C-4675-AC10-B6BB05625E47}"/>
    <cellStyle name="Normal 9 3 2 5 4" xfId="5730" xr:uid="{67407924-1B47-4AD6-A6A8-8ACE20E24315}"/>
    <cellStyle name="Normal 9 3 2 6" xfId="1045" xr:uid="{C1777B86-3C33-4D06-9A42-7D2C10023480}"/>
    <cellStyle name="Normal 9 3 2 6 2" xfId="2295" xr:uid="{77C771F3-CDA8-4A60-B0DC-E397E84F1F46}"/>
    <cellStyle name="Normal 9 3 2 6 2 2" xfId="4793" xr:uid="{C7C76A3D-8D9D-4AFA-B4F5-98240A453F16}"/>
    <cellStyle name="Normal 9 3 2 6 2 2 2" xfId="9789" xr:uid="{58442E8D-89ED-4D29-A158-894F294A59A5}"/>
    <cellStyle name="Normal 9 3 2 6 2 3" xfId="7291" xr:uid="{AAFFE87C-A063-4E05-ADAA-02FD972A63C1}"/>
    <cellStyle name="Normal 9 3 2 6 3" xfId="3544" xr:uid="{790ADEF2-C4D3-4EDD-B562-CA6D59A65954}"/>
    <cellStyle name="Normal 9 3 2 6 3 2" xfId="8540" xr:uid="{2B93450C-007A-4E3D-BDBE-DA1D502B9962}"/>
    <cellStyle name="Normal 9 3 2 6 4" xfId="6042" xr:uid="{0635988F-11B0-45BC-9F2B-52114D97F37E}"/>
    <cellStyle name="Normal 9 3 2 7" xfId="1336" xr:uid="{05B8D163-6912-47C0-89A2-AC3F0D84B5AE}"/>
    <cellStyle name="Normal 9 3 2 7 2" xfId="2586" xr:uid="{55BCB960-F6CA-46A5-896E-A4CB8A15F141}"/>
    <cellStyle name="Normal 9 3 2 7 2 2" xfId="5084" xr:uid="{0B0E57A3-0727-4A32-8D25-B0F1891EDEB4}"/>
    <cellStyle name="Normal 9 3 2 7 2 2 2" xfId="10080" xr:uid="{A66710FB-0D12-41DC-8770-12383FDD2FB1}"/>
    <cellStyle name="Normal 9 3 2 7 2 3" xfId="7582" xr:uid="{2D01876B-90F7-4F05-B8A6-A84569E6E225}"/>
    <cellStyle name="Normal 9 3 2 7 3" xfId="3835" xr:uid="{F2A7CAF7-3E7A-4F6F-81F1-F3DD15B5301B}"/>
    <cellStyle name="Normal 9 3 2 7 3 2" xfId="8831" xr:uid="{63C74622-E470-4730-A1D2-51CD1A18FFB2}"/>
    <cellStyle name="Normal 9 3 2 7 4" xfId="6333" xr:uid="{18E96688-33DC-4C8C-BA1F-C0D426C9E962}"/>
    <cellStyle name="Normal 9 3 2 8" xfId="1667" xr:uid="{7E100AC4-1C03-4167-8AB2-EA6720174E69}"/>
    <cellStyle name="Normal 9 3 2 8 2" xfId="4165" xr:uid="{227229BC-B348-40D0-B941-AF16E1EFDE4A}"/>
    <cellStyle name="Normal 9 3 2 8 2 2" xfId="9161" xr:uid="{363B47F9-66EA-4E16-9D4E-CAE2D159D701}"/>
    <cellStyle name="Normal 9 3 2 8 3" xfId="6663" xr:uid="{3A608F86-B078-4426-A999-14927BF0812D}"/>
    <cellStyle name="Normal 9 3 2 9" xfId="2916" xr:uid="{EADAA5FD-F991-4D87-9016-43497454C606}"/>
    <cellStyle name="Normal 9 3 2 9 2" xfId="7912" xr:uid="{04B8AE7E-3647-451D-906A-836411280BAE}"/>
    <cellStyle name="Normal 9 3 3" xfId="102" xr:uid="{08145FE7-CFAD-4F81-BABE-9BD3563722D6}"/>
    <cellStyle name="Normal 9 3 3 2" xfId="311" xr:uid="{C90D5799-9C2C-4169-92BE-685C526BC141}"/>
    <cellStyle name="Normal 9 3 3 2 2" xfId="930" xr:uid="{562E41C8-FA67-4B49-92A3-380EF06152FF}"/>
    <cellStyle name="Normal 9 3 3 2 2 2" xfId="2181" xr:uid="{BCAF1A1A-698C-4459-ADBA-2C35DBEB2278}"/>
    <cellStyle name="Normal 9 3 3 2 2 2 2" xfId="4679" xr:uid="{25DA7A3C-8C1B-4BBE-AE30-E5DFA0A60EC5}"/>
    <cellStyle name="Normal 9 3 3 2 2 2 2 2" xfId="9675" xr:uid="{72A2C827-277A-4E64-93BA-1D421E9B725A}"/>
    <cellStyle name="Normal 9 3 3 2 2 2 3" xfId="7177" xr:uid="{AEBBFB10-7DF2-4F3E-8E51-9CCC9E65BFCB}"/>
    <cellStyle name="Normal 9 3 3 2 2 3" xfId="3430" xr:uid="{1BA9E6FF-F03B-43CD-8D26-1C2161FBF5A2}"/>
    <cellStyle name="Normal 9 3 3 2 2 3 2" xfId="8426" xr:uid="{0B2E0CF2-67F4-43EF-9002-7015AB940D24}"/>
    <cellStyle name="Normal 9 3 3 2 2 4" xfId="5928" xr:uid="{AD9F3434-00E0-4BC7-9E22-B18B1449D2EC}"/>
    <cellStyle name="Normal 9 3 3 2 3" xfId="1243" xr:uid="{47626779-8021-47B0-AA2B-6DF8EBDCFB37}"/>
    <cellStyle name="Normal 9 3 3 2 3 2" xfId="2493" xr:uid="{413A1125-C9FD-4C7B-8B55-C7906B001F16}"/>
    <cellStyle name="Normal 9 3 3 2 3 2 2" xfId="4991" xr:uid="{7BD5D745-8986-4D5F-AB3A-E46B3A603AC4}"/>
    <cellStyle name="Normal 9 3 3 2 3 2 2 2" xfId="9987" xr:uid="{310A1BAE-FD53-475F-A909-AFB131C1C119}"/>
    <cellStyle name="Normal 9 3 3 2 3 2 3" xfId="7489" xr:uid="{CACEBC76-11A8-45FC-9498-09D95450FA45}"/>
    <cellStyle name="Normal 9 3 3 2 3 3" xfId="3742" xr:uid="{A5178BBE-D9EC-41F9-A6F4-F18DA7EF49AC}"/>
    <cellStyle name="Normal 9 3 3 2 3 3 2" xfId="8738" xr:uid="{78AD3197-B3C9-4393-B3C4-1E568B659A45}"/>
    <cellStyle name="Normal 9 3 3 2 3 4" xfId="6240" xr:uid="{83C3E83F-FA39-4C13-97FB-21244ED23DE7}"/>
    <cellStyle name="Normal 9 3 3 2 4" xfId="1570" xr:uid="{8D5C0FE1-3E2A-4EF6-B08C-D8185E3F5989}"/>
    <cellStyle name="Normal 9 3 3 2 4 2" xfId="2820" xr:uid="{6B87AA1B-1B9C-4425-A6CD-9FFE64FF98BC}"/>
    <cellStyle name="Normal 9 3 3 2 4 2 2" xfId="5318" xr:uid="{4C540B90-9A97-4631-A556-3B5CA7117619}"/>
    <cellStyle name="Normal 9 3 3 2 4 2 2 2" xfId="10314" xr:uid="{664208DB-E189-49D0-B5CE-506CA4975DBE}"/>
    <cellStyle name="Normal 9 3 3 2 4 2 3" xfId="7816" xr:uid="{E72E0711-5D96-40FF-AE3A-237ACB399332}"/>
    <cellStyle name="Normal 9 3 3 2 4 3" xfId="4069" xr:uid="{0EF0217F-1502-406C-8A91-69D2B3B86503}"/>
    <cellStyle name="Normal 9 3 3 2 4 3 2" xfId="9065" xr:uid="{DA7DCB92-09BD-4E70-8E2F-895B758DBBB9}"/>
    <cellStyle name="Normal 9 3 3 2 4 4" xfId="6567" xr:uid="{F91A8776-B714-4F5B-B8CE-E4BCC9A6A8BD}"/>
    <cellStyle name="Normal 9 3 3 2 5" xfId="1901" xr:uid="{1C3C32DF-6DCC-42DA-847E-13F99C94162E}"/>
    <cellStyle name="Normal 9 3 3 2 5 2" xfId="4399" xr:uid="{7055D86F-E7FE-4CD8-84D2-38539BA7A397}"/>
    <cellStyle name="Normal 9 3 3 2 5 2 2" xfId="9395" xr:uid="{7FE75AF4-476C-446E-B7D1-4E36D3411EC6}"/>
    <cellStyle name="Normal 9 3 3 2 5 3" xfId="6897" xr:uid="{666856DF-EDF0-4B86-9B71-6663AA573521}"/>
    <cellStyle name="Normal 9 3 3 2 6" xfId="3150" xr:uid="{BBA25AA6-157F-48FD-8C2F-FEC58125C727}"/>
    <cellStyle name="Normal 9 3 3 2 6 2" xfId="8146" xr:uid="{44C613E6-3179-48F7-8001-B9FA71CAB0F8}"/>
    <cellStyle name="Normal 9 3 3 2 7" xfId="5648" xr:uid="{7981E2CC-5DCB-4996-9D02-A7109418B775}"/>
    <cellStyle name="Normal 9 3 3 2 8" xfId="650" xr:uid="{30C77668-5485-40E9-BF98-0A6C86A94A0E}"/>
    <cellStyle name="Normal 9 3 3 3" xfId="756" xr:uid="{375F5046-F66F-4CD0-BBB4-782B8DACF9B0}"/>
    <cellStyle name="Normal 9 3 3 3 2" xfId="2007" xr:uid="{668B3BDC-0D11-42F9-9510-C89C2D04B42B}"/>
    <cellStyle name="Normal 9 3 3 3 2 2" xfId="4505" xr:uid="{071EAD2D-A2A0-426E-AB57-E8AD4CE2AF75}"/>
    <cellStyle name="Normal 9 3 3 3 2 2 2" xfId="9501" xr:uid="{015CE147-6453-41B8-9C7B-93E1FCFA0728}"/>
    <cellStyle name="Normal 9 3 3 3 2 3" xfId="7003" xr:uid="{FBA96AA0-82E1-4C8F-8B40-38EEC8E0B107}"/>
    <cellStyle name="Normal 9 3 3 3 3" xfId="3256" xr:uid="{C519499A-FE3E-4380-BB78-EBCD7738DBF3}"/>
    <cellStyle name="Normal 9 3 3 3 3 2" xfId="8252" xr:uid="{3DA958F9-5D10-4685-9499-D3FDCA66A366}"/>
    <cellStyle name="Normal 9 3 3 3 4" xfId="5754" xr:uid="{124458BB-9FD7-4924-A443-98BCE1E183B7}"/>
    <cellStyle name="Normal 9 3 3 4" xfId="1069" xr:uid="{EBB57B5D-ADF3-47C4-82C5-49319F28229E}"/>
    <cellStyle name="Normal 9 3 3 4 2" xfId="2319" xr:uid="{9B35A4B9-CC7D-4058-88FC-62243B7C9077}"/>
    <cellStyle name="Normal 9 3 3 4 2 2" xfId="4817" xr:uid="{E310F5BC-51A2-4E20-BBCF-00BE7F498D6B}"/>
    <cellStyle name="Normal 9 3 3 4 2 2 2" xfId="9813" xr:uid="{F1EC6D3F-A799-4A74-AA1E-94857CAB9F1B}"/>
    <cellStyle name="Normal 9 3 3 4 2 3" xfId="7315" xr:uid="{B9FD5FA7-F048-42F0-B993-A37048068F52}"/>
    <cellStyle name="Normal 9 3 3 4 3" xfId="3568" xr:uid="{83A2D18B-C3EE-482D-ACD0-EAD3BA1581CA}"/>
    <cellStyle name="Normal 9 3 3 4 3 2" xfId="8564" xr:uid="{BBC6385B-3CEF-4EFF-9A4D-FE4C662FD837}"/>
    <cellStyle name="Normal 9 3 3 4 4" xfId="6066" xr:uid="{C029D13E-C70E-4526-8D85-8D02974CD7DC}"/>
    <cellStyle name="Normal 9 3 3 5" xfId="1436" xr:uid="{BCBD0955-8917-40DE-930A-ED4C63ECA757}"/>
    <cellStyle name="Normal 9 3 3 5 2" xfId="2686" xr:uid="{A180B3A8-54E4-4868-B719-FC93BB036888}"/>
    <cellStyle name="Normal 9 3 3 5 2 2" xfId="5184" xr:uid="{A8756EB3-4812-436A-897E-541BB8FBAA82}"/>
    <cellStyle name="Normal 9 3 3 5 2 2 2" xfId="10180" xr:uid="{908C2973-35C2-4BDE-9E63-6D09271EA126}"/>
    <cellStyle name="Normal 9 3 3 5 2 3" xfId="7682" xr:uid="{7EBB1C2E-7F9B-4E26-8411-9E5F0E6BC728}"/>
    <cellStyle name="Normal 9 3 3 5 3" xfId="3935" xr:uid="{F831AC3C-E0DA-410E-A879-9741865104F7}"/>
    <cellStyle name="Normal 9 3 3 5 3 2" xfId="8931" xr:uid="{8730DDC8-B146-4D6F-A6C6-18BF6BA6A08A}"/>
    <cellStyle name="Normal 9 3 3 5 4" xfId="6433" xr:uid="{63358C3A-8A05-4104-88D3-89EFD36E7BDA}"/>
    <cellStyle name="Normal 9 3 3 6" xfId="1767" xr:uid="{7881416C-82FD-4A70-8D26-B08A55203018}"/>
    <cellStyle name="Normal 9 3 3 6 2" xfId="4265" xr:uid="{2C905C07-EE00-4540-AFBA-5ECFE258B7F5}"/>
    <cellStyle name="Normal 9 3 3 6 2 2" xfId="9261" xr:uid="{376D1BB1-5410-45AB-BF6D-EAA46E035E0C}"/>
    <cellStyle name="Normal 9 3 3 6 3" xfId="6763" xr:uid="{6D9BA6E5-1E3A-4217-AE2A-6130F2A96F02}"/>
    <cellStyle name="Normal 9 3 3 7" xfId="3016" xr:uid="{71BFD8B4-B606-4914-B33E-4BCF2EC5A1A6}"/>
    <cellStyle name="Normal 9 3 3 7 2" xfId="8012" xr:uid="{6986BE60-F49B-41CA-9DA0-3249353B6A99}"/>
    <cellStyle name="Normal 9 3 3 8" xfId="5514" xr:uid="{1D778600-6FF7-4D52-8707-268BA9747DB4}"/>
    <cellStyle name="Normal 9 3 3 9" xfId="516" xr:uid="{F7EE9251-5729-4DA2-95B4-1B5888930816}"/>
    <cellStyle name="Normal 9 3 4" xfId="312" xr:uid="{ABA08F66-0F05-4280-923F-7CE8C44B124F}"/>
    <cellStyle name="Normal 9 3 4 2" xfId="313" xr:uid="{A44D90EB-8532-4352-8CDE-6316BCE05D2B}"/>
    <cellStyle name="Normal 9 3 4 2 2" xfId="932" xr:uid="{E4F5A0DD-AB00-476A-A219-8B937CEB3B25}"/>
    <cellStyle name="Normal 9 3 4 2 2 2" xfId="2183" xr:uid="{B3C2DCFD-4C16-4490-A3DD-E651C2E8C36E}"/>
    <cellStyle name="Normal 9 3 4 2 2 2 2" xfId="4681" xr:uid="{07E2EC0E-7FBA-4021-BD9B-013DB6FDCC85}"/>
    <cellStyle name="Normal 9 3 4 2 2 2 2 2" xfId="9677" xr:uid="{E84133B8-1A27-4C72-9980-D9B3D177C993}"/>
    <cellStyle name="Normal 9 3 4 2 2 2 3" xfId="7179" xr:uid="{7D440540-3176-4340-9A0E-87272DCE693A}"/>
    <cellStyle name="Normal 9 3 4 2 2 3" xfId="3432" xr:uid="{2BDC71B6-222B-4A03-B7F6-2FEF47AF8410}"/>
    <cellStyle name="Normal 9 3 4 2 2 3 2" xfId="8428" xr:uid="{33B244DB-15EB-484E-84DF-B0373EB13474}"/>
    <cellStyle name="Normal 9 3 4 2 2 4" xfId="5930" xr:uid="{39164FAB-D3CE-4231-B193-7026576BFC30}"/>
    <cellStyle name="Normal 9 3 4 2 3" xfId="1245" xr:uid="{69477F29-EE60-43A0-B1B0-A1389B2A192D}"/>
    <cellStyle name="Normal 9 3 4 2 3 2" xfId="2495" xr:uid="{0637B78A-201D-458D-B222-8A4798DBCFCA}"/>
    <cellStyle name="Normal 9 3 4 2 3 2 2" xfId="4993" xr:uid="{57284F4D-A1B9-4E92-9D69-14A3CB338B50}"/>
    <cellStyle name="Normal 9 3 4 2 3 2 2 2" xfId="9989" xr:uid="{D1917BCF-D7D5-4E4A-ADB2-868136D51D0A}"/>
    <cellStyle name="Normal 9 3 4 2 3 2 3" xfId="7491" xr:uid="{ABFC58DB-0978-4B04-9BF6-FD598DAF9306}"/>
    <cellStyle name="Normal 9 3 4 2 3 3" xfId="3744" xr:uid="{B7B4BBFC-2909-40A7-946C-2D77D6E7A571}"/>
    <cellStyle name="Normal 9 3 4 2 3 3 2" xfId="8740" xr:uid="{0421195D-3B45-4126-A40A-AB3CDF5FF270}"/>
    <cellStyle name="Normal 9 3 4 2 3 4" xfId="6242" xr:uid="{3CBCDD42-829D-4AA0-8AA2-D9E4DE39DBCA}"/>
    <cellStyle name="Normal 9 3 4 2 4" xfId="1571" xr:uid="{1DF93828-AFB2-4FFF-8AF8-A7CC4590668D}"/>
    <cellStyle name="Normal 9 3 4 2 4 2" xfId="2821" xr:uid="{B442189E-3C7D-4BF5-BF30-642F4649E454}"/>
    <cellStyle name="Normal 9 3 4 2 4 2 2" xfId="5319" xr:uid="{D6B15B4E-A821-4F67-A509-267807025D09}"/>
    <cellStyle name="Normal 9 3 4 2 4 2 2 2" xfId="10315" xr:uid="{D6C0AE45-7E80-47DA-9B4B-454FA9F4947A}"/>
    <cellStyle name="Normal 9 3 4 2 4 2 3" xfId="7817" xr:uid="{37BAA0A4-7D02-40AC-84AC-0700D0309980}"/>
    <cellStyle name="Normal 9 3 4 2 4 3" xfId="4070" xr:uid="{F9157F47-A0FE-4013-B89F-6F7979447D43}"/>
    <cellStyle name="Normal 9 3 4 2 4 3 2" xfId="9066" xr:uid="{5DDC87FE-D467-4934-8CAB-073D5D50F34C}"/>
    <cellStyle name="Normal 9 3 4 2 4 4" xfId="6568" xr:uid="{89D40F04-A19C-4AD8-BE8B-E5C610C15930}"/>
    <cellStyle name="Normal 9 3 4 2 5" xfId="1902" xr:uid="{3D46EFED-BBC9-4E2C-8F9B-C4B830433743}"/>
    <cellStyle name="Normal 9 3 4 2 5 2" xfId="4400" xr:uid="{9B285179-A8A6-48EB-9413-8C70EF23A361}"/>
    <cellStyle name="Normal 9 3 4 2 5 2 2" xfId="9396" xr:uid="{E8562C66-8337-484B-BCA4-474A9198E497}"/>
    <cellStyle name="Normal 9 3 4 2 5 3" xfId="6898" xr:uid="{37808D8B-BBC5-4C64-BA1C-7FA1CEED6AEA}"/>
    <cellStyle name="Normal 9 3 4 2 6" xfId="3151" xr:uid="{D72A968B-FFA1-492A-AEA3-0E5C968B2421}"/>
    <cellStyle name="Normal 9 3 4 2 6 2" xfId="8147" xr:uid="{7DC57514-2732-4FE6-838B-2D15275AF0E6}"/>
    <cellStyle name="Normal 9 3 4 2 7" xfId="5649" xr:uid="{8AFBB8B5-8D99-44B6-ABAC-95A0D16D0D53}"/>
    <cellStyle name="Normal 9 3 4 2 8" xfId="651" xr:uid="{CE6AFB50-22B9-4479-BE4A-6F304B91ECCA}"/>
    <cellStyle name="Normal 9 3 4 3" xfId="931" xr:uid="{1309CEC2-39F5-418E-B9A9-0230D6A094A8}"/>
    <cellStyle name="Normal 9 3 4 3 2" xfId="2182" xr:uid="{E513CB7C-C63E-4298-B12E-FC0D284B0716}"/>
    <cellStyle name="Normal 9 3 4 3 2 2" xfId="4680" xr:uid="{A3F8493C-D4FF-4AB1-95BC-17CEF9602096}"/>
    <cellStyle name="Normal 9 3 4 3 2 2 2" xfId="9676" xr:uid="{CCF6FCF8-2052-4F61-B112-3CE99F5B0448}"/>
    <cellStyle name="Normal 9 3 4 3 2 3" xfId="7178" xr:uid="{6A4F20C8-C46E-407D-A2C8-336FC01E218D}"/>
    <cellStyle name="Normal 9 3 4 3 3" xfId="3431" xr:uid="{0CDA33DA-31C6-45E3-BF50-727DA993B0CF}"/>
    <cellStyle name="Normal 9 3 4 3 3 2" xfId="8427" xr:uid="{C3D25ADE-5EB6-4C89-8592-C1CA92E78D82}"/>
    <cellStyle name="Normal 9 3 4 3 4" xfId="5929" xr:uid="{DB9E3BF8-C6EE-4297-A02B-BD73F42EDEAE}"/>
    <cellStyle name="Normal 9 3 4 4" xfId="1244" xr:uid="{7AE4961F-FA5D-44BF-A80B-8626FA640814}"/>
    <cellStyle name="Normal 9 3 4 4 2" xfId="2494" xr:uid="{0BB9A6E1-0805-45E8-A47A-AD0F9F1411DD}"/>
    <cellStyle name="Normal 9 3 4 4 2 2" xfId="4992" xr:uid="{E662C86A-3E68-48BD-9146-F0F0F0EA33BF}"/>
    <cellStyle name="Normal 9 3 4 4 2 2 2" xfId="9988" xr:uid="{173F9184-FB0E-4746-8577-04B4E68C93D1}"/>
    <cellStyle name="Normal 9 3 4 4 2 3" xfId="7490" xr:uid="{F5F2A31C-7383-495C-BB3F-3233B08F8B33}"/>
    <cellStyle name="Normal 9 3 4 4 3" xfId="3743" xr:uid="{F066D1C8-6DD8-42B6-82AF-DFB285CDA526}"/>
    <cellStyle name="Normal 9 3 4 4 3 2" xfId="8739" xr:uid="{9E06F955-B900-4E1F-BEDB-6C9B0CD250DB}"/>
    <cellStyle name="Normal 9 3 4 4 4" xfId="6241" xr:uid="{AA6D8889-E597-4BB0-BAA3-A04847D8B081}"/>
    <cellStyle name="Normal 9 3 4 5" xfId="1434" xr:uid="{C653428E-FA13-43C9-9CE6-343F6AEE02D9}"/>
    <cellStyle name="Normal 9 3 4 5 2" xfId="2684" xr:uid="{5BF200F1-82D6-49C3-99F3-794E8570A10A}"/>
    <cellStyle name="Normal 9 3 4 5 2 2" xfId="5182" xr:uid="{822F03A7-89FD-411E-B223-11DC944DA90D}"/>
    <cellStyle name="Normal 9 3 4 5 2 2 2" xfId="10178" xr:uid="{127F1986-18C6-4CA0-9E6F-129239CCED53}"/>
    <cellStyle name="Normal 9 3 4 5 2 3" xfId="7680" xr:uid="{4C220520-EEC8-4BED-9129-15B601610EF1}"/>
    <cellStyle name="Normal 9 3 4 5 3" xfId="3933" xr:uid="{47B5CBF7-B6BA-4D97-AC90-07F6F477F1E8}"/>
    <cellStyle name="Normal 9 3 4 5 3 2" xfId="8929" xr:uid="{F1B3C014-DE44-467C-95B7-24CF0F3C9A22}"/>
    <cellStyle name="Normal 9 3 4 5 4" xfId="6431" xr:uid="{08A80DB7-624C-4D59-BF38-1D3115E52188}"/>
    <cellStyle name="Normal 9 3 4 6" xfId="1765" xr:uid="{B3002EDC-978B-4B26-81F3-ABBADE7D760E}"/>
    <cellStyle name="Normal 9 3 4 6 2" xfId="4263" xr:uid="{7F834002-6D12-4916-B21C-5B65F85727A3}"/>
    <cellStyle name="Normal 9 3 4 6 2 2" xfId="9259" xr:uid="{A9094DDD-A1B5-45EF-A7E7-243DADFA0609}"/>
    <cellStyle name="Normal 9 3 4 6 3" xfId="6761" xr:uid="{926E50CB-30A0-4243-B3B4-7815636754C0}"/>
    <cellStyle name="Normal 9 3 4 7" xfId="3014" xr:uid="{16BBF96A-E866-4077-826A-E5DDBDFC24A9}"/>
    <cellStyle name="Normal 9 3 4 7 2" xfId="8010" xr:uid="{C7B36322-5A3A-4F54-855F-A34F93A54D72}"/>
    <cellStyle name="Normal 9 3 4 8" xfId="5512" xr:uid="{FD69A035-2F68-4F94-B872-10541861B24A}"/>
    <cellStyle name="Normal 9 3 4 9" xfId="514" xr:uid="{15963DC0-5DA1-44F4-97A9-864B36CDDE47}"/>
    <cellStyle name="Normal 9 3 5" xfId="314" xr:uid="{C705F11D-3E2D-4EEB-A75A-06009E114A07}"/>
    <cellStyle name="Normal 9 3 5 2" xfId="933" xr:uid="{4BDFB8FC-D1C8-442C-BD17-AD18CDCC7DE8}"/>
    <cellStyle name="Normal 9 3 5 2 2" xfId="2184" xr:uid="{5B682C88-20DB-4342-9E80-882B8A4F1BDA}"/>
    <cellStyle name="Normal 9 3 5 2 2 2" xfId="4682" xr:uid="{44819B6B-6E95-47B9-A36C-0B0B12A2EC87}"/>
    <cellStyle name="Normal 9 3 5 2 2 2 2" xfId="9678" xr:uid="{C45E788E-7FBE-4A4E-8A1C-48B8D537EF8B}"/>
    <cellStyle name="Normal 9 3 5 2 2 3" xfId="7180" xr:uid="{899783B1-C997-4C0A-930A-21E38F2437E4}"/>
    <cellStyle name="Normal 9 3 5 2 3" xfId="3433" xr:uid="{FDB829F1-A8E5-43D3-B52E-2313471091D9}"/>
    <cellStyle name="Normal 9 3 5 2 3 2" xfId="8429" xr:uid="{4ECFDCC4-0EC8-4A18-9186-400B67D934E7}"/>
    <cellStyle name="Normal 9 3 5 2 4" xfId="5931" xr:uid="{23E46C4B-6990-4E90-90C7-F36641C09E3B}"/>
    <cellStyle name="Normal 9 3 5 3" xfId="1246" xr:uid="{42A0E16F-50D3-46CF-9C14-33C54AB25EAC}"/>
    <cellStyle name="Normal 9 3 5 3 2" xfId="2496" xr:uid="{D6446D32-BBEA-4B1B-884D-F124B394A1F0}"/>
    <cellStyle name="Normal 9 3 5 3 2 2" xfId="4994" xr:uid="{CC357AB9-69D1-4BB0-94E6-12D575E45649}"/>
    <cellStyle name="Normal 9 3 5 3 2 2 2" xfId="9990" xr:uid="{3140CA14-5E3F-4235-A312-BEB2575374ED}"/>
    <cellStyle name="Normal 9 3 5 3 2 3" xfId="7492" xr:uid="{07A4E5B9-9FD6-4D18-8976-4B3D547DE5C2}"/>
    <cellStyle name="Normal 9 3 5 3 3" xfId="3745" xr:uid="{0CDC43CC-A334-41B9-AB5A-17677FCAED65}"/>
    <cellStyle name="Normal 9 3 5 3 3 2" xfId="8741" xr:uid="{7A12AE9C-151B-4127-9252-AE8908C5CF16}"/>
    <cellStyle name="Normal 9 3 5 3 4" xfId="6243" xr:uid="{ED7FA7CC-594B-4456-A377-B71E27F6F7FD}"/>
    <cellStyle name="Normal 9 3 5 4" xfId="1565" xr:uid="{EDDF7641-11FD-4185-9CF4-E4BCE9CB7A46}"/>
    <cellStyle name="Normal 9 3 5 4 2" xfId="2815" xr:uid="{054E5628-0803-4F70-891E-49F4DE132B15}"/>
    <cellStyle name="Normal 9 3 5 4 2 2" xfId="5313" xr:uid="{17919D68-8ED2-49B6-A0A6-3380BDB520BD}"/>
    <cellStyle name="Normal 9 3 5 4 2 2 2" xfId="10309" xr:uid="{F3CFA763-92B8-404E-9074-BBA01221E9E9}"/>
    <cellStyle name="Normal 9 3 5 4 2 3" xfId="7811" xr:uid="{45C1E23D-E0CC-4541-B0AB-A503E77FD38E}"/>
    <cellStyle name="Normal 9 3 5 4 3" xfId="4064" xr:uid="{1F3A715F-E5FE-442A-AEBB-542F1B4A5BE4}"/>
    <cellStyle name="Normal 9 3 5 4 3 2" xfId="9060" xr:uid="{21C5F1CD-C3A6-4F09-AF75-312A3CAB0987}"/>
    <cellStyle name="Normal 9 3 5 4 4" xfId="6562" xr:uid="{A493433C-6027-4958-9C07-5323759D29D1}"/>
    <cellStyle name="Normal 9 3 5 5" xfId="1896" xr:uid="{0902018E-9486-4E1C-8B9F-2A5307DF80DB}"/>
    <cellStyle name="Normal 9 3 5 5 2" xfId="4394" xr:uid="{F489760F-2E51-4046-8C57-413C552455F2}"/>
    <cellStyle name="Normal 9 3 5 5 2 2" xfId="9390" xr:uid="{7EA1BF08-B29A-4442-8396-390B87DDD203}"/>
    <cellStyle name="Normal 9 3 5 5 3" xfId="6892" xr:uid="{9123D0DF-019B-4639-BEF3-C911A05325B0}"/>
    <cellStyle name="Normal 9 3 5 6" xfId="3145" xr:uid="{C8E090D4-85C9-495F-A0B4-70D52EFC29C9}"/>
    <cellStyle name="Normal 9 3 5 6 2" xfId="8141" xr:uid="{002B9B0A-3040-41A8-BA15-53D27086AA66}"/>
    <cellStyle name="Normal 9 3 5 7" xfId="5643" xr:uid="{4D1F01FA-584A-4077-92E9-BA19ED1FC5E5}"/>
    <cellStyle name="Normal 9 3 5 8" xfId="645" xr:uid="{7DFEE057-E139-4CC5-8DCE-ADEBFE93A3F2}"/>
    <cellStyle name="Normal 9 3 6" xfId="383" xr:uid="{23D9BE56-7B8D-4C26-B31C-9F0920DDCA76}"/>
    <cellStyle name="Normal 9 3 6 2" xfId="1304" xr:uid="{718563A3-DA00-48B8-B251-C9286F411BA8}"/>
    <cellStyle name="Normal 9 3 6 2 2" xfId="2554" xr:uid="{19895064-DCB3-4290-B5AB-522FE599888B}"/>
    <cellStyle name="Normal 9 3 6 2 2 2" xfId="5052" xr:uid="{9D13CD79-71A4-47A6-829F-A34AB8756670}"/>
    <cellStyle name="Normal 9 3 6 2 2 2 2" xfId="10048" xr:uid="{DF40C7A1-7D12-4FF2-8C48-F3AD2C0E6940}"/>
    <cellStyle name="Normal 9 3 6 2 2 3" xfId="7550" xr:uid="{7E984B0A-2A3F-457A-8E8D-0EC032A8363D}"/>
    <cellStyle name="Normal 9 3 6 2 3" xfId="3803" xr:uid="{2B562452-07CC-484E-95CC-6E3DC4DF2A25}"/>
    <cellStyle name="Normal 9 3 6 2 3 2" xfId="8799" xr:uid="{810B0FCD-FD31-4F55-9DD6-8ACED5BAD0A5}"/>
    <cellStyle name="Normal 9 3 6 2 4" xfId="6301" xr:uid="{32BB13C7-E37C-4A72-A46D-978A230387CE}"/>
    <cellStyle name="Normal 9 3 6 3" xfId="2242" xr:uid="{641DD94F-79BC-451D-A9D9-704198BEA252}"/>
    <cellStyle name="Normal 9 3 6 3 2" xfId="4740" xr:uid="{392E655F-3873-424D-A29B-3B08CF46FEBC}"/>
    <cellStyle name="Normal 9 3 6 3 2 2" xfId="9736" xr:uid="{3C176DBC-31CE-4425-9EA5-3CF5F20AAD5F}"/>
    <cellStyle name="Normal 9 3 6 3 3" xfId="7238" xr:uid="{61BEEE00-A17E-44A5-BE00-469FD41CDB09}"/>
    <cellStyle name="Normal 9 3 6 4" xfId="3491" xr:uid="{A37287FD-4E72-4549-AC37-305D3D697233}"/>
    <cellStyle name="Normal 9 3 6 4 2" xfId="8487" xr:uid="{D1B57A5D-742D-42FA-A372-3AA5C23B2E47}"/>
    <cellStyle name="Normal 9 3 6 5" xfId="5989" xr:uid="{3A1C2527-F9C3-416D-A3D6-ADE15B0BE8B7}"/>
    <cellStyle name="Normal 9 3 6 6" xfId="992" xr:uid="{E4D4A5A7-7C18-41A4-AD33-53FF9BB96092}"/>
    <cellStyle name="Normal 9 3 7" xfId="704" xr:uid="{06241E54-6A5D-440C-A18D-01A274E484D6}"/>
    <cellStyle name="Normal 9 3 7 2" xfId="1955" xr:uid="{3E40E507-4DD6-4156-B153-2F2ABE750AAC}"/>
    <cellStyle name="Normal 9 3 7 2 2" xfId="4453" xr:uid="{56366D97-C487-4346-95E2-31994DBFC7EA}"/>
    <cellStyle name="Normal 9 3 7 2 2 2" xfId="9449" xr:uid="{589E8DC9-291A-41B9-BD90-21E9DCD9942C}"/>
    <cellStyle name="Normal 9 3 7 2 3" xfId="6951" xr:uid="{E49A202B-7102-4DFD-95E2-10C10B0CDD65}"/>
    <cellStyle name="Normal 9 3 7 3" xfId="3204" xr:uid="{11750FAA-1C4F-4B25-B596-3C7C3062A9FB}"/>
    <cellStyle name="Normal 9 3 7 3 2" xfId="8200" xr:uid="{D0A2E57D-1300-47E9-9C64-A5FE75868477}"/>
    <cellStyle name="Normal 9 3 7 4" xfId="5702" xr:uid="{8E9C3A44-1DA8-41D1-A935-0DDD62297C8E}"/>
    <cellStyle name="Normal 9 3 8" xfId="1017" xr:uid="{6CD28254-4B78-475A-AEB7-E568512CDA3F}"/>
    <cellStyle name="Normal 9 3 8 2" xfId="2267" xr:uid="{58B1FE4B-3429-43E7-8679-0F34D44E2BA6}"/>
    <cellStyle name="Normal 9 3 8 2 2" xfId="4765" xr:uid="{FBA64000-B7CB-480E-A3C1-E5065F59B89A}"/>
    <cellStyle name="Normal 9 3 8 2 2 2" xfId="9761" xr:uid="{B566EBAA-3F31-42CB-95D2-98BAE14CBBE7}"/>
    <cellStyle name="Normal 9 3 8 2 3" xfId="7263" xr:uid="{A26987AC-601F-4A5E-9399-2D4BABDCAFFE}"/>
    <cellStyle name="Normal 9 3 8 3" xfId="3516" xr:uid="{1C712CFC-3D95-4192-85A2-A52D8C011D33}"/>
    <cellStyle name="Normal 9 3 8 3 2" xfId="8512" xr:uid="{1709F723-62BD-4296-BA97-23C26D96D13F}"/>
    <cellStyle name="Normal 9 3 8 4" xfId="6014" xr:uid="{C2AF7B49-2B66-4AEE-AB9A-6CB7258C9AB9}"/>
    <cellStyle name="Normal 9 3 9" xfId="1329" xr:uid="{4BE114F9-9B97-405A-AA5A-9DBF13A0A4CC}"/>
    <cellStyle name="Normal 9 3 9 2" xfId="2579" xr:uid="{2EF16080-07D1-46F0-8444-2E8D519B8BA8}"/>
    <cellStyle name="Normal 9 3 9 2 2" xfId="5077" xr:uid="{31EEB640-5C56-426F-A588-F8DA8C2412A2}"/>
    <cellStyle name="Normal 9 3 9 2 2 2" xfId="10073" xr:uid="{1F51FE16-ADB7-46C6-A7DC-1799F7D481FF}"/>
    <cellStyle name="Normal 9 3 9 2 3" xfId="7575" xr:uid="{1E3CD776-A921-401D-8D6A-1BC42D2EB1B1}"/>
    <cellStyle name="Normal 9 3 9 3" xfId="3828" xr:uid="{2833EC3E-8963-48B4-AF61-19C7C4290586}"/>
    <cellStyle name="Normal 9 3 9 3 2" xfId="8824" xr:uid="{6EFE03FF-C6F5-442B-B36C-7EE8E8076012}"/>
    <cellStyle name="Normal 9 3 9 4" xfId="6326" xr:uid="{EAB291CB-119E-4850-B5D8-5F567E2BDA5B}"/>
    <cellStyle name="Normal 9 4" xfId="76" xr:uid="{20A86BC6-28B7-4D00-94F4-F49A646FE447}"/>
    <cellStyle name="Normal 9 4 2" xfId="315" xr:uid="{060E66E8-3690-413B-8845-BA14B752D724}"/>
    <cellStyle name="Normal 9 4 2 2" xfId="934" xr:uid="{298A3C73-63A5-4D42-9AFA-6B9AEFE7E751}"/>
    <cellStyle name="Normal 9 4 2 2 2" xfId="2185" xr:uid="{1B284BDB-9A4A-4800-955C-F0A9232B2601}"/>
    <cellStyle name="Normal 9 4 2 2 2 2" xfId="4683" xr:uid="{6FD02E8D-93E6-42C0-BE14-BC2C04FD92CC}"/>
    <cellStyle name="Normal 9 4 2 2 2 2 2" xfId="9679" xr:uid="{C104B465-3C74-48C2-B50C-5FE6F5CB1F56}"/>
    <cellStyle name="Normal 9 4 2 2 2 3" xfId="7181" xr:uid="{DC1E3665-B8F7-410A-A57C-1C434DF9565E}"/>
    <cellStyle name="Normal 9 4 2 2 3" xfId="3434" xr:uid="{CBF89A68-7199-4DA2-9328-E44A2CC09692}"/>
    <cellStyle name="Normal 9 4 2 2 3 2" xfId="8430" xr:uid="{740E716F-3ABE-43CE-9D8B-4E9F9071364B}"/>
    <cellStyle name="Normal 9 4 2 2 4" xfId="5932" xr:uid="{1B25A8BC-645C-483B-BF2F-B5E75E169DF7}"/>
    <cellStyle name="Normal 9 4 2 3" xfId="1247" xr:uid="{9917EC0A-4186-4AC5-967D-1B48FD498D8F}"/>
    <cellStyle name="Normal 9 4 2 3 2" xfId="2497" xr:uid="{A6297917-77A2-4968-843A-1B92735590B9}"/>
    <cellStyle name="Normal 9 4 2 3 2 2" xfId="4995" xr:uid="{C6BB266B-BF62-4ED6-9741-F9D7786809D2}"/>
    <cellStyle name="Normal 9 4 2 3 2 2 2" xfId="9991" xr:uid="{00BD3502-AFC8-4925-97BD-7234DD231043}"/>
    <cellStyle name="Normal 9 4 2 3 2 3" xfId="7493" xr:uid="{F2D7CC62-FE7C-4BD0-81AF-E1EB378283A2}"/>
    <cellStyle name="Normal 9 4 2 3 3" xfId="3746" xr:uid="{2D96E583-EE86-4F5A-935D-002541C251AF}"/>
    <cellStyle name="Normal 9 4 2 3 3 2" xfId="8742" xr:uid="{A4E40D0B-810A-4C0A-A543-3D6A9D64EB00}"/>
    <cellStyle name="Normal 9 4 2 3 4" xfId="6244" xr:uid="{82F2731F-E316-49E4-9B11-68012AF226C5}"/>
    <cellStyle name="Normal 9 4 2 4" xfId="1572" xr:uid="{FC3CFC3F-707D-449E-9D48-D5B6F7FEEF3C}"/>
    <cellStyle name="Normal 9 4 2 4 2" xfId="2822" xr:uid="{AC478D9E-03B9-497F-BE08-DC23B94248C3}"/>
    <cellStyle name="Normal 9 4 2 4 2 2" xfId="5320" xr:uid="{1D174268-D7D6-447E-8B5F-A6C998ECEAD1}"/>
    <cellStyle name="Normal 9 4 2 4 2 2 2" xfId="10316" xr:uid="{863F5A44-1CFC-4F56-8395-DA551B2313F4}"/>
    <cellStyle name="Normal 9 4 2 4 2 3" xfId="7818" xr:uid="{1E2155BF-1886-4130-9002-8D7FE3F1D0C4}"/>
    <cellStyle name="Normal 9 4 2 4 3" xfId="4071" xr:uid="{862CDACB-94C0-4297-83D7-4570B94DC160}"/>
    <cellStyle name="Normal 9 4 2 4 3 2" xfId="9067" xr:uid="{8AEC67B4-1878-42A6-A6FD-5E60B2B3C2EB}"/>
    <cellStyle name="Normal 9 4 2 4 4" xfId="6569" xr:uid="{1370C0C6-325F-4940-B87D-FA981892A423}"/>
    <cellStyle name="Normal 9 4 2 5" xfId="1903" xr:uid="{39990DB6-7FC2-4210-8F9F-00480F3E8585}"/>
    <cellStyle name="Normal 9 4 2 5 2" xfId="4401" xr:uid="{03B29989-E0E9-4FF6-84C9-7D2486B81A18}"/>
    <cellStyle name="Normal 9 4 2 5 2 2" xfId="9397" xr:uid="{E1A94985-0324-47BF-97F3-F4A7DAD24F28}"/>
    <cellStyle name="Normal 9 4 2 5 3" xfId="6899" xr:uid="{416CBBF3-B481-40F5-A925-99E2792FD35E}"/>
    <cellStyle name="Normal 9 4 2 6" xfId="3152" xr:uid="{5F82B132-ACD8-418D-989A-018DA18056BB}"/>
    <cellStyle name="Normal 9 4 2 6 2" xfId="8148" xr:uid="{84A5C765-CD0A-44DC-9FBC-A8FC054083AE}"/>
    <cellStyle name="Normal 9 4 2 7" xfId="5650" xr:uid="{27FFACD5-0741-4206-8AB2-6CC4ADBEBEB2}"/>
    <cellStyle name="Normal 9 4 2 8" xfId="652" xr:uid="{2C7F55A1-3411-470E-A888-D92194F2A6C9}"/>
    <cellStyle name="Normal 9 4 3" xfId="730" xr:uid="{59664739-2EB9-459C-887B-99DB182D1E7D}"/>
    <cellStyle name="Normal 9 4 3 2" xfId="1981" xr:uid="{EEF39555-DE50-4BCD-AA78-AD2163691E8F}"/>
    <cellStyle name="Normal 9 4 3 2 2" xfId="4479" xr:uid="{8926DF8A-04D9-489C-B015-0ACE6FCD360E}"/>
    <cellStyle name="Normal 9 4 3 2 2 2" xfId="9475" xr:uid="{671F74E2-25C9-4FE8-A882-A02176B68489}"/>
    <cellStyle name="Normal 9 4 3 2 3" xfId="6977" xr:uid="{C32859AF-ED9C-45D4-9D5E-E2A65F9AB024}"/>
    <cellStyle name="Normal 9 4 3 3" xfId="3230" xr:uid="{0E8DE82E-5E8F-4587-9AF3-FEC5B2BFEB89}"/>
    <cellStyle name="Normal 9 4 3 3 2" xfId="8226" xr:uid="{3C6AB7BE-447A-498D-B331-1D0BAF5A40B6}"/>
    <cellStyle name="Normal 9 4 3 4" xfId="5728" xr:uid="{5C6F4EF5-6E3B-4F5E-B5B5-365FB057E6AD}"/>
    <cellStyle name="Normal 9 4 4" xfId="1043" xr:uid="{6A66A839-011E-492F-85FF-B03D503A64D4}"/>
    <cellStyle name="Normal 9 4 4 2" xfId="2293" xr:uid="{45AAAE50-C8D1-4720-9451-074F5E28F159}"/>
    <cellStyle name="Normal 9 4 4 2 2" xfId="4791" xr:uid="{66AB1B31-7A4C-426F-B980-7AD16CAED14C}"/>
    <cellStyle name="Normal 9 4 4 2 2 2" xfId="9787" xr:uid="{97A476FA-5869-4D6D-AA93-1813D7A1D695}"/>
    <cellStyle name="Normal 9 4 4 2 3" xfId="7289" xr:uid="{8A75215F-CFF2-4111-8F50-9EAEB2E379AC}"/>
    <cellStyle name="Normal 9 4 4 3" xfId="3542" xr:uid="{9170BD90-CB8A-4343-A0E3-64FA1E71B9FD}"/>
    <cellStyle name="Normal 9 4 4 3 2" xfId="8538" xr:uid="{DD5FC689-80FA-4D8E-A312-63C3A9333332}"/>
    <cellStyle name="Normal 9 4 4 4" xfId="6040" xr:uid="{A2A92BC9-8FA3-447A-8E63-E43E061818D4}"/>
    <cellStyle name="Normal 9 4 5" xfId="1437" xr:uid="{E547FA5A-01D9-4D7C-A3D4-A2CD2B569100}"/>
    <cellStyle name="Normal 9 4 5 2" xfId="2687" xr:uid="{3F89ABEC-1F6E-4F98-9ED9-FBB97A9C62A2}"/>
    <cellStyle name="Normal 9 4 5 2 2" xfId="5185" xr:uid="{14F54232-F74D-49AA-B9A6-841878F98639}"/>
    <cellStyle name="Normal 9 4 5 2 2 2" xfId="10181" xr:uid="{4AD319B8-9FD6-45BE-956E-8FD526572505}"/>
    <cellStyle name="Normal 9 4 5 2 3" xfId="7683" xr:uid="{00BD7893-80D0-4DF2-8A20-FC497FD93486}"/>
    <cellStyle name="Normal 9 4 5 3" xfId="3936" xr:uid="{A4C66605-7DD1-4BEF-834C-469311B33B4B}"/>
    <cellStyle name="Normal 9 4 5 3 2" xfId="8932" xr:uid="{FB15437E-6B03-45F7-8DB0-0BE6D70F5378}"/>
    <cellStyle name="Normal 9 4 5 4" xfId="6434" xr:uid="{CAD6E742-C889-4D51-9DA9-6E5DA1E88327}"/>
    <cellStyle name="Normal 9 4 6" xfId="1768" xr:uid="{D38E2D1E-7CF2-46E2-9C39-AD3B637D6DED}"/>
    <cellStyle name="Normal 9 4 6 2" xfId="4266" xr:uid="{5CCA243A-4C70-4342-83A0-62422191BD11}"/>
    <cellStyle name="Normal 9 4 6 2 2" xfId="9262" xr:uid="{BE365D24-CB69-440A-B8A2-723FF24BBF47}"/>
    <cellStyle name="Normal 9 4 6 3" xfId="6764" xr:uid="{180325C0-3A2B-4886-8B4C-BCA428E393BB}"/>
    <cellStyle name="Normal 9 4 7" xfId="3017" xr:uid="{CAA64B22-F665-4C29-87F2-9DD0C0D7A412}"/>
    <cellStyle name="Normal 9 4 7 2" xfId="8013" xr:uid="{E42737C7-87AC-4716-96CE-F3E4628550BF}"/>
    <cellStyle name="Normal 9 4 8" xfId="5515" xr:uid="{21F42529-2E4A-44D2-BB94-4F83E20F1498}"/>
    <cellStyle name="Normal 9 4 9" xfId="517" xr:uid="{02E51E6F-76D4-4E6F-82AB-90BDC422D2C6}"/>
    <cellStyle name="Normal 9 5" xfId="100" xr:uid="{16EA8587-290F-4F21-BA66-5C776285E4A4}"/>
    <cellStyle name="Normal 9 5 2" xfId="316" xr:uid="{2F388FF5-A149-43B9-BDC6-C81C9C67E881}"/>
    <cellStyle name="Normal 9 5 2 2" xfId="935" xr:uid="{ACBAF553-94B3-48B3-86F2-427F62F13EF0}"/>
    <cellStyle name="Normal 9 5 2 2 2" xfId="2186" xr:uid="{923A7E87-B566-4D10-B88B-148E296ED551}"/>
    <cellStyle name="Normal 9 5 2 2 2 2" xfId="4684" xr:uid="{6BD98412-F0EB-4F7E-96E9-B5477C731B64}"/>
    <cellStyle name="Normal 9 5 2 2 2 2 2" xfId="9680" xr:uid="{5C5A4E3A-B3C1-48F7-8B35-EDB75027CD17}"/>
    <cellStyle name="Normal 9 5 2 2 2 3" xfId="7182" xr:uid="{2E114FBA-9126-4336-8CCD-20424C1C19E0}"/>
    <cellStyle name="Normal 9 5 2 2 3" xfId="3435" xr:uid="{2ED74822-9538-42FA-ACF8-E45977BB5615}"/>
    <cellStyle name="Normal 9 5 2 2 3 2" xfId="8431" xr:uid="{BA414AC7-4BD6-4637-B565-8FE911BC0304}"/>
    <cellStyle name="Normal 9 5 2 2 4" xfId="5933" xr:uid="{197C937A-CBBD-4384-B1EC-065EA3FCE701}"/>
    <cellStyle name="Normal 9 5 2 3" xfId="1248" xr:uid="{BF7FBEE1-8232-4C85-A1EC-5C2F730BFD9F}"/>
    <cellStyle name="Normal 9 5 2 3 2" xfId="2498" xr:uid="{C5915ACC-02F7-4CAA-9556-A15624BDE0EA}"/>
    <cellStyle name="Normal 9 5 2 3 2 2" xfId="4996" xr:uid="{CA534A35-E382-44A1-BA5B-09A0CDCE33C1}"/>
    <cellStyle name="Normal 9 5 2 3 2 2 2" xfId="9992" xr:uid="{BFD674A8-D6F9-49D2-B131-2147E4E32F19}"/>
    <cellStyle name="Normal 9 5 2 3 2 3" xfId="7494" xr:uid="{398478BD-3575-42B1-B85A-B96C4AA81731}"/>
    <cellStyle name="Normal 9 5 2 3 3" xfId="3747" xr:uid="{9CE3B725-EEC7-454A-AE2D-20C02CEA16F9}"/>
    <cellStyle name="Normal 9 5 2 3 3 2" xfId="8743" xr:uid="{427D56F7-C933-44F5-A063-86F34A502BDF}"/>
    <cellStyle name="Normal 9 5 2 3 4" xfId="6245" xr:uid="{6BA7EF81-5944-48C0-B290-138EC28CE4D8}"/>
    <cellStyle name="Normal 9 5 2 4" xfId="1573" xr:uid="{4A49310B-417B-4C4A-89D6-9193CED82C61}"/>
    <cellStyle name="Normal 9 5 2 4 2" xfId="2823" xr:uid="{97389CD6-38C1-4191-83BF-6C3ED902BB8D}"/>
    <cellStyle name="Normal 9 5 2 4 2 2" xfId="5321" xr:uid="{90F4B3A2-C1A9-4577-A309-6B23FCC8182B}"/>
    <cellStyle name="Normal 9 5 2 4 2 2 2" xfId="10317" xr:uid="{3C04498D-7041-4E2F-A28C-61BBD816A456}"/>
    <cellStyle name="Normal 9 5 2 4 2 3" xfId="7819" xr:uid="{3AB3EC83-20FF-4496-BD0C-9FDA508CD391}"/>
    <cellStyle name="Normal 9 5 2 4 3" xfId="4072" xr:uid="{CD6A97F1-E270-4BB2-908A-B049E16CF3DE}"/>
    <cellStyle name="Normal 9 5 2 4 3 2" xfId="9068" xr:uid="{E16C536F-5896-450F-9EA8-1DBBCAEE4B5B}"/>
    <cellStyle name="Normal 9 5 2 4 4" xfId="6570" xr:uid="{1AB0C705-78FC-44D5-9204-33A42CA469DB}"/>
    <cellStyle name="Normal 9 5 2 5" xfId="1904" xr:uid="{59B8CC98-2746-46E5-8A67-FEC2013B9AEF}"/>
    <cellStyle name="Normal 9 5 2 5 2" xfId="4402" xr:uid="{CE5C6A7C-F941-413B-9F0B-D854456BEB57}"/>
    <cellStyle name="Normal 9 5 2 5 2 2" xfId="9398" xr:uid="{51850420-EE5A-4D46-8A51-3D5A59C350F2}"/>
    <cellStyle name="Normal 9 5 2 5 3" xfId="6900" xr:uid="{DD7A6EBF-B822-4C0F-9FC6-5009B3E0AB9D}"/>
    <cellStyle name="Normal 9 5 2 6" xfId="3153" xr:uid="{19DDEB61-5F00-42D8-A15B-08AB54C1B84D}"/>
    <cellStyle name="Normal 9 5 2 6 2" xfId="8149" xr:uid="{ADBFB4B2-4820-47C3-8AA6-23AF329038D7}"/>
    <cellStyle name="Normal 9 5 2 7" xfId="5651" xr:uid="{0D7A72C7-08D5-4C0F-8B86-81216C74634D}"/>
    <cellStyle name="Normal 9 5 2 8" xfId="653" xr:uid="{60FFF3DC-7995-4473-ACED-C02A360A454F}"/>
    <cellStyle name="Normal 9 5 3" xfId="754" xr:uid="{8142D095-C8C1-4E4A-95B5-750763401CEE}"/>
    <cellStyle name="Normal 9 5 3 2" xfId="2005" xr:uid="{E691CFC4-4847-4BE8-B01D-3B740CC3FEBD}"/>
    <cellStyle name="Normal 9 5 3 2 2" xfId="4503" xr:uid="{2A7430A5-1B67-4605-B96B-72D9FC261419}"/>
    <cellStyle name="Normal 9 5 3 2 2 2" xfId="9499" xr:uid="{095BA184-C8F0-4706-8D3D-702931181952}"/>
    <cellStyle name="Normal 9 5 3 2 3" xfId="7001" xr:uid="{339C3FF6-10A5-41B0-B001-3562B87901F7}"/>
    <cellStyle name="Normal 9 5 3 3" xfId="3254" xr:uid="{89504FC1-F1F4-414E-BB4F-E431237D3567}"/>
    <cellStyle name="Normal 9 5 3 3 2" xfId="8250" xr:uid="{C3595BD0-709F-4867-8707-9ED5BFF035B1}"/>
    <cellStyle name="Normal 9 5 3 4" xfId="5752" xr:uid="{397E68DE-1BF9-488C-8789-74BB07607E1F}"/>
    <cellStyle name="Normal 9 5 4" xfId="1067" xr:uid="{5A485D1E-A079-4D09-AC12-5E261087A711}"/>
    <cellStyle name="Normal 9 5 4 2" xfId="2317" xr:uid="{6F88AD31-2397-486D-AAAD-1DE117AA744C}"/>
    <cellStyle name="Normal 9 5 4 2 2" xfId="4815" xr:uid="{E08F4D75-4B3B-4749-AB7A-A748300828F4}"/>
    <cellStyle name="Normal 9 5 4 2 2 2" xfId="9811" xr:uid="{7AB67674-88BB-48CE-8B4B-C8F568E48106}"/>
    <cellStyle name="Normal 9 5 4 2 3" xfId="7313" xr:uid="{0DD202E4-A061-4BFC-B95E-0E76F872AFE3}"/>
    <cellStyle name="Normal 9 5 4 3" xfId="3566" xr:uid="{3F36D216-3CB1-402A-B181-ADE3BD0D8A13}"/>
    <cellStyle name="Normal 9 5 4 3 2" xfId="8562" xr:uid="{9686CA16-B394-43F9-8AF9-DA962D5A0FCF}"/>
    <cellStyle name="Normal 9 5 4 4" xfId="6064" xr:uid="{05AB059F-027E-4FA1-8CA2-238835191D50}"/>
    <cellStyle name="Normal 9 5 5" xfId="1438" xr:uid="{3D1BB098-9DD2-4DF2-B996-D14942F22ACB}"/>
    <cellStyle name="Normal 9 5 5 2" xfId="2688" xr:uid="{5D343CCE-A4C1-428D-A3F2-807B4B3522D1}"/>
    <cellStyle name="Normal 9 5 5 2 2" xfId="5186" xr:uid="{E5F8AC5A-278A-434E-81A9-9D4B5EC40069}"/>
    <cellStyle name="Normal 9 5 5 2 2 2" xfId="10182" xr:uid="{151EE4E6-1CE5-4C28-9AD3-BB39DD560C2E}"/>
    <cellStyle name="Normal 9 5 5 2 3" xfId="7684" xr:uid="{3F793CAB-DF41-4787-AF8B-0C32B78B3BAC}"/>
    <cellStyle name="Normal 9 5 5 3" xfId="3937" xr:uid="{4648A900-B066-4A9D-9FDD-496B5EF7D97C}"/>
    <cellStyle name="Normal 9 5 5 3 2" xfId="8933" xr:uid="{ECECB4C7-6560-4A45-A0DE-2969BE877BD0}"/>
    <cellStyle name="Normal 9 5 5 4" xfId="6435" xr:uid="{CCDD469F-7829-4A24-A013-A06D8777054F}"/>
    <cellStyle name="Normal 9 5 6" xfId="1769" xr:uid="{C7124F58-EA8C-4A86-9E3D-C849EEF8B0A7}"/>
    <cellStyle name="Normal 9 5 6 2" xfId="4267" xr:uid="{66A85B14-55ED-4763-8F65-E75D2923689E}"/>
    <cellStyle name="Normal 9 5 6 2 2" xfId="9263" xr:uid="{56F302C9-BDA9-42B9-8955-2EF573F25ECC}"/>
    <cellStyle name="Normal 9 5 6 3" xfId="6765" xr:uid="{BBF114DC-F215-4D17-9FBC-7B5424D176A0}"/>
    <cellStyle name="Normal 9 5 7" xfId="3018" xr:uid="{6A38AA95-94B1-46E9-AF84-1BCC8208B1FD}"/>
    <cellStyle name="Normal 9 5 7 2" xfId="8014" xr:uid="{FFBFF283-3A07-453A-9375-3BDF53E98B15}"/>
    <cellStyle name="Normal 9 5 8" xfId="5516" xr:uid="{7418F514-92EC-42A7-8489-E0471936FEB8}"/>
    <cellStyle name="Normal 9 5 9" xfId="518" xr:uid="{12F9C234-7784-48FD-A536-B24AAD1D8CF6}"/>
    <cellStyle name="Normal 9 6" xfId="317" xr:uid="{C46B2E84-150F-4C09-9316-1EAC367A9FA2}"/>
    <cellStyle name="Normal 9 6 2" xfId="318" xr:uid="{199B82E7-AF10-4C46-BF66-01110DDEBBDE}"/>
    <cellStyle name="Normal 9 6 2 2" xfId="937" xr:uid="{B7CE6AD3-F680-4CF6-AEC4-65FC7DA8D4DB}"/>
    <cellStyle name="Normal 9 6 2 2 2" xfId="2188" xr:uid="{54FC805D-9353-4852-8363-7406B39B7884}"/>
    <cellStyle name="Normal 9 6 2 2 2 2" xfId="4686" xr:uid="{EA5AB78A-E9AC-4AB4-BF7C-18117BA3209A}"/>
    <cellStyle name="Normal 9 6 2 2 2 2 2" xfId="9682" xr:uid="{F3AF9352-57E1-45B0-AF4D-EAF81A6F4EFB}"/>
    <cellStyle name="Normal 9 6 2 2 2 3" xfId="7184" xr:uid="{C67784C6-CDC5-456A-BB22-FA8619AE1CF1}"/>
    <cellStyle name="Normal 9 6 2 2 3" xfId="3437" xr:uid="{4CDFF232-F392-4929-AFCE-CC0F2FC9D9D8}"/>
    <cellStyle name="Normal 9 6 2 2 3 2" xfId="8433" xr:uid="{3A0231D6-C415-4137-8E91-1002CE6E74AD}"/>
    <cellStyle name="Normal 9 6 2 2 4" xfId="5935" xr:uid="{11BCFC0E-FE2E-409D-AB22-5F4FA6681CA1}"/>
    <cellStyle name="Normal 9 6 2 3" xfId="1250" xr:uid="{F03594EC-F0DE-47C6-8A75-CDA5154AFDD4}"/>
    <cellStyle name="Normal 9 6 2 3 2" xfId="2500" xr:uid="{0953E90E-2DE2-408A-8217-BAD13B03A606}"/>
    <cellStyle name="Normal 9 6 2 3 2 2" xfId="4998" xr:uid="{D00BD57D-80B4-4AEA-B3AF-CB2083D5B500}"/>
    <cellStyle name="Normal 9 6 2 3 2 2 2" xfId="9994" xr:uid="{AF377CD2-4EB5-421A-9F8E-B9F9D839952F}"/>
    <cellStyle name="Normal 9 6 2 3 2 3" xfId="7496" xr:uid="{B047B626-1136-4E34-B876-539EDBD18023}"/>
    <cellStyle name="Normal 9 6 2 3 3" xfId="3749" xr:uid="{EC8140EE-11A5-45E5-82B6-C2BE13E65A48}"/>
    <cellStyle name="Normal 9 6 2 3 3 2" xfId="8745" xr:uid="{56411DFE-9344-411A-9611-34D2CA861C2E}"/>
    <cellStyle name="Normal 9 6 2 3 4" xfId="6247" xr:uid="{983A9F4F-B5DA-418D-BA73-84AD2C578009}"/>
    <cellStyle name="Normal 9 6 2 4" xfId="1574" xr:uid="{1000AC50-131B-4A94-A78B-FDF9FBDCB2EF}"/>
    <cellStyle name="Normal 9 6 2 4 2" xfId="2824" xr:uid="{B0D8C7B5-540E-44BA-9EAB-26085305E256}"/>
    <cellStyle name="Normal 9 6 2 4 2 2" xfId="5322" xr:uid="{8748752C-FC8E-422F-9B50-51DB30D575B8}"/>
    <cellStyle name="Normal 9 6 2 4 2 2 2" xfId="10318" xr:uid="{DD438767-0BE8-4BB7-9F44-9EA5BEEC7B76}"/>
    <cellStyle name="Normal 9 6 2 4 2 3" xfId="7820" xr:uid="{3016054B-9AEE-4430-A511-0722868100FB}"/>
    <cellStyle name="Normal 9 6 2 4 3" xfId="4073" xr:uid="{B2764C29-6399-4CAA-B13E-E24F1F8F20AD}"/>
    <cellStyle name="Normal 9 6 2 4 3 2" xfId="9069" xr:uid="{1A61671E-2CFB-4666-9B74-7507D6DF7DB1}"/>
    <cellStyle name="Normal 9 6 2 4 4" xfId="6571" xr:uid="{C5832135-5AC5-47A4-A38D-05E068E8548E}"/>
    <cellStyle name="Normal 9 6 2 5" xfId="1905" xr:uid="{6EA91BA3-6942-4690-B9B9-A8C1C9B74D58}"/>
    <cellStyle name="Normal 9 6 2 5 2" xfId="4403" xr:uid="{4CEEEC64-48D3-4B66-BBBB-0E393BFDE155}"/>
    <cellStyle name="Normal 9 6 2 5 2 2" xfId="9399" xr:uid="{260FED8B-31CB-478D-A3B8-AC00E937E656}"/>
    <cellStyle name="Normal 9 6 2 5 3" xfId="6901" xr:uid="{AED5BED8-33D5-4563-8041-29F4B137A7A7}"/>
    <cellStyle name="Normal 9 6 2 6" xfId="3154" xr:uid="{DC0A65DE-D990-4139-86F3-2F111B1120AD}"/>
    <cellStyle name="Normal 9 6 2 6 2" xfId="8150" xr:uid="{34C810E1-116B-40E7-9E40-74BDD94F486F}"/>
    <cellStyle name="Normal 9 6 2 7" xfId="5652" xr:uid="{4DDCA860-9DA3-4D12-B9FB-AB97EB2C8B2E}"/>
    <cellStyle name="Normal 9 6 2 8" xfId="654" xr:uid="{AC49120E-DD31-481B-BAE2-BC6579161CC4}"/>
    <cellStyle name="Normal 9 6 3" xfId="936" xr:uid="{EBCCE08D-A06E-4E52-82F4-2BA00AB143E7}"/>
    <cellStyle name="Normal 9 6 3 2" xfId="2187" xr:uid="{35A8BA7C-0081-4C72-9628-EB3F3A4C2D05}"/>
    <cellStyle name="Normal 9 6 3 2 2" xfId="4685" xr:uid="{B93E82E7-D760-4604-BB7A-A5FECE8BD192}"/>
    <cellStyle name="Normal 9 6 3 2 2 2" xfId="9681" xr:uid="{4A8A481D-7C26-476B-9E48-7FB346E47C7C}"/>
    <cellStyle name="Normal 9 6 3 2 3" xfId="7183" xr:uid="{3CE8903F-ABC3-4150-B257-D12FADF9D05F}"/>
    <cellStyle name="Normal 9 6 3 3" xfId="3436" xr:uid="{22FFD9CD-8799-47A3-8EB8-E7DA854E98A7}"/>
    <cellStyle name="Normal 9 6 3 3 2" xfId="8432" xr:uid="{D92C1B76-BBC1-4CC2-9C4B-E93A00C56ABE}"/>
    <cellStyle name="Normal 9 6 3 4" xfId="5934" xr:uid="{B0C42084-A8A7-4E5C-B5CF-0A0FE080BE1B}"/>
    <cellStyle name="Normal 9 6 4" xfId="1249" xr:uid="{66D04079-E5A8-4B92-9B01-80BA22ADA747}"/>
    <cellStyle name="Normal 9 6 4 2" xfId="2499" xr:uid="{A057F747-CA9E-4961-A955-319DB3C73255}"/>
    <cellStyle name="Normal 9 6 4 2 2" xfId="4997" xr:uid="{1E49433B-4EFA-4635-B5EE-6D3D02D9ED81}"/>
    <cellStyle name="Normal 9 6 4 2 2 2" xfId="9993" xr:uid="{5A827951-3BF7-424C-919E-B33C2FC0DCD7}"/>
    <cellStyle name="Normal 9 6 4 2 3" xfId="7495" xr:uid="{4682EE1A-5CF3-44EA-BB1D-794F2061853B}"/>
    <cellStyle name="Normal 9 6 4 3" xfId="3748" xr:uid="{EC16A7D0-BDBE-4054-B93B-B23BC55B7148}"/>
    <cellStyle name="Normal 9 6 4 3 2" xfId="8744" xr:uid="{26DA5CF1-E086-49F6-B74A-B90C50661E61}"/>
    <cellStyle name="Normal 9 6 4 4" xfId="6246" xr:uid="{5631B714-CC57-42D5-8D3F-E438D9BAD916}"/>
    <cellStyle name="Normal 9 6 5" xfId="1430" xr:uid="{0B02C3D0-C53F-45DC-BF0F-1C8618EBB650}"/>
    <cellStyle name="Normal 9 6 5 2" xfId="2680" xr:uid="{2E723CFE-8C39-4C59-969A-F9F73642C3EC}"/>
    <cellStyle name="Normal 9 6 5 2 2" xfId="5178" xr:uid="{D1DBFE3A-AEFB-4747-93F5-FEC1F1150C89}"/>
    <cellStyle name="Normal 9 6 5 2 2 2" xfId="10174" xr:uid="{B91BE9A7-33A0-4E76-9C6B-FA4DA8387988}"/>
    <cellStyle name="Normal 9 6 5 2 3" xfId="7676" xr:uid="{12D96518-E452-4D22-B975-AC5204FD895A}"/>
    <cellStyle name="Normal 9 6 5 3" xfId="3929" xr:uid="{D01AEFF5-7621-4028-BF8D-3B5D07BE469D}"/>
    <cellStyle name="Normal 9 6 5 3 2" xfId="8925" xr:uid="{864C95CB-00BC-4621-A3F3-0ADC6AC5581D}"/>
    <cellStyle name="Normal 9 6 5 4" xfId="6427" xr:uid="{3C6BC1C9-32D3-4CD4-9B6D-79B09B176D7A}"/>
    <cellStyle name="Normal 9 6 6" xfId="1761" xr:uid="{30903789-CA64-4AFB-81A4-06FF032B63BD}"/>
    <cellStyle name="Normal 9 6 6 2" xfId="4259" xr:uid="{145B376F-627E-4609-864E-258A3839EAF6}"/>
    <cellStyle name="Normal 9 6 6 2 2" xfId="9255" xr:uid="{3DEAFA35-1A74-4F4E-AC42-9DADF8A9C13E}"/>
    <cellStyle name="Normal 9 6 6 3" xfId="6757" xr:uid="{B149B342-048A-4EF5-B599-4CBF9951204F}"/>
    <cellStyle name="Normal 9 6 7" xfId="3010" xr:uid="{FC16B7ED-69B5-4E73-BFAF-4D025EA156E2}"/>
    <cellStyle name="Normal 9 6 7 2" xfId="8006" xr:uid="{EF8E11B1-66EE-43D5-8CE5-A260BF1ECD23}"/>
    <cellStyle name="Normal 9 6 8" xfId="5508" xr:uid="{2D7BEC5A-186F-4E63-A611-BB1CDF985DE2}"/>
    <cellStyle name="Normal 9 6 9" xfId="510" xr:uid="{F8A11253-1825-490A-9D88-B2379851CD2D}"/>
    <cellStyle name="Normal 9 7" xfId="319" xr:uid="{C8BCFF2C-7D09-4AF0-914D-F503639702CA}"/>
    <cellStyle name="Normal 9 7 2" xfId="938" xr:uid="{ED45FE9B-A09E-4806-81C6-459890E9B050}"/>
    <cellStyle name="Normal 9 7 2 2" xfId="2189" xr:uid="{B79643F7-B9F3-48F3-9E22-3C175F335E3E}"/>
    <cellStyle name="Normal 9 7 2 2 2" xfId="4687" xr:uid="{2223FBAB-BF7C-466B-A638-CEA3575549FC}"/>
    <cellStyle name="Normal 9 7 2 2 2 2" xfId="9683" xr:uid="{AB58FCC2-79C5-4072-BFF4-EC93D793B303}"/>
    <cellStyle name="Normal 9 7 2 2 3" xfId="7185" xr:uid="{41556B44-AA20-4BA7-B08F-1305E55A6636}"/>
    <cellStyle name="Normal 9 7 2 3" xfId="3438" xr:uid="{8454AB68-58EA-4E9A-B696-06C8813F979F}"/>
    <cellStyle name="Normal 9 7 2 3 2" xfId="8434" xr:uid="{0641ECAF-F1E1-48B3-A0AE-94121B21D7A6}"/>
    <cellStyle name="Normal 9 7 2 4" xfId="5936" xr:uid="{D3926FB1-A663-4033-BC74-8C15EED32157}"/>
    <cellStyle name="Normal 9 7 3" xfId="1251" xr:uid="{E70B53FE-14A4-4D1E-A2EA-045A83C1BF78}"/>
    <cellStyle name="Normal 9 7 3 2" xfId="2501" xr:uid="{6E4CB746-1D29-4084-AC4E-16E631248C17}"/>
    <cellStyle name="Normal 9 7 3 2 2" xfId="4999" xr:uid="{736CCAC7-C7F9-453A-8046-621D69445ECD}"/>
    <cellStyle name="Normal 9 7 3 2 2 2" xfId="9995" xr:uid="{D3095620-E4F1-4359-B006-5806BC77F6ED}"/>
    <cellStyle name="Normal 9 7 3 2 3" xfId="7497" xr:uid="{A7756CB5-BA16-444B-8068-4201B6274F9C}"/>
    <cellStyle name="Normal 9 7 3 3" xfId="3750" xr:uid="{FB3493C9-1E13-42E2-93A3-ED30FFE63817}"/>
    <cellStyle name="Normal 9 7 3 3 2" xfId="8746" xr:uid="{48C1135A-7A1F-44E3-8A63-76429ACB47CD}"/>
    <cellStyle name="Normal 9 7 3 4" xfId="6248" xr:uid="{A9F58B9D-AAE6-4215-8A9E-ED9A9EEBED22}"/>
    <cellStyle name="Normal 9 7 4" xfId="1560" xr:uid="{2ADE87DD-11CC-4E58-9E08-C10072F1319A}"/>
    <cellStyle name="Normal 9 7 4 2" xfId="2810" xr:uid="{1926CAD6-1F7B-4C48-B5EE-79A14BC9C886}"/>
    <cellStyle name="Normal 9 7 4 2 2" xfId="5308" xr:uid="{F922FC16-33EB-44E2-A046-0C97A1A553AB}"/>
    <cellStyle name="Normal 9 7 4 2 2 2" xfId="10304" xr:uid="{76FD4FEA-15C7-4161-B40F-FD83F47728C8}"/>
    <cellStyle name="Normal 9 7 4 2 3" xfId="7806" xr:uid="{70C9C944-B110-43B7-809E-2D505BE2B66E}"/>
    <cellStyle name="Normal 9 7 4 3" xfId="4059" xr:uid="{17BF873A-946D-40FE-A27D-22E93A436D0A}"/>
    <cellStyle name="Normal 9 7 4 3 2" xfId="9055" xr:uid="{F1E8FABB-380F-49CD-94FC-842CB52811AF}"/>
    <cellStyle name="Normal 9 7 4 4" xfId="6557" xr:uid="{3E2385D6-95EF-44E5-95C3-0030C690AC9E}"/>
    <cellStyle name="Normal 9 7 5" xfId="1891" xr:uid="{7C4521A3-F357-439C-92FD-B03E703F202A}"/>
    <cellStyle name="Normal 9 7 5 2" xfId="4389" xr:uid="{806C42D7-63DD-419B-9722-EF8E1AEE1F85}"/>
    <cellStyle name="Normal 9 7 5 2 2" xfId="9385" xr:uid="{14269E1A-F4B4-4F82-AD5D-11AC53F0DC4C}"/>
    <cellStyle name="Normal 9 7 5 3" xfId="6887" xr:uid="{8645E808-64B4-4ADC-A3A5-0DA31D826D25}"/>
    <cellStyle name="Normal 9 7 6" xfId="3140" xr:uid="{F9F12E2C-C0AD-4359-9068-D821766D78D0}"/>
    <cellStyle name="Normal 9 7 6 2" xfId="8136" xr:uid="{BF28A435-8E73-44A6-92E8-46CC212874C9}"/>
    <cellStyle name="Normal 9 7 7" xfId="5638" xr:uid="{61C42F91-F154-4B14-8D07-5E387A569362}"/>
    <cellStyle name="Normal 9 7 8" xfId="640" xr:uid="{2BDA7BAE-6F09-47EC-A28A-E47A8EFB626C}"/>
    <cellStyle name="Normal 9 8" xfId="381" xr:uid="{D5FA7B2C-FD0F-4EE8-BC76-F1A77CEE0532}"/>
    <cellStyle name="Normal 9 8 2" xfId="1302" xr:uid="{C2540F9B-9860-41DF-B313-CD43C12ECFAA}"/>
    <cellStyle name="Normal 9 8 2 2" xfId="2552" xr:uid="{3700533F-14F2-4ACB-8335-682BDCA10555}"/>
    <cellStyle name="Normal 9 8 2 2 2" xfId="5050" xr:uid="{AC04B0D7-B68A-44CC-B2D8-9398DEE6F75A}"/>
    <cellStyle name="Normal 9 8 2 2 2 2" xfId="10046" xr:uid="{5676CED0-4197-4867-80EA-1013DFF483B4}"/>
    <cellStyle name="Normal 9 8 2 2 3" xfId="7548" xr:uid="{ED63EEC6-840B-4F0A-810D-A4FB22C7FD6E}"/>
    <cellStyle name="Normal 9 8 2 3" xfId="3801" xr:uid="{13EE447C-242E-45A5-B6D3-CBA0916DCA2B}"/>
    <cellStyle name="Normal 9 8 2 3 2" xfId="8797" xr:uid="{EB68033B-4848-44EE-969C-D5E3528EB65E}"/>
    <cellStyle name="Normal 9 8 2 4" xfId="6299" xr:uid="{DD39B746-D1A0-4029-888F-EBB58B0DD022}"/>
    <cellStyle name="Normal 9 8 3" xfId="2240" xr:uid="{680ABE4C-A6C4-4B65-84FB-C6DD572E4229}"/>
    <cellStyle name="Normal 9 8 3 2" xfId="4738" xr:uid="{E1ED920A-D268-4FC8-8FEA-2A84BD82CE72}"/>
    <cellStyle name="Normal 9 8 3 2 2" xfId="9734" xr:uid="{154B8C27-9808-49F0-A2DC-3AC09C87EE06}"/>
    <cellStyle name="Normal 9 8 3 3" xfId="7236" xr:uid="{50BD071E-9CD7-409B-8066-FB1AFE2E9B18}"/>
    <cellStyle name="Normal 9 8 4" xfId="3489" xr:uid="{4306B8FA-B5B6-42CF-91B1-DB1CDB0E56C8}"/>
    <cellStyle name="Normal 9 8 4 2" xfId="8485" xr:uid="{BB4B0FFC-B89C-483F-9BC2-6CB80F8C7623}"/>
    <cellStyle name="Normal 9 8 5" xfId="5987" xr:uid="{F92D8B94-6AB8-40FD-921D-C5B30AC0FE55}"/>
    <cellStyle name="Normal 9 8 6" xfId="990" xr:uid="{69FB65F6-DC92-4757-B579-D4BF3186B72C}"/>
    <cellStyle name="Normal 9 9" xfId="702" xr:uid="{74746DBA-D19E-4B2D-8013-819541C4C8A9}"/>
    <cellStyle name="Normal 9 9 2" xfId="1953" xr:uid="{7B584D71-F76A-46CB-BB08-6808CDCD1281}"/>
    <cellStyle name="Normal 9 9 2 2" xfId="4451" xr:uid="{AC2A87F7-0F54-45FE-B2A9-B8CA3AD11D8B}"/>
    <cellStyle name="Normal 9 9 2 2 2" xfId="9447" xr:uid="{80B47491-E6A0-4179-811C-F48CF71D4515}"/>
    <cellStyle name="Normal 9 9 2 3" xfId="6949" xr:uid="{1386DF48-AE7C-463A-9E89-FC2AF6EC0A91}"/>
    <cellStyle name="Normal 9 9 3" xfId="3202" xr:uid="{B68E968F-019B-4ABF-B780-F56C8FD305DE}"/>
    <cellStyle name="Normal 9 9 3 2" xfId="8198" xr:uid="{FAC58009-E050-4863-83FD-003C899CE3A1}"/>
    <cellStyle name="Normal 9 9 4" xfId="5700" xr:uid="{685A22C6-69A4-43FB-80F5-9FF5089CCAEF}"/>
    <cellStyle name="Normal_Hoja1" xfId="1" xr:uid="{00000000-0005-0000-0000-00000F000000}"/>
    <cellStyle name="Normal_Hoja2 2" xfId="21" xr:uid="{8DDCDAEC-0F14-4133-A1C2-C39DF1BD1EBC}"/>
    <cellStyle name="Normal_PROYEGYP" xfId="2" xr:uid="{00000000-0005-0000-0000-000011000000}"/>
    <cellStyle name="Notas 2" xfId="320" xr:uid="{3DC12985-1DBD-4E5D-93B4-4593A0B93740}"/>
    <cellStyle name="Porcentaje 10" xfId="357" xr:uid="{23972ED8-381C-46AD-95F8-0AFDEC13061A}"/>
    <cellStyle name="Porcentaje 10 2" xfId="966" xr:uid="{B2B8994D-481E-4120-B719-969C5C273664}"/>
    <cellStyle name="Porcentaje 10 3" xfId="1596" xr:uid="{BB1AE358-08C2-4BD3-AA41-DB26F03A9669}"/>
    <cellStyle name="Porcentaje 10 3 2" xfId="2846" xr:uid="{0C2CBD93-7DA4-44D5-9ACA-4B33DF647636}"/>
    <cellStyle name="Porcentaje 10 3 2 2" xfId="5344" xr:uid="{D6278451-6360-4015-B8B7-C49F6459A81D}"/>
    <cellStyle name="Porcentaje 10 3 2 2 2" xfId="10340" xr:uid="{3C16B8DC-44B1-46EF-921B-09F86FF1D744}"/>
    <cellStyle name="Porcentaje 10 3 2 3" xfId="7842" xr:uid="{0A6AEFD2-7E84-477C-9E26-38D8259EF9E3}"/>
    <cellStyle name="Porcentaje 10 3 3" xfId="4095" xr:uid="{A223C842-08AD-412A-9405-49EE029DA94F}"/>
    <cellStyle name="Porcentaje 10 3 3 2" xfId="9091" xr:uid="{F515B998-4E4C-4062-BD77-AD9310D99B34}"/>
    <cellStyle name="Porcentaje 10 3 4" xfId="6593" xr:uid="{DA2007A9-204B-489A-B66C-D0948E504BE7}"/>
    <cellStyle name="Porcentaje 10 4" xfId="1927" xr:uid="{880C5E65-2B9A-4F84-BAA5-3FD35A4C4927}"/>
    <cellStyle name="Porcentaje 10 4 2" xfId="4425" xr:uid="{50980C2A-0E90-4EE6-85C0-9EE50FA1E1CC}"/>
    <cellStyle name="Porcentaje 10 4 2 2" xfId="9421" xr:uid="{E56243FE-675D-4DA5-8CA0-1FD45D97940C}"/>
    <cellStyle name="Porcentaje 10 4 3" xfId="6923" xr:uid="{05F2E2FF-138C-403B-BF60-10FCD46F5250}"/>
    <cellStyle name="Porcentaje 10 5" xfId="3176" xr:uid="{36A17FAD-B3F5-4CBD-9E43-F575B4D4F12B}"/>
    <cellStyle name="Porcentaje 10 5 2" xfId="8172" xr:uid="{64731949-1169-4429-8EAF-C652524E6AAC}"/>
    <cellStyle name="Porcentaje 10 6" xfId="5674" xr:uid="{CEEBB400-A98E-445B-B0AF-FD56A5E5FB25}"/>
    <cellStyle name="Porcentaje 10 7" xfId="676" xr:uid="{DFAFBFB7-2664-4267-9691-A8966A6CAD1F}"/>
    <cellStyle name="Porcentaje 11" xfId="22" xr:uid="{5F4790E6-8B18-443C-8C6A-900B3A56A4C2}"/>
    <cellStyle name="Porcentaje 11 2" xfId="1601" xr:uid="{3A619405-CF13-424F-AAB1-C6E158EA8E90}"/>
    <cellStyle name="Porcentaje 11 2 2" xfId="2851" xr:uid="{355AF7CE-311D-4A37-BAFE-1B1B5F14A541}"/>
    <cellStyle name="Porcentaje 11 2 2 2" xfId="5349" xr:uid="{74587009-74E9-4D76-B0E9-6E8F6453526B}"/>
    <cellStyle name="Porcentaje 11 2 2 2 2" xfId="10345" xr:uid="{E6006695-1E04-4E90-8CDB-1191D24F50B0}"/>
    <cellStyle name="Porcentaje 11 2 2 3" xfId="7847" xr:uid="{EC9B536B-637C-40A4-A3A3-4C289E0F5997}"/>
    <cellStyle name="Porcentaje 11 2 3" xfId="4100" xr:uid="{1CEA2419-2FCB-423E-BCB7-7A1ED36FB8B6}"/>
    <cellStyle name="Porcentaje 11 2 3 2" xfId="9096" xr:uid="{D3619C88-6220-412F-9433-55DF40A583D5}"/>
    <cellStyle name="Porcentaje 11 2 4" xfId="6598" xr:uid="{489F4E32-805D-4CE5-AD7B-3DBC68C3C7AE}"/>
    <cellStyle name="Porcentaje 11 3" xfId="1932" xr:uid="{EAAF9AED-9B70-4FBB-873C-E59A009D1CF9}"/>
    <cellStyle name="Porcentaje 11 3 2" xfId="4430" xr:uid="{249B6935-0522-4962-A97B-74C4AFF12672}"/>
    <cellStyle name="Porcentaje 11 3 2 2" xfId="9426" xr:uid="{E86CC908-4E64-4FC3-8E31-B7A79ADF7868}"/>
    <cellStyle name="Porcentaje 11 3 3" xfId="6928" xr:uid="{5C5E45F3-C56B-4867-B9EA-C9F3A24960B7}"/>
    <cellStyle name="Porcentaje 11 4" xfId="3181" xr:uid="{7C1ADB37-2D94-4E77-97A8-F96901BD40EF}"/>
    <cellStyle name="Porcentaje 11 4 2" xfId="8177" xr:uid="{53FE5F45-21B8-453B-8F7D-1102F9852132}"/>
    <cellStyle name="Porcentaje 11 5" xfId="5679" xr:uid="{8221AB9C-B092-4AD8-82D8-3C7DBE16C717}"/>
    <cellStyle name="Porcentaje 11 6" xfId="681" xr:uid="{A5DB93E6-18B2-484C-9758-224EE6F585B0}"/>
    <cellStyle name="Porcentaje 12" xfId="1607" xr:uid="{57098397-09CB-48E2-80C0-93BD7F2E61C9}"/>
    <cellStyle name="Porcentaje 12 2" xfId="2856" xr:uid="{E01A8AA0-FCE1-4FF6-8DDC-AFEFA3D9A5F4}"/>
    <cellStyle name="Porcentaje 12 2 2" xfId="5354" xr:uid="{AE291DE3-0C06-4978-8D01-EB8DA41890AF}"/>
    <cellStyle name="Porcentaje 12 2 2 2" xfId="10350" xr:uid="{0D8843A9-2830-46BF-8B54-4AD8C6CB4128}"/>
    <cellStyle name="Porcentaje 12 2 3" xfId="7852" xr:uid="{749BBAC5-FECF-441E-9DE8-227D2B291B55}"/>
    <cellStyle name="Porcentaje 12 3" xfId="4105" xr:uid="{C2269794-BD08-479A-8399-40E59E5728DC}"/>
    <cellStyle name="Porcentaje 12 3 2" xfId="9101" xr:uid="{EBAB2289-E9F6-450C-857C-81F67EE03BBE}"/>
    <cellStyle name="Porcentaje 12 4" xfId="6603" xr:uid="{8808C0A5-7FB8-4904-9CD8-E50F9DD83446}"/>
    <cellStyle name="Porcentaje 13" xfId="1612" xr:uid="{81503FCA-B541-4094-9165-1508BED66F24}"/>
    <cellStyle name="Porcentaje 13 2" xfId="2861" xr:uid="{DB6AE48C-DD49-4BB7-AA0D-BDF3E43ED5E6}"/>
    <cellStyle name="Porcentaje 13 2 2" xfId="5359" xr:uid="{2890FF6E-939A-4917-BCC3-E4C5DD231C26}"/>
    <cellStyle name="Porcentaje 13 2 2 2" xfId="10355" xr:uid="{04E56430-8033-4EE6-A513-191720B3095E}"/>
    <cellStyle name="Porcentaje 13 2 3" xfId="7857" xr:uid="{8CB2FF27-C8FC-4DE4-9959-ACFE27CD99A7}"/>
    <cellStyle name="Porcentaje 13 3" xfId="4110" xr:uid="{BA01B78D-2416-4305-AFFD-1BDC4190DC7B}"/>
    <cellStyle name="Porcentaje 13 3 2" xfId="9106" xr:uid="{CC398122-D303-47DA-BEE9-EEAFEEB89D81}"/>
    <cellStyle name="Porcentaje 13 4" xfId="6608" xr:uid="{EBB21D35-8C56-47AE-8DFD-CA769525261A}"/>
    <cellStyle name="Porcentaje 14" xfId="1617" xr:uid="{3E0078CD-2194-4CA7-8722-B74EC3C70049}"/>
    <cellStyle name="Porcentaje 14 2" xfId="2866" xr:uid="{40FC3E14-A78B-4ADF-AE9E-594432FA8F86}"/>
    <cellStyle name="Porcentaje 14 2 2" xfId="5364" xr:uid="{986C9B71-6C94-4695-8018-55DFE73F9868}"/>
    <cellStyle name="Porcentaje 14 2 2 2" xfId="10360" xr:uid="{80BB3914-ADCD-4578-8E74-B3BE4535CEE6}"/>
    <cellStyle name="Porcentaje 14 2 3" xfId="7862" xr:uid="{35F8E36C-AA1A-4642-BEE7-BFDF42E9C1FD}"/>
    <cellStyle name="Porcentaje 14 3" xfId="4115" xr:uid="{A57CD631-CEF9-4E62-A384-C6CABC93C296}"/>
    <cellStyle name="Porcentaje 14 3 2" xfId="9111" xr:uid="{ABDB9D4C-5C15-4B75-944C-A17C9DCDF458}"/>
    <cellStyle name="Porcentaje 14 4" xfId="6613" xr:uid="{D5D99823-2216-4BC6-98C2-250274E78A61}"/>
    <cellStyle name="Porcentaje 15" xfId="1622" xr:uid="{5F1A9A76-753D-4865-BD01-5A4F9D278556}"/>
    <cellStyle name="Porcentaje 15 2" xfId="2871" xr:uid="{55433BB5-A9C5-45EE-B41B-7C45F7D07498}"/>
    <cellStyle name="Porcentaje 15 2 2" xfId="5369" xr:uid="{45793B6F-626A-4427-9B8C-6D1DFA4D443A}"/>
    <cellStyle name="Porcentaje 15 2 2 2" xfId="10365" xr:uid="{EC9DB89B-7F2F-4ADB-A41F-D293DC031E48}"/>
    <cellStyle name="Porcentaje 15 2 3" xfId="7867" xr:uid="{DE018902-9E7B-41E7-B7A6-4BE140097F01}"/>
    <cellStyle name="Porcentaje 15 3" xfId="4120" xr:uid="{92EF91CD-91AE-4A9D-9FE5-23D19A8F6300}"/>
    <cellStyle name="Porcentaje 15 3 2" xfId="9116" xr:uid="{0F640F6A-3C30-412D-B909-572DC7CF892A}"/>
    <cellStyle name="Porcentaje 15 4" xfId="6618" xr:uid="{33289702-7919-4EF8-BC35-2C620ABA159B}"/>
    <cellStyle name="Porcentaje 16" xfId="1627" xr:uid="{3E239D65-470D-40D2-85E8-AFBC83EC2B21}"/>
    <cellStyle name="Porcentaje 16 2" xfId="2876" xr:uid="{1342DAA0-3106-497F-A3EA-A4FD19335DC2}"/>
    <cellStyle name="Porcentaje 16 2 2" xfId="5374" xr:uid="{07F7A78B-7BAA-4353-BB6E-A6F2F33AA719}"/>
    <cellStyle name="Porcentaje 16 2 2 2" xfId="10370" xr:uid="{3614D490-6918-4FCA-AABE-3B579E7CBFA2}"/>
    <cellStyle name="Porcentaje 16 2 3" xfId="7872" xr:uid="{17741F86-A548-4592-B31D-87FE47A7B6AC}"/>
    <cellStyle name="Porcentaje 16 3" xfId="4125" xr:uid="{61B53C5D-0494-47E0-AC5D-2B73F938EFFE}"/>
    <cellStyle name="Porcentaje 16 3 2" xfId="9121" xr:uid="{6628A113-29B3-44DA-97C8-4206B099BE4F}"/>
    <cellStyle name="Porcentaje 16 4" xfId="6623" xr:uid="{C4464ABD-E9E4-4F8A-B22D-4E53B76BB62D}"/>
    <cellStyle name="Porcentaje 17" xfId="1632" xr:uid="{842E9527-28D8-43AF-B066-E5C5F2685DDC}"/>
    <cellStyle name="Porcentaje 17 2" xfId="2881" xr:uid="{8722A681-084B-4DB5-8CA1-03A38359ACCD}"/>
    <cellStyle name="Porcentaje 17 2 2" xfId="5379" xr:uid="{B1A3555A-0443-4D69-9DD2-3B678A3691ED}"/>
    <cellStyle name="Porcentaje 17 2 2 2" xfId="10375" xr:uid="{AB3F9A39-71AA-4FCF-866A-D5517E7A3FB2}"/>
    <cellStyle name="Porcentaje 17 2 3" xfId="7877" xr:uid="{C374AEA1-EBA7-4B6A-BC29-94902A0642BE}"/>
    <cellStyle name="Porcentaje 17 3" xfId="4130" xr:uid="{45B6B3C8-8361-4AC5-9141-4DEB1EBD8953}"/>
    <cellStyle name="Porcentaje 17 3 2" xfId="9126" xr:uid="{759E9116-45D4-4598-95FC-7F8C136FB59E}"/>
    <cellStyle name="Porcentaje 17 4" xfId="6628" xr:uid="{1BC2DD4E-D9FE-474A-8D79-87A728A777BC}"/>
    <cellStyle name="Porcentaje 18" xfId="1637" xr:uid="{1D2D4F84-3F0E-4A4E-872B-759DB5E28679}"/>
    <cellStyle name="Porcentaje 18 2" xfId="2886" xr:uid="{2E5A6683-6FFD-4A5C-9DBE-A0019320E23C}"/>
    <cellStyle name="Porcentaje 18 2 2" xfId="5384" xr:uid="{1DCA0881-6A22-4F2C-8903-85D50E292BF6}"/>
    <cellStyle name="Porcentaje 18 2 2 2" xfId="10380" xr:uid="{9A2A5321-91BA-4D96-851B-E3376DBF2C60}"/>
    <cellStyle name="Porcentaje 18 2 3" xfId="7882" xr:uid="{BE4CDF70-BA93-49DC-A989-CF209219EE68}"/>
    <cellStyle name="Porcentaje 18 3" xfId="4135" xr:uid="{A1DA65F0-9F22-4E89-8B25-4BE10CAFDD44}"/>
    <cellStyle name="Porcentaje 18 3 2" xfId="9131" xr:uid="{94BFE6C7-BDF8-4BE4-BF6C-3DF577A3936C}"/>
    <cellStyle name="Porcentaje 18 4" xfId="6633" xr:uid="{79DE38DE-A48F-418E-9A7B-DCEEBEB8D9A9}"/>
    <cellStyle name="Porcentaje 2" xfId="12" xr:uid="{00000000-0005-0000-0000-000012000000}"/>
    <cellStyle name="Porcentaje 2 2" xfId="321" xr:uid="{A38213D9-53AA-4207-A8F2-777D7704FC8C}"/>
    <cellStyle name="Porcentaje 2 3" xfId="322" xr:uid="{6F4B3D50-342F-424F-9A88-26C68A0D4942}"/>
    <cellStyle name="Porcentaje 2 3 2" xfId="323" xr:uid="{53C8ED81-9A02-4BD2-A735-3F63F003598A}"/>
    <cellStyle name="Porcentaje 2 3 2 2" xfId="940" xr:uid="{5492864F-E34F-4FB6-B5B0-4B994E168DEB}"/>
    <cellStyle name="Porcentaje 2 3 2 2 2" xfId="2191" xr:uid="{B6532C3A-9329-42C9-AAD8-3E095A188677}"/>
    <cellStyle name="Porcentaje 2 3 2 2 2 2" xfId="4689" xr:uid="{B7486232-D139-497B-A5A1-4C8A70702085}"/>
    <cellStyle name="Porcentaje 2 3 2 2 2 2 2" xfId="9685" xr:uid="{68C4E389-3F43-48E4-811B-A2EFFF25D838}"/>
    <cellStyle name="Porcentaje 2 3 2 2 2 3" xfId="7187" xr:uid="{BEE74C76-E62A-40AF-92DD-78A39A99F15E}"/>
    <cellStyle name="Porcentaje 2 3 2 2 3" xfId="3440" xr:uid="{2A3D6788-A343-4BCF-975B-445777483D12}"/>
    <cellStyle name="Porcentaje 2 3 2 2 3 2" xfId="8436" xr:uid="{DA831CB6-9D66-490B-8418-25AF8D33C640}"/>
    <cellStyle name="Porcentaje 2 3 2 2 4" xfId="5938" xr:uid="{FE082FA6-B44B-4A2D-A7C6-AB6EB6C751F2}"/>
    <cellStyle name="Porcentaje 2 3 2 3" xfId="1253" xr:uid="{DF0EF746-919D-4338-AEBC-116A3BD2498B}"/>
    <cellStyle name="Porcentaje 2 3 2 3 2" xfId="2503" xr:uid="{A9510FC4-A1A4-4076-8034-2B7117C72833}"/>
    <cellStyle name="Porcentaje 2 3 2 3 2 2" xfId="5001" xr:uid="{8A2A6342-5236-446A-9EF8-825970CC9EB6}"/>
    <cellStyle name="Porcentaje 2 3 2 3 2 2 2" xfId="9997" xr:uid="{9C2E552B-B467-41A3-9E16-8F12B68640FB}"/>
    <cellStyle name="Porcentaje 2 3 2 3 2 3" xfId="7499" xr:uid="{972768A9-BAF5-4412-BB5F-140FD5F3B8EE}"/>
    <cellStyle name="Porcentaje 2 3 2 3 3" xfId="3752" xr:uid="{1CF413AA-8FF1-4B03-BA20-2B5C654C2ED1}"/>
    <cellStyle name="Porcentaje 2 3 2 3 3 2" xfId="8748" xr:uid="{26342E04-6FA3-465F-9886-35F23722028D}"/>
    <cellStyle name="Porcentaje 2 3 2 3 4" xfId="6250" xr:uid="{ABE69B26-9FC9-4408-B1CA-E08B87924168}"/>
    <cellStyle name="Porcentaje 2 3 2 4" xfId="1576" xr:uid="{7343709D-512B-4D06-93DC-B747BFF8D598}"/>
    <cellStyle name="Porcentaje 2 3 2 4 2" xfId="2826" xr:uid="{8B598522-B8E7-48E7-B6FA-2CEC0F46C24C}"/>
    <cellStyle name="Porcentaje 2 3 2 4 2 2" xfId="5324" xr:uid="{534FB2F8-F236-4750-9392-233E2B66C463}"/>
    <cellStyle name="Porcentaje 2 3 2 4 2 2 2" xfId="10320" xr:uid="{0A75EBBC-E537-4ABA-974A-5A095208CDE7}"/>
    <cellStyle name="Porcentaje 2 3 2 4 2 3" xfId="7822" xr:uid="{C1D4F742-F452-4D85-B8CC-2B209F4A8409}"/>
    <cellStyle name="Porcentaje 2 3 2 4 3" xfId="4075" xr:uid="{E53602AF-A93A-4DC5-BB22-F0CAFDDA8C59}"/>
    <cellStyle name="Porcentaje 2 3 2 4 3 2" xfId="9071" xr:uid="{26AAAE31-D33F-4737-A3A0-D982DEBAB0D5}"/>
    <cellStyle name="Porcentaje 2 3 2 4 4" xfId="6573" xr:uid="{3F4A164C-B6D3-4A3F-9994-B1280DAEDA2F}"/>
    <cellStyle name="Porcentaje 2 3 2 5" xfId="1907" xr:uid="{4ED20A88-ABFE-418D-A9EC-0A2784409F29}"/>
    <cellStyle name="Porcentaje 2 3 2 5 2" xfId="4405" xr:uid="{FA24188C-8E8D-4334-B522-B4D73A2200C4}"/>
    <cellStyle name="Porcentaje 2 3 2 5 2 2" xfId="9401" xr:uid="{EB178C1E-6925-4576-A1D8-DF8F59A6D7B8}"/>
    <cellStyle name="Porcentaje 2 3 2 5 3" xfId="6903" xr:uid="{3F9FC765-E233-4646-9B97-7C68B5CED6FA}"/>
    <cellStyle name="Porcentaje 2 3 2 6" xfId="3156" xr:uid="{C1DF44ED-3443-4CCF-ADE5-D929AED8176C}"/>
    <cellStyle name="Porcentaje 2 3 2 6 2" xfId="8152" xr:uid="{58AD6313-CA9B-481F-830C-7CE9DDD31267}"/>
    <cellStyle name="Porcentaje 2 3 2 7" xfId="5654" xr:uid="{50C1B2A8-75B2-42A0-AB11-EAACF5E95796}"/>
    <cellStyle name="Porcentaje 2 3 2 8" xfId="656" xr:uid="{2E6E7408-CB7A-4F0D-AF96-B37D5E285FA7}"/>
    <cellStyle name="Porcentaje 2 3 3" xfId="939" xr:uid="{4E869041-E535-4836-A62B-A8B3B78220B2}"/>
    <cellStyle name="Porcentaje 2 3 3 2" xfId="2190" xr:uid="{EF3933F6-43DF-4497-92F2-CF3F00B099FD}"/>
    <cellStyle name="Porcentaje 2 3 3 2 2" xfId="4688" xr:uid="{570D0665-D567-44AF-A145-FA6E6557E8DA}"/>
    <cellStyle name="Porcentaje 2 3 3 2 2 2" xfId="9684" xr:uid="{CB28F825-695D-4339-BCA9-F57A4E114222}"/>
    <cellStyle name="Porcentaje 2 3 3 2 3" xfId="7186" xr:uid="{1329BFC7-BA72-4660-9193-472449A6D9B7}"/>
    <cellStyle name="Porcentaje 2 3 3 3" xfId="3439" xr:uid="{41D81EB6-96E2-43B9-B60F-D6152CF978B1}"/>
    <cellStyle name="Porcentaje 2 3 3 3 2" xfId="8435" xr:uid="{2D2646A1-25A9-44A1-A52D-E83DFECF1C78}"/>
    <cellStyle name="Porcentaje 2 3 3 4" xfId="5937" xr:uid="{4C6A7ED1-9187-49C5-ACD6-9F89A51C8379}"/>
    <cellStyle name="Porcentaje 2 3 4" xfId="1252" xr:uid="{17E10295-84C5-4625-A4A3-E2C63594C02B}"/>
    <cellStyle name="Porcentaje 2 3 4 2" xfId="2502" xr:uid="{C833CBDE-B8FF-46CA-AFA9-B333D2B7563E}"/>
    <cellStyle name="Porcentaje 2 3 4 2 2" xfId="5000" xr:uid="{6FAE26EB-94EF-4D49-92F5-F47630EEFB42}"/>
    <cellStyle name="Porcentaje 2 3 4 2 2 2" xfId="9996" xr:uid="{C67C2D19-F843-4A37-86A7-E176FFE825E7}"/>
    <cellStyle name="Porcentaje 2 3 4 2 3" xfId="7498" xr:uid="{B5317F3D-5FC0-4867-B005-4E5F864263AD}"/>
    <cellStyle name="Porcentaje 2 3 4 3" xfId="3751" xr:uid="{2275A0FF-C167-4146-B04B-8DA5631AC1C5}"/>
    <cellStyle name="Porcentaje 2 3 4 3 2" xfId="8747" xr:uid="{51F75002-D6CE-431E-87C0-94CFA4944DDD}"/>
    <cellStyle name="Porcentaje 2 3 4 4" xfId="6249" xr:uid="{AED8B209-58EA-4D14-A554-F51EFC40FC2B}"/>
    <cellStyle name="Porcentaje 2 3 5" xfId="1356" xr:uid="{33E61FDE-0402-4582-A19C-4363AC390800}"/>
    <cellStyle name="Porcentaje 2 3 5 2" xfId="2606" xr:uid="{D8A6225A-1971-4C2A-8C10-B451C33DDDC6}"/>
    <cellStyle name="Porcentaje 2 3 5 2 2" xfId="5104" xr:uid="{D47453EA-2EC9-42F1-A2AF-FE7E859D245A}"/>
    <cellStyle name="Porcentaje 2 3 5 2 2 2" xfId="10100" xr:uid="{C3AC9117-3A54-48C6-9313-8FE7C702720A}"/>
    <cellStyle name="Porcentaje 2 3 5 2 3" xfId="7602" xr:uid="{0CE2FC3D-8A30-41FE-9728-CF18342B6180}"/>
    <cellStyle name="Porcentaje 2 3 5 3" xfId="3855" xr:uid="{E359EC7D-9A55-4759-AFE8-2DA8DBC329AE}"/>
    <cellStyle name="Porcentaje 2 3 5 3 2" xfId="8851" xr:uid="{FAD9956D-943B-41E9-9037-ECEE3E9C3D48}"/>
    <cellStyle name="Porcentaje 2 3 5 4" xfId="6353" xr:uid="{2B46826C-E54F-4B46-AF94-C65546DD599B}"/>
    <cellStyle name="Porcentaje 2 3 6" xfId="1687" xr:uid="{8283825E-3F0D-4803-838C-5D966F57C39A}"/>
    <cellStyle name="Porcentaje 2 3 6 2" xfId="4185" xr:uid="{04799332-AF0B-4A20-A7AB-E0397C6EC37E}"/>
    <cellStyle name="Porcentaje 2 3 6 2 2" xfId="9181" xr:uid="{80FB7FE9-6350-404C-BD09-FE10EF30B051}"/>
    <cellStyle name="Porcentaje 2 3 6 3" xfId="6683" xr:uid="{26D1D1E2-22F1-4F14-9C36-4C8FB96C5BB5}"/>
    <cellStyle name="Porcentaje 2 3 7" xfId="2936" xr:uid="{CE27D06B-952A-476C-BE00-6B715616D493}"/>
    <cellStyle name="Porcentaje 2 3 7 2" xfId="7932" xr:uid="{FAE19C2C-BCEF-4C94-9BA4-F905452FB1BA}"/>
    <cellStyle name="Porcentaje 2 3 8" xfId="5434" xr:uid="{1E6921DB-FCE4-476C-AD31-668D42A355D8}"/>
    <cellStyle name="Porcentaje 2 3 9" xfId="436" xr:uid="{61EA211C-E581-4A51-9AF1-EB85071DD12F}"/>
    <cellStyle name="Porcentaje 2 4" xfId="324" xr:uid="{BE546E95-F36A-42DC-86B9-9B97B6FC1DFA}"/>
    <cellStyle name="Porcentaje 2 4 2" xfId="941" xr:uid="{50E96987-54AB-4ACF-9699-037B098B28D3}"/>
    <cellStyle name="Porcentaje 2 4 2 2" xfId="2192" xr:uid="{DB11952C-28DA-475F-8E33-9322D505A5A1}"/>
    <cellStyle name="Porcentaje 2 4 2 2 2" xfId="4690" xr:uid="{8F90AE1E-47F4-41B0-ADD3-F4E39BEB102F}"/>
    <cellStyle name="Porcentaje 2 4 2 2 2 2" xfId="9686" xr:uid="{65F221F6-BCCD-43C5-8D92-288FE3DFCF39}"/>
    <cellStyle name="Porcentaje 2 4 2 2 3" xfId="7188" xr:uid="{89D0257A-EE0B-4B42-89DA-99C1BC5C23EF}"/>
    <cellStyle name="Porcentaje 2 4 2 3" xfId="3441" xr:uid="{B6A9920A-2367-47E4-99EA-DF0889BBB230}"/>
    <cellStyle name="Porcentaje 2 4 2 3 2" xfId="8437" xr:uid="{62274D9B-9FAB-4088-AD49-CA0B0967CD05}"/>
    <cellStyle name="Porcentaje 2 4 2 4" xfId="5939" xr:uid="{DFFCE4EF-CF6F-42C3-BF73-D6F6CA8B6B53}"/>
    <cellStyle name="Porcentaje 2 4 3" xfId="1254" xr:uid="{AE3F3194-9B30-44E5-A83A-97701F4A9FD5}"/>
    <cellStyle name="Porcentaje 2 4 3 2" xfId="2504" xr:uid="{44E14A4D-729F-4042-9355-ACA45759180E}"/>
    <cellStyle name="Porcentaje 2 4 3 2 2" xfId="5002" xr:uid="{5FBF9CA7-A72C-49D5-929D-EBEF8AB7CF55}"/>
    <cellStyle name="Porcentaje 2 4 3 2 2 2" xfId="9998" xr:uid="{37D3DE08-1E32-4249-9987-E33088FBE58A}"/>
    <cellStyle name="Porcentaje 2 4 3 2 3" xfId="7500" xr:uid="{0145E5A0-B3FC-492A-A5A6-332D06F500C0}"/>
    <cellStyle name="Porcentaje 2 4 3 3" xfId="3753" xr:uid="{F7089B45-B1FE-4B03-998F-31A0E4594B22}"/>
    <cellStyle name="Porcentaje 2 4 3 3 2" xfId="8749" xr:uid="{A624D597-908C-4C6A-8F90-97D420EBDD2E}"/>
    <cellStyle name="Porcentaje 2 4 3 4" xfId="6251" xr:uid="{2EBAA984-5D5E-4343-9F7E-103FF8EC1316}"/>
    <cellStyle name="Porcentaje 2 4 4" xfId="1575" xr:uid="{3E092D3A-114D-44BE-A0F9-F737C57E28F3}"/>
    <cellStyle name="Porcentaje 2 4 4 2" xfId="2825" xr:uid="{E0B029B2-2A22-44C3-904C-E7D6783EB9FE}"/>
    <cellStyle name="Porcentaje 2 4 4 2 2" xfId="5323" xr:uid="{37CADDB5-D24F-40D3-9192-0D7B546B64D5}"/>
    <cellStyle name="Porcentaje 2 4 4 2 2 2" xfId="10319" xr:uid="{B5E8F42E-8A8E-45F6-AB1A-1A3C9EDFF72D}"/>
    <cellStyle name="Porcentaje 2 4 4 2 3" xfId="7821" xr:uid="{48F32DA1-47D2-493B-845F-601A418AE7B0}"/>
    <cellStyle name="Porcentaje 2 4 4 3" xfId="4074" xr:uid="{CC790A4D-20F0-459E-8446-6F55E2AABB19}"/>
    <cellStyle name="Porcentaje 2 4 4 3 2" xfId="9070" xr:uid="{6A2DEFD2-C0A3-40E8-A187-DAC82D58311C}"/>
    <cellStyle name="Porcentaje 2 4 4 4" xfId="6572" xr:uid="{5644E5EB-9B1F-415E-BDD1-51F595BCCD66}"/>
    <cellStyle name="Porcentaje 2 4 5" xfId="1906" xr:uid="{5ABBD6D3-E54F-45B7-ABEA-C162C90D5C4D}"/>
    <cellStyle name="Porcentaje 2 4 5 2" xfId="4404" xr:uid="{8C24E2B4-1414-4EAA-AD36-3680DFF9F167}"/>
    <cellStyle name="Porcentaje 2 4 5 2 2" xfId="9400" xr:uid="{47E35EDF-C964-4525-A873-AA4D0E966887}"/>
    <cellStyle name="Porcentaje 2 4 5 3" xfId="6902" xr:uid="{FA3DF92C-87F0-4942-8B36-8CA3F5041F87}"/>
    <cellStyle name="Porcentaje 2 4 6" xfId="3155" xr:uid="{3D9F2A66-E9B5-4794-BE2E-EB2F23219AE2}"/>
    <cellStyle name="Porcentaje 2 4 6 2" xfId="8151" xr:uid="{C0D3EE0E-CC0C-4512-BB65-1DBCA24BCB4C}"/>
    <cellStyle name="Porcentaje 2 4 7" xfId="5653" xr:uid="{67873722-D672-4755-9B56-80327D344AFA}"/>
    <cellStyle name="Porcentaje 2 4 8" xfId="655" xr:uid="{523D14A3-1210-4F6E-96B9-72E9F74FD2FA}"/>
    <cellStyle name="Porcentaje 2 5" xfId="29" xr:uid="{D45A215D-8C18-40B3-9AE3-60B157133E1E}"/>
    <cellStyle name="Porcentaje 2 5 2" xfId="2563" xr:uid="{1894F6D1-B4A0-4B40-878A-CCA4293EF2F8}"/>
    <cellStyle name="Porcentaje 2 5 2 2" xfId="5061" xr:uid="{131BCFDF-8B22-41D5-AEC1-5A0EE831395D}"/>
    <cellStyle name="Porcentaje 2 5 2 2 2" xfId="10057" xr:uid="{B949F9FD-84F9-4DB7-8496-8AAF2860BAFB}"/>
    <cellStyle name="Porcentaje 2 5 2 3" xfId="7559" xr:uid="{2981119F-5B33-4AB9-9834-5A3ABC06364A}"/>
    <cellStyle name="Porcentaje 2 5 3" xfId="3812" xr:uid="{A7447D3D-04B3-428C-9930-BD7F14235F43}"/>
    <cellStyle name="Porcentaje 2 5 3 2" xfId="8808" xr:uid="{597C6905-E385-46D8-803E-73902ED6B20A}"/>
    <cellStyle name="Porcentaje 2 5 4" xfId="6310" xr:uid="{EA3A73AE-3D6B-49D7-B24C-F715BFF233E5}"/>
    <cellStyle name="Porcentaje 2 5 5" xfId="1313" xr:uid="{2C9F7495-AE63-4702-8D3C-9A933A390F6B}"/>
    <cellStyle name="Porcentaje 2 6" xfId="1644" xr:uid="{48AE770A-3612-409F-8009-2F8E841D7618}"/>
    <cellStyle name="Porcentaje 2 6 2" xfId="4142" xr:uid="{59F8CE98-0855-45D7-B892-D4282DE6ADAC}"/>
    <cellStyle name="Porcentaje 2 6 2 2" xfId="9138" xr:uid="{2F608AB0-D657-4DB6-BA77-D0AE58CAD8EA}"/>
    <cellStyle name="Porcentaje 2 6 3" xfId="6640" xr:uid="{A72CD3FC-11CC-43EB-8997-FC0222A22EE2}"/>
    <cellStyle name="Porcentaje 2 7" xfId="2893" xr:uid="{439EFB7D-EA9B-4DF3-A8E6-F4EA66FF1797}"/>
    <cellStyle name="Porcentaje 2 7 2" xfId="7889" xr:uid="{F6373296-693C-443D-9D36-AC2955C5585F}"/>
    <cellStyle name="Porcentaje 2 8" xfId="5391" xr:uid="{CC288075-9A05-4EFB-A81D-71E11780B925}"/>
    <cellStyle name="Porcentaje 2 9" xfId="393" xr:uid="{D62F47F4-83A0-4FBB-98DA-400F67FCDF1C}"/>
    <cellStyle name="Porcentaje 3" xfId="49" xr:uid="{AB967FD1-B95A-4AC6-A449-A1F7B44D81F4}"/>
    <cellStyle name="Porcentaje 3 10" xfId="1647" xr:uid="{DC325ADB-ABE1-4988-ACE1-0D15E334150D}"/>
    <cellStyle name="Porcentaje 3 10 2" xfId="4145" xr:uid="{040DE0C6-1718-4BA3-A709-B55746AF7A80}"/>
    <cellStyle name="Porcentaje 3 10 2 2" xfId="9141" xr:uid="{8C1972B0-49DC-4034-B226-045BF538F811}"/>
    <cellStyle name="Porcentaje 3 10 3" xfId="6643" xr:uid="{DDB62DC0-0506-4785-8A92-F63965FCBAD2}"/>
    <cellStyle name="Porcentaje 3 11" xfId="2896" xr:uid="{9B6C6083-3060-4276-A487-6FA482C2BCB4}"/>
    <cellStyle name="Porcentaje 3 11 2" xfId="7892" xr:uid="{288D3275-3AF6-4164-8B1C-78C5593A2599}"/>
    <cellStyle name="Porcentaje 3 12" xfId="5394" xr:uid="{4548DEC1-411F-4530-B969-49172F57DD8F}"/>
    <cellStyle name="Porcentaje 3 13" xfId="396" xr:uid="{F9B3DA63-F70E-4CDE-A6EC-FE3D9192A182}"/>
    <cellStyle name="Porcentaje 3 2" xfId="79" xr:uid="{549242FF-DE45-4437-8305-6401296B360C}"/>
    <cellStyle name="Porcentaje 3 2 10" xfId="437" xr:uid="{B08AFB4E-DCDF-4106-A63E-85E7B2853B98}"/>
    <cellStyle name="Porcentaje 3 2 2" xfId="325" xr:uid="{7CFF4385-4746-44C2-AC31-A2557EA66BC4}"/>
    <cellStyle name="Porcentaje 3 2 2 2" xfId="326" xr:uid="{1A8EDBF4-F4A8-4D1A-820B-22B2B5889F28}"/>
    <cellStyle name="Porcentaje 3 2 2 2 2" xfId="943" xr:uid="{0223EF21-F7A4-4F5B-93F0-8CD5B315BBA3}"/>
    <cellStyle name="Porcentaje 3 2 2 2 2 2" xfId="2194" xr:uid="{F7E12CBB-660F-4552-83A5-6C58530A2A12}"/>
    <cellStyle name="Porcentaje 3 2 2 2 2 2 2" xfId="4692" xr:uid="{F2DE1CCB-2F6C-4BA1-9A5C-0AA84ACA256F}"/>
    <cellStyle name="Porcentaje 3 2 2 2 2 2 2 2" xfId="9688" xr:uid="{E5FEB2BA-DB8C-45EB-8994-6FE0E03E08AC}"/>
    <cellStyle name="Porcentaje 3 2 2 2 2 2 3" xfId="7190" xr:uid="{645A8DBD-61A2-4224-85BE-9B1202750C83}"/>
    <cellStyle name="Porcentaje 3 2 2 2 2 3" xfId="3443" xr:uid="{776BC3AC-567F-4928-8F29-BDA96BAB05CE}"/>
    <cellStyle name="Porcentaje 3 2 2 2 2 3 2" xfId="8439" xr:uid="{BB070535-6BB5-4F0A-B2B0-05426AD1B872}"/>
    <cellStyle name="Porcentaje 3 2 2 2 2 4" xfId="5941" xr:uid="{F722EFB7-0770-49FA-AC8D-28FAE3ECE508}"/>
    <cellStyle name="Porcentaje 3 2 2 2 3" xfId="1256" xr:uid="{E5D18427-65EF-4E01-8447-D6DB6421CC08}"/>
    <cellStyle name="Porcentaje 3 2 2 2 3 2" xfId="2506" xr:uid="{EEC46858-1387-437B-BC56-9D44AF3E7207}"/>
    <cellStyle name="Porcentaje 3 2 2 2 3 2 2" xfId="5004" xr:uid="{38F0DF17-DC59-46B7-8CAC-D60DF1AB634F}"/>
    <cellStyle name="Porcentaje 3 2 2 2 3 2 2 2" xfId="10000" xr:uid="{A30D8242-BA70-4770-BF4D-6C517650E34E}"/>
    <cellStyle name="Porcentaje 3 2 2 2 3 2 3" xfId="7502" xr:uid="{24CE981A-9580-40CB-9B4F-ED3F0263C4ED}"/>
    <cellStyle name="Porcentaje 3 2 2 2 3 3" xfId="3755" xr:uid="{D78FDBC2-EACC-4CDC-BEB5-87B08C5F023C}"/>
    <cellStyle name="Porcentaje 3 2 2 2 3 3 2" xfId="8751" xr:uid="{E9B32BD0-A828-4196-A366-2187B0DC4885}"/>
    <cellStyle name="Porcentaje 3 2 2 2 3 4" xfId="6253" xr:uid="{43338B52-03BD-4559-9278-347916B302CA}"/>
    <cellStyle name="Porcentaje 3 2 2 2 4" xfId="1579" xr:uid="{666E93E1-8DB2-4F85-8450-3149E737F6D7}"/>
    <cellStyle name="Porcentaje 3 2 2 2 4 2" xfId="2829" xr:uid="{8E8EA42A-6B4F-48C3-AC2A-16A54344D745}"/>
    <cellStyle name="Porcentaje 3 2 2 2 4 2 2" xfId="5327" xr:uid="{F929BB05-7953-4821-A034-35C6A366344A}"/>
    <cellStyle name="Porcentaje 3 2 2 2 4 2 2 2" xfId="10323" xr:uid="{6E3917D2-C87C-47BB-B654-B1CFE7ED4DA6}"/>
    <cellStyle name="Porcentaje 3 2 2 2 4 2 3" xfId="7825" xr:uid="{79F7B51E-D3FF-4414-9E22-8FC885D8413D}"/>
    <cellStyle name="Porcentaje 3 2 2 2 4 3" xfId="4078" xr:uid="{7316DB59-B930-481C-A222-16DF4DD2E1AB}"/>
    <cellStyle name="Porcentaje 3 2 2 2 4 3 2" xfId="9074" xr:uid="{6151863C-F3E0-45D7-8B1F-CCCFEAB0CEE1}"/>
    <cellStyle name="Porcentaje 3 2 2 2 4 4" xfId="6576" xr:uid="{5746E022-23E7-49B3-82C9-957C88ED0323}"/>
    <cellStyle name="Porcentaje 3 2 2 2 5" xfId="1910" xr:uid="{DA3A8F60-F4F3-465F-B367-2AC18852FF77}"/>
    <cellStyle name="Porcentaje 3 2 2 2 5 2" xfId="4408" xr:uid="{D1B18A55-ADDE-47A6-945C-2BFB5A4BE6AF}"/>
    <cellStyle name="Porcentaje 3 2 2 2 5 2 2" xfId="9404" xr:uid="{5822A396-8AA7-4B90-A09E-3F21158B16D8}"/>
    <cellStyle name="Porcentaje 3 2 2 2 5 3" xfId="6906" xr:uid="{2F605547-1BD0-430F-8F55-13122836E708}"/>
    <cellStyle name="Porcentaje 3 2 2 2 6" xfId="3159" xr:uid="{5530001F-92DB-48A2-BE45-DCF1BD2F4CC1}"/>
    <cellStyle name="Porcentaje 3 2 2 2 6 2" xfId="8155" xr:uid="{2A4EE99F-FA66-434E-BD2B-DE3E6A5FE5CA}"/>
    <cellStyle name="Porcentaje 3 2 2 2 7" xfId="5657" xr:uid="{4FAC00C3-29BF-42B2-94C9-2FF4EBCE4BDF}"/>
    <cellStyle name="Porcentaje 3 2 2 2 8" xfId="659" xr:uid="{EE7C777A-D270-473A-990F-14F516B748C5}"/>
    <cellStyle name="Porcentaje 3 2 2 3" xfId="942" xr:uid="{7B935666-9151-480D-9FD1-841C6F553184}"/>
    <cellStyle name="Porcentaje 3 2 2 3 2" xfId="2193" xr:uid="{D37A80B0-6269-4D1B-840D-435A7DF67186}"/>
    <cellStyle name="Porcentaje 3 2 2 3 2 2" xfId="4691" xr:uid="{9748B422-4055-438E-A277-E80338C84FEF}"/>
    <cellStyle name="Porcentaje 3 2 2 3 2 2 2" xfId="9687" xr:uid="{F3D15D27-71DB-4E75-9562-257DB2FDE6F3}"/>
    <cellStyle name="Porcentaje 3 2 2 3 2 3" xfId="7189" xr:uid="{7038983B-91FF-4682-BF5D-4A83EF777BAD}"/>
    <cellStyle name="Porcentaje 3 2 2 3 3" xfId="3442" xr:uid="{69486C14-4366-43F2-95A8-2198682BEB91}"/>
    <cellStyle name="Porcentaje 3 2 2 3 3 2" xfId="8438" xr:uid="{7CB1595A-2D8B-4684-B60C-9F51BD19C611}"/>
    <cellStyle name="Porcentaje 3 2 2 3 4" xfId="5940" xr:uid="{E77E43AD-7DB5-4DD4-B09B-090D2B76115F}"/>
    <cellStyle name="Porcentaje 3 2 2 4" xfId="1255" xr:uid="{9227E286-C40B-41C1-A6C3-FF4C33FFDE53}"/>
    <cellStyle name="Porcentaje 3 2 2 4 2" xfId="2505" xr:uid="{1D7AF928-B6F2-42A0-B415-C15DE5DDC05F}"/>
    <cellStyle name="Porcentaje 3 2 2 4 2 2" xfId="5003" xr:uid="{B46474CF-5240-490C-BF48-8A2F3E54520D}"/>
    <cellStyle name="Porcentaje 3 2 2 4 2 2 2" xfId="9999" xr:uid="{6BADF489-06C0-4AFB-8B99-7CF27BBD57D1}"/>
    <cellStyle name="Porcentaje 3 2 2 4 2 3" xfId="7501" xr:uid="{1C10A06E-E8AC-405D-B5D2-2446193B4688}"/>
    <cellStyle name="Porcentaje 3 2 2 4 3" xfId="3754" xr:uid="{99C6134A-EA93-48C2-8457-3707A9A2DF17}"/>
    <cellStyle name="Porcentaje 3 2 2 4 3 2" xfId="8750" xr:uid="{3F42D0BA-A592-496F-A81D-11FEDD77D9C6}"/>
    <cellStyle name="Porcentaje 3 2 2 4 4" xfId="6252" xr:uid="{C8CF5F82-7E74-48B9-A9D9-B8E8CF05979F}"/>
    <cellStyle name="Porcentaje 3 2 2 5" xfId="1440" xr:uid="{D620C35F-ED39-4033-806E-592F3698BD37}"/>
    <cellStyle name="Porcentaje 3 2 2 5 2" xfId="2690" xr:uid="{93E8EBE5-6735-4965-AED2-8D0AC99F0AEC}"/>
    <cellStyle name="Porcentaje 3 2 2 5 2 2" xfId="5188" xr:uid="{94AD60CC-223E-40A7-8480-F8DA16198597}"/>
    <cellStyle name="Porcentaje 3 2 2 5 2 2 2" xfId="10184" xr:uid="{C69FAC9A-D7BF-4B15-BB32-B47247244D39}"/>
    <cellStyle name="Porcentaje 3 2 2 5 2 3" xfId="7686" xr:uid="{4658E89B-24A0-44C6-80F0-1613AB2DAC84}"/>
    <cellStyle name="Porcentaje 3 2 2 5 3" xfId="3939" xr:uid="{90CDDB98-43D1-4885-BD7E-0F2AADAE9007}"/>
    <cellStyle name="Porcentaje 3 2 2 5 3 2" xfId="8935" xr:uid="{8E258CBE-8D80-4FF6-960C-EBBFAEC4A9A9}"/>
    <cellStyle name="Porcentaje 3 2 2 5 4" xfId="6437" xr:uid="{98C643DE-7C73-4181-AB7F-82D5DA8A6582}"/>
    <cellStyle name="Porcentaje 3 2 2 6" xfId="1771" xr:uid="{5B7178B3-870D-40D6-8EF0-ABCD2A9AFBF7}"/>
    <cellStyle name="Porcentaje 3 2 2 6 2" xfId="4269" xr:uid="{4D28D6AF-E827-4287-9E0D-15114D25DD68}"/>
    <cellStyle name="Porcentaje 3 2 2 6 2 2" xfId="9265" xr:uid="{D9F44A2D-EDFC-4DA8-B7F9-70529900AAFB}"/>
    <cellStyle name="Porcentaje 3 2 2 6 3" xfId="6767" xr:uid="{59B81103-F8B8-4F37-9973-D736F88F176C}"/>
    <cellStyle name="Porcentaje 3 2 2 7" xfId="3020" xr:uid="{C76BCE97-008D-4ACD-952D-2B1BD3651EC3}"/>
    <cellStyle name="Porcentaje 3 2 2 7 2" xfId="8016" xr:uid="{0DD089AD-F271-4C63-9B4C-C34BC40E44AE}"/>
    <cellStyle name="Porcentaje 3 2 2 8" xfId="5518" xr:uid="{AB64CA70-50CA-4AEB-BBBE-B843053BA926}"/>
    <cellStyle name="Porcentaje 3 2 2 9" xfId="520" xr:uid="{5891C02B-8FC8-4527-8F17-8D6F50C967AC}"/>
    <cellStyle name="Porcentaje 3 2 3" xfId="327" xr:uid="{AB46B16E-2E98-4934-81E3-DD0A14A9238E}"/>
    <cellStyle name="Porcentaje 3 2 3 2" xfId="944" xr:uid="{56DD6CFB-F1D4-4EC6-A3BC-6443A8479FED}"/>
    <cellStyle name="Porcentaje 3 2 3 2 2" xfId="2195" xr:uid="{F0D70C3D-BF6F-44E8-8DFA-964DE61BAFA7}"/>
    <cellStyle name="Porcentaje 3 2 3 2 2 2" xfId="4693" xr:uid="{F1A296B1-D6DA-4CBF-B8B2-7DEB4FA90539}"/>
    <cellStyle name="Porcentaje 3 2 3 2 2 2 2" xfId="9689" xr:uid="{B2F770B1-DD5B-4466-9452-99F102CF82AE}"/>
    <cellStyle name="Porcentaje 3 2 3 2 2 3" xfId="7191" xr:uid="{C2D2CB23-8206-4F0F-B650-F86987751F5E}"/>
    <cellStyle name="Porcentaje 3 2 3 2 3" xfId="3444" xr:uid="{46EC8C10-034C-441C-97F8-AD3C5459716A}"/>
    <cellStyle name="Porcentaje 3 2 3 2 3 2" xfId="8440" xr:uid="{DA6BF7D1-2907-45EA-927F-A9BA2143A780}"/>
    <cellStyle name="Porcentaje 3 2 3 2 4" xfId="5942" xr:uid="{939166D6-8810-429D-A40E-D3EA38AC342E}"/>
    <cellStyle name="Porcentaje 3 2 3 3" xfId="1257" xr:uid="{E2FBDBCA-D00D-4523-985E-439D63F6D66B}"/>
    <cellStyle name="Porcentaje 3 2 3 3 2" xfId="2507" xr:uid="{1F612395-6F5B-4A99-9D2F-A74B3970E0E8}"/>
    <cellStyle name="Porcentaje 3 2 3 3 2 2" xfId="5005" xr:uid="{B616F66E-DD6E-4F62-97B3-9D58002840EF}"/>
    <cellStyle name="Porcentaje 3 2 3 3 2 2 2" xfId="10001" xr:uid="{6AE50B17-0419-49F1-ACE0-61F8656E5902}"/>
    <cellStyle name="Porcentaje 3 2 3 3 2 3" xfId="7503" xr:uid="{DABC32B6-9A7B-456E-934B-DF93D2E81F36}"/>
    <cellStyle name="Porcentaje 3 2 3 3 3" xfId="3756" xr:uid="{D867E547-9BD4-4C8A-9A5F-5AD5903CA6F8}"/>
    <cellStyle name="Porcentaje 3 2 3 3 3 2" xfId="8752" xr:uid="{1EEE999D-89F4-4C9C-9AB5-0D44672865D7}"/>
    <cellStyle name="Porcentaje 3 2 3 3 4" xfId="6254" xr:uid="{7D085DC4-0E23-4146-B565-CF55D044EBC7}"/>
    <cellStyle name="Porcentaje 3 2 3 4" xfId="1578" xr:uid="{FEFC28E3-ECEE-49A9-9196-BFD8A2366ECF}"/>
    <cellStyle name="Porcentaje 3 2 3 4 2" xfId="2828" xr:uid="{DC769F5B-E1E2-4072-8B83-892313809622}"/>
    <cellStyle name="Porcentaje 3 2 3 4 2 2" xfId="5326" xr:uid="{265F1B51-B436-4162-9B04-B65D83122A23}"/>
    <cellStyle name="Porcentaje 3 2 3 4 2 2 2" xfId="10322" xr:uid="{D7E4AF89-FD4C-4C99-B92A-2AA22D09D658}"/>
    <cellStyle name="Porcentaje 3 2 3 4 2 3" xfId="7824" xr:uid="{C78CD2A7-9A69-4350-98CB-F1EB6E8D1ED5}"/>
    <cellStyle name="Porcentaje 3 2 3 4 3" xfId="4077" xr:uid="{673D8164-D5AF-427A-8A9B-E86E1DC57EAB}"/>
    <cellStyle name="Porcentaje 3 2 3 4 3 2" xfId="9073" xr:uid="{0800F1D3-4D1B-4350-B437-B29EB6EF447C}"/>
    <cellStyle name="Porcentaje 3 2 3 4 4" xfId="6575" xr:uid="{3EB43A74-7DE9-4D52-8CBA-F07B4D6B78B0}"/>
    <cellStyle name="Porcentaje 3 2 3 5" xfId="1909" xr:uid="{C0F3E1D9-897C-4358-9BBD-BB470E9654FD}"/>
    <cellStyle name="Porcentaje 3 2 3 5 2" xfId="4407" xr:uid="{CBD6A5A4-C135-41D5-85A9-BE881C9B92B4}"/>
    <cellStyle name="Porcentaje 3 2 3 5 2 2" xfId="9403" xr:uid="{3E8F2EAB-5583-4F5D-B980-4EF2D55C8A1E}"/>
    <cellStyle name="Porcentaje 3 2 3 5 3" xfId="6905" xr:uid="{119F4E20-401C-438F-9A3E-C06ACF857FE8}"/>
    <cellStyle name="Porcentaje 3 2 3 6" xfId="3158" xr:uid="{91546F29-4232-40FA-9C5B-84D400193CAA}"/>
    <cellStyle name="Porcentaje 3 2 3 6 2" xfId="8154" xr:uid="{6E7511C7-2B87-4439-9E69-E440235D1469}"/>
    <cellStyle name="Porcentaje 3 2 3 7" xfId="5656" xr:uid="{7AA9002C-D6EE-4A67-9E8E-B100BA6A9A16}"/>
    <cellStyle name="Porcentaje 3 2 3 8" xfId="658" xr:uid="{F6022884-E359-4F80-A7A1-33BC98337891}"/>
    <cellStyle name="Porcentaje 3 2 4" xfId="733" xr:uid="{38E8F456-CBA4-46EA-AABD-8811877B54E0}"/>
    <cellStyle name="Porcentaje 3 2 4 2" xfId="1984" xr:uid="{0068CB3A-5D10-4603-A228-D06DED3AA8A5}"/>
    <cellStyle name="Porcentaje 3 2 4 2 2" xfId="4482" xr:uid="{D19E44A6-E621-4CFD-8910-F1D7DE192632}"/>
    <cellStyle name="Porcentaje 3 2 4 2 2 2" xfId="9478" xr:uid="{203F48D1-74B4-42AF-AD77-2C997CE39EEC}"/>
    <cellStyle name="Porcentaje 3 2 4 2 3" xfId="6980" xr:uid="{D3A6D3C3-C1FB-4453-9F1A-9FF4DC298B2F}"/>
    <cellStyle name="Porcentaje 3 2 4 3" xfId="3233" xr:uid="{F05E7DD5-6724-40B6-AC32-3ADBD35FD16C}"/>
    <cellStyle name="Porcentaje 3 2 4 3 2" xfId="8229" xr:uid="{7AA16C4C-B3AF-4935-BBF1-18894862C748}"/>
    <cellStyle name="Porcentaje 3 2 4 4" xfId="5731" xr:uid="{185E2462-7AD8-49DF-8F06-FCEAC1528EDF}"/>
    <cellStyle name="Porcentaje 3 2 5" xfId="1046" xr:uid="{E931F1C1-0082-4CD5-A27B-46F314B67464}"/>
    <cellStyle name="Porcentaje 3 2 5 2" xfId="2296" xr:uid="{DC987D84-D047-4450-AF92-134C7B2C5467}"/>
    <cellStyle name="Porcentaje 3 2 5 2 2" xfId="4794" xr:uid="{89D5F799-714D-4803-B0B7-13524C03F69B}"/>
    <cellStyle name="Porcentaje 3 2 5 2 2 2" xfId="9790" xr:uid="{9C245641-6185-4354-951F-3F42B8ABE272}"/>
    <cellStyle name="Porcentaje 3 2 5 2 3" xfId="7292" xr:uid="{908AA64A-E7FA-45EA-ACD2-9B9595123AC8}"/>
    <cellStyle name="Porcentaje 3 2 5 3" xfId="3545" xr:uid="{0CA5B194-1303-46DB-9DE0-BEA1D9ED27EE}"/>
    <cellStyle name="Porcentaje 3 2 5 3 2" xfId="8541" xr:uid="{CB7AC73A-F317-48BA-84E4-868F394DA996}"/>
    <cellStyle name="Porcentaje 3 2 5 4" xfId="6043" xr:uid="{738CE502-DA6C-44C3-9770-24925477157A}"/>
    <cellStyle name="Porcentaje 3 2 6" xfId="1357" xr:uid="{3BA2B198-AFF9-4870-9251-D6B14D2807ED}"/>
    <cellStyle name="Porcentaje 3 2 6 2" xfId="2607" xr:uid="{973D8C16-BBAA-4A14-AC76-0B1F9099F703}"/>
    <cellStyle name="Porcentaje 3 2 6 2 2" xfId="5105" xr:uid="{32200C6D-977A-41FC-80BD-F0F4ED41D456}"/>
    <cellStyle name="Porcentaje 3 2 6 2 2 2" xfId="10101" xr:uid="{F71AC8F6-9002-4428-9A51-65A08608408E}"/>
    <cellStyle name="Porcentaje 3 2 6 2 3" xfId="7603" xr:uid="{D18CA7CF-1A38-4549-96A8-4BF29AE2DBB1}"/>
    <cellStyle name="Porcentaje 3 2 6 3" xfId="3856" xr:uid="{5E88D8A9-622F-4006-9D12-0B85B176BCA9}"/>
    <cellStyle name="Porcentaje 3 2 6 3 2" xfId="8852" xr:uid="{1E86C594-5FC8-4D07-A703-3B3CF9742543}"/>
    <cellStyle name="Porcentaje 3 2 6 4" xfId="6354" xr:uid="{ECD51D17-F01C-43DB-99E1-FD666AA164C7}"/>
    <cellStyle name="Porcentaje 3 2 7" xfId="1688" xr:uid="{3DFECB95-97A0-43DD-B421-5CEF75087B94}"/>
    <cellStyle name="Porcentaje 3 2 7 2" xfId="4186" xr:uid="{837DB6F9-027E-4030-9591-D1768B2447D5}"/>
    <cellStyle name="Porcentaje 3 2 7 2 2" xfId="9182" xr:uid="{96DB1F2B-A924-4DD0-81A3-13998BF50589}"/>
    <cellStyle name="Porcentaje 3 2 7 3" xfId="6684" xr:uid="{083E2A19-F352-427A-B92F-E274BFF70237}"/>
    <cellStyle name="Porcentaje 3 2 8" xfId="2937" xr:uid="{FF08BF74-8F1E-45F2-9403-568BB9425BF1}"/>
    <cellStyle name="Porcentaje 3 2 8 2" xfId="7933" xr:uid="{CB5B3C23-82D6-4130-83BC-798C21C41FD9}"/>
    <cellStyle name="Porcentaje 3 2 9" xfId="5435" xr:uid="{1DAC13DB-105D-47E0-A15F-0247E71BC7D4}"/>
    <cellStyle name="Porcentaje 3 3" xfId="103" xr:uid="{34AC9218-15AE-40B1-B962-C44A4E69E82D}"/>
    <cellStyle name="Porcentaje 3 3 2" xfId="328" xr:uid="{613CF75D-842B-4296-82BB-4EF80045C406}"/>
    <cellStyle name="Porcentaje 3 3 2 2" xfId="945" xr:uid="{8226E929-5600-4397-ADBB-7702129F3B92}"/>
    <cellStyle name="Porcentaje 3 3 2 2 2" xfId="2196" xr:uid="{F4749EFF-59A7-436E-A4E2-6E0CECE54470}"/>
    <cellStyle name="Porcentaje 3 3 2 2 2 2" xfId="4694" xr:uid="{45174B6F-8471-486A-99AB-37B0EBA3DEC8}"/>
    <cellStyle name="Porcentaje 3 3 2 2 2 2 2" xfId="9690" xr:uid="{DBDA0B43-69F7-4E99-8962-6A8731182F3A}"/>
    <cellStyle name="Porcentaje 3 3 2 2 2 3" xfId="7192" xr:uid="{43D651C7-6005-4F7C-9432-729A9026CEAD}"/>
    <cellStyle name="Porcentaje 3 3 2 2 3" xfId="3445" xr:uid="{D310290D-E26D-4696-B47C-17DBD89C1488}"/>
    <cellStyle name="Porcentaje 3 3 2 2 3 2" xfId="8441" xr:uid="{04570207-4D0F-4B98-ACD0-1C2068FF5D3C}"/>
    <cellStyle name="Porcentaje 3 3 2 2 4" xfId="5943" xr:uid="{3ED8BACC-678E-40DE-BB14-4B070B3C9712}"/>
    <cellStyle name="Porcentaje 3 3 2 3" xfId="1258" xr:uid="{585D9127-4E02-4919-A841-FD32BFD47606}"/>
    <cellStyle name="Porcentaje 3 3 2 3 2" xfId="2508" xr:uid="{6775BC4D-71A1-4C52-B92F-E7C8F08D3450}"/>
    <cellStyle name="Porcentaje 3 3 2 3 2 2" xfId="5006" xr:uid="{0586C8DC-BBCF-4C13-88A7-CD11A2BC2BB8}"/>
    <cellStyle name="Porcentaje 3 3 2 3 2 2 2" xfId="10002" xr:uid="{05629BA6-FACE-4408-BB5E-D783C88AD8FF}"/>
    <cellStyle name="Porcentaje 3 3 2 3 2 3" xfId="7504" xr:uid="{C0081266-BAC0-4B47-9EE9-720291F18E41}"/>
    <cellStyle name="Porcentaje 3 3 2 3 3" xfId="3757" xr:uid="{464F0BD9-2424-43BE-8AD6-2C9BE38E53B5}"/>
    <cellStyle name="Porcentaje 3 3 2 3 3 2" xfId="8753" xr:uid="{261638C9-F614-460E-AAED-829368FF34D2}"/>
    <cellStyle name="Porcentaje 3 3 2 3 4" xfId="6255" xr:uid="{0FEE90A7-2508-4CE1-B57C-F3EF2E582606}"/>
    <cellStyle name="Porcentaje 3 3 2 4" xfId="1580" xr:uid="{E25AF4AE-D494-4C51-A59B-12EA5713AC4B}"/>
    <cellStyle name="Porcentaje 3 3 2 4 2" xfId="2830" xr:uid="{5EFDD14A-DE12-4CBC-BBAB-1639F107D350}"/>
    <cellStyle name="Porcentaje 3 3 2 4 2 2" xfId="5328" xr:uid="{94D73D97-89AD-453E-B66F-7FB1418D225A}"/>
    <cellStyle name="Porcentaje 3 3 2 4 2 2 2" xfId="10324" xr:uid="{6C008953-35F9-4A2B-B0BA-B69C4E4EC38B}"/>
    <cellStyle name="Porcentaje 3 3 2 4 2 3" xfId="7826" xr:uid="{4C2F625C-B462-4071-8D9D-1BF98EFA8655}"/>
    <cellStyle name="Porcentaje 3 3 2 4 3" xfId="4079" xr:uid="{027223B2-6660-4F5A-AB0E-96DE79323E53}"/>
    <cellStyle name="Porcentaje 3 3 2 4 3 2" xfId="9075" xr:uid="{522B60BB-8368-4DA9-8914-D0DC46DFE786}"/>
    <cellStyle name="Porcentaje 3 3 2 4 4" xfId="6577" xr:uid="{86CDB48A-04FF-4D38-9B83-370AA3201F4E}"/>
    <cellStyle name="Porcentaje 3 3 2 5" xfId="1911" xr:uid="{0FAA2CA9-818A-446B-9132-6A6CF660841C}"/>
    <cellStyle name="Porcentaje 3 3 2 5 2" xfId="4409" xr:uid="{380EC149-BD66-4E7F-BDB9-3C22D892061D}"/>
    <cellStyle name="Porcentaje 3 3 2 5 2 2" xfId="9405" xr:uid="{7CB26F36-E9E3-4108-9DA1-13A428CEF84A}"/>
    <cellStyle name="Porcentaje 3 3 2 5 3" xfId="6907" xr:uid="{E8AA3A14-011D-4D90-B675-10C6357DE866}"/>
    <cellStyle name="Porcentaje 3 3 2 6" xfId="3160" xr:uid="{30EBBA79-7354-404E-B299-BCE927E45976}"/>
    <cellStyle name="Porcentaje 3 3 2 6 2" xfId="8156" xr:uid="{B55C4FD0-5583-4212-A669-397B77EF1ACB}"/>
    <cellStyle name="Porcentaje 3 3 2 7" xfId="5658" xr:uid="{32F431D7-05D3-4923-80F9-2AD6A2EC55C5}"/>
    <cellStyle name="Porcentaje 3 3 2 8" xfId="660" xr:uid="{C8392CB1-2BE4-4A8A-B529-B296D63E129F}"/>
    <cellStyle name="Porcentaje 3 3 3" xfId="757" xr:uid="{E45C8243-4648-4D94-84C3-D41DC0B76E78}"/>
    <cellStyle name="Porcentaje 3 3 3 2" xfId="2008" xr:uid="{F615C57D-732E-4D0C-B447-1F749751FB39}"/>
    <cellStyle name="Porcentaje 3 3 3 2 2" xfId="4506" xr:uid="{5B7FF1D2-0EF2-487E-83F6-C6F79030D395}"/>
    <cellStyle name="Porcentaje 3 3 3 2 2 2" xfId="9502" xr:uid="{315B47F3-4F50-4DC5-89AA-9A5F1D2ADCC5}"/>
    <cellStyle name="Porcentaje 3 3 3 2 3" xfId="7004" xr:uid="{52E21FBB-487E-4600-A636-DF68059A707F}"/>
    <cellStyle name="Porcentaje 3 3 3 3" xfId="3257" xr:uid="{060D845E-5EB4-48C7-A10B-2818EB84107D}"/>
    <cellStyle name="Porcentaje 3 3 3 3 2" xfId="8253" xr:uid="{921AF107-2506-4155-B90B-F595341FBED5}"/>
    <cellStyle name="Porcentaje 3 3 3 4" xfId="5755" xr:uid="{4A8585C0-F626-4598-9C45-6AB013CEA1BD}"/>
    <cellStyle name="Porcentaje 3 3 4" xfId="1070" xr:uid="{2191D8FF-959E-4824-9A34-2E825F079890}"/>
    <cellStyle name="Porcentaje 3 3 4 2" xfId="2320" xr:uid="{0821BB8B-76CB-4859-ABBF-813A53D6A91C}"/>
    <cellStyle name="Porcentaje 3 3 4 2 2" xfId="4818" xr:uid="{5E4B525F-23CB-4CF8-9DB2-23610B182247}"/>
    <cellStyle name="Porcentaje 3 3 4 2 2 2" xfId="9814" xr:uid="{E2B71CF9-C981-48FC-85F3-EB345000F66B}"/>
    <cellStyle name="Porcentaje 3 3 4 2 3" xfId="7316" xr:uid="{8CD3AD67-5AD5-4B27-8EC8-0C606DA327C0}"/>
    <cellStyle name="Porcentaje 3 3 4 3" xfId="3569" xr:uid="{BDC9CAFE-43D0-45A4-9B14-4FB4D478DB2D}"/>
    <cellStyle name="Porcentaje 3 3 4 3 2" xfId="8565" xr:uid="{E75A2222-D349-46DF-BDFE-6D1E1959789B}"/>
    <cellStyle name="Porcentaje 3 3 4 4" xfId="6067" xr:uid="{B8ACF8A5-3CC1-4656-8FAC-EBDE72B74B46}"/>
    <cellStyle name="Porcentaje 3 3 5" xfId="1441" xr:uid="{D4440705-4796-4838-B0B7-823D8318B5AD}"/>
    <cellStyle name="Porcentaje 3 3 5 2" xfId="2691" xr:uid="{69AEFB69-F89D-44E4-A4C6-8CE80BB365A5}"/>
    <cellStyle name="Porcentaje 3 3 5 2 2" xfId="5189" xr:uid="{7362D964-E88A-4975-B875-4DA9029502F9}"/>
    <cellStyle name="Porcentaje 3 3 5 2 2 2" xfId="10185" xr:uid="{F864415E-98E7-4C37-9137-1A2C2EE73ECD}"/>
    <cellStyle name="Porcentaje 3 3 5 2 3" xfId="7687" xr:uid="{EF76F059-9AA7-4F5F-8EE7-8E405A3689BF}"/>
    <cellStyle name="Porcentaje 3 3 5 3" xfId="3940" xr:uid="{3355AD86-C7C0-4D99-967D-125AE89BB54E}"/>
    <cellStyle name="Porcentaje 3 3 5 3 2" xfId="8936" xr:uid="{5BC6CA65-F758-4D9C-84B9-D73F9CD571EB}"/>
    <cellStyle name="Porcentaje 3 3 5 4" xfId="6438" xr:uid="{87A18075-AC78-4083-A28D-EA032843A12A}"/>
    <cellStyle name="Porcentaje 3 3 6" xfId="1772" xr:uid="{20D76874-5842-49EA-9142-2BA56C0C6179}"/>
    <cellStyle name="Porcentaje 3 3 6 2" xfId="4270" xr:uid="{8C5BC45C-C7BC-4EDF-ADC3-B3B02BD1A118}"/>
    <cellStyle name="Porcentaje 3 3 6 2 2" xfId="9266" xr:uid="{994A2915-5587-4304-AA4E-7666C6D12F6E}"/>
    <cellStyle name="Porcentaje 3 3 6 3" xfId="6768" xr:uid="{DFF368F7-5349-4C59-BE09-6189F2724CC4}"/>
    <cellStyle name="Porcentaje 3 3 7" xfId="3021" xr:uid="{81F87681-9075-4DF9-A1B5-FF61DF28A432}"/>
    <cellStyle name="Porcentaje 3 3 7 2" xfId="8017" xr:uid="{FA2BDD86-1869-4A9B-AC52-E99283E87AEC}"/>
    <cellStyle name="Porcentaje 3 3 8" xfId="5519" xr:uid="{6504B0B3-9950-4881-A724-D153C8F1AC62}"/>
    <cellStyle name="Porcentaje 3 3 9" xfId="521" xr:uid="{38FC6C17-6BC8-4242-9D28-3E3720F157CF}"/>
    <cellStyle name="Porcentaje 3 4" xfId="329" xr:uid="{7F6951A1-CDA9-48ED-9105-BE0C02F0D5D7}"/>
    <cellStyle name="Porcentaje 3 4 2" xfId="330" xr:uid="{5251F3DB-C608-40DF-BB44-5126BC2FB439}"/>
    <cellStyle name="Porcentaje 3 4 2 2" xfId="947" xr:uid="{B3D48D38-68F9-4FFB-8745-32E7EE613755}"/>
    <cellStyle name="Porcentaje 3 4 2 2 2" xfId="2198" xr:uid="{47E658EA-8799-4E4A-A0E8-1B77278F7EF9}"/>
    <cellStyle name="Porcentaje 3 4 2 2 2 2" xfId="4696" xr:uid="{AFDC4F3C-08BA-4963-A406-04F7492A95A7}"/>
    <cellStyle name="Porcentaje 3 4 2 2 2 2 2" xfId="9692" xr:uid="{58340AD2-595C-41BF-995B-7FF8E50B8126}"/>
    <cellStyle name="Porcentaje 3 4 2 2 2 3" xfId="7194" xr:uid="{DCDBED9A-4490-4B1D-ADB0-A7B6C5087A78}"/>
    <cellStyle name="Porcentaje 3 4 2 2 3" xfId="3447" xr:uid="{7EF0D848-2354-4A03-BEFA-7177E4F88E99}"/>
    <cellStyle name="Porcentaje 3 4 2 2 3 2" xfId="8443" xr:uid="{AD33CC5F-C352-4C8C-8EEA-E008A0035453}"/>
    <cellStyle name="Porcentaje 3 4 2 2 4" xfId="5945" xr:uid="{7E2E0E18-A071-42D7-B3CA-82CDA0E861B3}"/>
    <cellStyle name="Porcentaje 3 4 2 3" xfId="1260" xr:uid="{2554331F-C99A-44E2-82CA-82EF120ED5C6}"/>
    <cellStyle name="Porcentaje 3 4 2 3 2" xfId="2510" xr:uid="{CDBA9294-94D9-4BF8-97C0-1417A26580AF}"/>
    <cellStyle name="Porcentaje 3 4 2 3 2 2" xfId="5008" xr:uid="{830DBB89-D0E6-44EA-B298-A83851B5848A}"/>
    <cellStyle name="Porcentaje 3 4 2 3 2 2 2" xfId="10004" xr:uid="{D3F10822-5DD3-4078-AADA-8A23F6DF53BA}"/>
    <cellStyle name="Porcentaje 3 4 2 3 2 3" xfId="7506" xr:uid="{F742338F-5649-4E00-812E-68B8DBD78E1F}"/>
    <cellStyle name="Porcentaje 3 4 2 3 3" xfId="3759" xr:uid="{5617EA46-7C6B-424A-9F1E-0F28EE095237}"/>
    <cellStyle name="Porcentaje 3 4 2 3 3 2" xfId="8755" xr:uid="{702358E7-8233-432F-87E7-C5F929228E0A}"/>
    <cellStyle name="Porcentaje 3 4 2 3 4" xfId="6257" xr:uid="{A3FDED73-1F1D-47E1-8409-8F32AABCACAC}"/>
    <cellStyle name="Porcentaje 3 4 2 4" xfId="1581" xr:uid="{162DD4B1-EC90-45BD-BAB7-DEC75CF61720}"/>
    <cellStyle name="Porcentaje 3 4 2 4 2" xfId="2831" xr:uid="{96A7AB27-2E75-49A2-8A5C-0BF2C582460C}"/>
    <cellStyle name="Porcentaje 3 4 2 4 2 2" xfId="5329" xr:uid="{1FDF5997-244B-4172-BFEA-37DDDE2F21A5}"/>
    <cellStyle name="Porcentaje 3 4 2 4 2 2 2" xfId="10325" xr:uid="{5F79DD9A-E5E9-42F9-8BE6-F64F31A052DC}"/>
    <cellStyle name="Porcentaje 3 4 2 4 2 3" xfId="7827" xr:uid="{128981F9-1EC7-456D-90B7-13EEFE2C772B}"/>
    <cellStyle name="Porcentaje 3 4 2 4 3" xfId="4080" xr:uid="{F7E4141E-A309-4E74-A87D-1C9196C09B59}"/>
    <cellStyle name="Porcentaje 3 4 2 4 3 2" xfId="9076" xr:uid="{E91BD7C3-7CC6-4DDB-AA6D-4D4DF3380387}"/>
    <cellStyle name="Porcentaje 3 4 2 4 4" xfId="6578" xr:uid="{F67F91D4-7F58-475A-9F79-44C6F1E2EA41}"/>
    <cellStyle name="Porcentaje 3 4 2 5" xfId="1912" xr:uid="{B88CFEED-DFF5-40F8-B1DA-9546A5BD0D85}"/>
    <cellStyle name="Porcentaje 3 4 2 5 2" xfId="4410" xr:uid="{EA72142B-02CB-4D03-96C5-5BDC876C5E53}"/>
    <cellStyle name="Porcentaje 3 4 2 5 2 2" xfId="9406" xr:uid="{0BCB0F06-0D8D-4013-A064-7B2EB4D55253}"/>
    <cellStyle name="Porcentaje 3 4 2 5 3" xfId="6908" xr:uid="{9DAAC812-17B4-403C-A1EA-615122D170C3}"/>
    <cellStyle name="Porcentaje 3 4 2 6" xfId="3161" xr:uid="{F432DAE8-0950-441F-BE28-E2D82840AA32}"/>
    <cellStyle name="Porcentaje 3 4 2 6 2" xfId="8157" xr:uid="{6005D984-D0E9-4138-9782-FAEDA779DCC9}"/>
    <cellStyle name="Porcentaje 3 4 2 7" xfId="5659" xr:uid="{9A124474-8A8C-45D4-9E1D-7F62ACF5C608}"/>
    <cellStyle name="Porcentaje 3 4 2 8" xfId="661" xr:uid="{3EE9FC14-2D6D-4375-B4F2-3D67362414DD}"/>
    <cellStyle name="Porcentaje 3 4 3" xfId="946" xr:uid="{C5657F7B-5E9E-4C0F-8BBD-E354BC6C11F5}"/>
    <cellStyle name="Porcentaje 3 4 3 2" xfId="2197" xr:uid="{CA02A6C7-A559-4C4D-AC7C-87975C9DEA02}"/>
    <cellStyle name="Porcentaje 3 4 3 2 2" xfId="4695" xr:uid="{D7E0D468-D8CF-422A-AA68-C4F376897649}"/>
    <cellStyle name="Porcentaje 3 4 3 2 2 2" xfId="9691" xr:uid="{3A0ECF25-0DBE-4C54-896C-91CCFF2189C8}"/>
    <cellStyle name="Porcentaje 3 4 3 2 3" xfId="7193" xr:uid="{6BC65146-9C33-4085-9C2B-A7E59FD9A6A5}"/>
    <cellStyle name="Porcentaje 3 4 3 3" xfId="3446" xr:uid="{F7F8958A-A048-449E-8A11-809957F5D636}"/>
    <cellStyle name="Porcentaje 3 4 3 3 2" xfId="8442" xr:uid="{CADFD69D-1F07-4CD5-A25C-D129FAB5EC7F}"/>
    <cellStyle name="Porcentaje 3 4 3 4" xfId="5944" xr:uid="{BF3DA09E-B14A-4A22-8B05-1A70CAFFBFEA}"/>
    <cellStyle name="Porcentaje 3 4 4" xfId="1259" xr:uid="{1163CF78-A095-4CC9-AC75-51C4D0B2DAB7}"/>
    <cellStyle name="Porcentaje 3 4 4 2" xfId="2509" xr:uid="{77467303-AD0E-481F-952B-CDDD77034BC6}"/>
    <cellStyle name="Porcentaje 3 4 4 2 2" xfId="5007" xr:uid="{D9739847-A658-4F26-8CDD-70CF66D5512D}"/>
    <cellStyle name="Porcentaje 3 4 4 2 2 2" xfId="10003" xr:uid="{DC56B509-5E27-4864-A9B0-8D485823F659}"/>
    <cellStyle name="Porcentaje 3 4 4 2 3" xfId="7505" xr:uid="{81FE9778-8596-4876-AEA4-ECA51A69484E}"/>
    <cellStyle name="Porcentaje 3 4 4 3" xfId="3758" xr:uid="{747A6EE6-5F28-41BC-965F-F883E3D5F834}"/>
    <cellStyle name="Porcentaje 3 4 4 3 2" xfId="8754" xr:uid="{8815B113-1A18-4B37-81EE-6A01BE999459}"/>
    <cellStyle name="Porcentaje 3 4 4 4" xfId="6256" xr:uid="{4BC7CFCA-2748-4076-B46C-67FA12CDABC8}"/>
    <cellStyle name="Porcentaje 3 4 5" xfId="1439" xr:uid="{8986D5C6-37D5-4DEE-8468-228CC10A2741}"/>
    <cellStyle name="Porcentaje 3 4 5 2" xfId="2689" xr:uid="{749829BA-D692-4DD3-B0C6-527846F404CE}"/>
    <cellStyle name="Porcentaje 3 4 5 2 2" xfId="5187" xr:uid="{8A7847FA-D747-4A05-BF82-AA24AC5227A9}"/>
    <cellStyle name="Porcentaje 3 4 5 2 2 2" xfId="10183" xr:uid="{95154F8A-FF31-428A-8578-CDE8D70A28C7}"/>
    <cellStyle name="Porcentaje 3 4 5 2 3" xfId="7685" xr:uid="{86A1A343-8C87-4C06-B20A-986FC27376BD}"/>
    <cellStyle name="Porcentaje 3 4 5 3" xfId="3938" xr:uid="{E6C58466-04FB-4E9E-9055-B04E22860894}"/>
    <cellStyle name="Porcentaje 3 4 5 3 2" xfId="8934" xr:uid="{5B5371ED-9F3C-4D5B-A218-6EEDB26314BB}"/>
    <cellStyle name="Porcentaje 3 4 5 4" xfId="6436" xr:uid="{56469F34-0E7C-4212-BF22-033AF35467AB}"/>
    <cellStyle name="Porcentaje 3 4 6" xfId="1770" xr:uid="{187C012D-B5D7-4F5F-BA41-F3684A3DD4B0}"/>
    <cellStyle name="Porcentaje 3 4 6 2" xfId="4268" xr:uid="{E73BFEE8-0026-47EB-9EA4-F15769A849F7}"/>
    <cellStyle name="Porcentaje 3 4 6 2 2" xfId="9264" xr:uid="{EF8C3ED0-3B39-4D53-810B-F7EB574A3BF7}"/>
    <cellStyle name="Porcentaje 3 4 6 3" xfId="6766" xr:uid="{E0AC8145-5F63-4C14-9F1B-ED05ECF64484}"/>
    <cellStyle name="Porcentaje 3 4 7" xfId="3019" xr:uid="{34109978-4B19-4563-A163-F815246F79CB}"/>
    <cellStyle name="Porcentaje 3 4 7 2" xfId="8015" xr:uid="{6B0342D7-3365-4879-9A71-2ED7EC14CF72}"/>
    <cellStyle name="Porcentaje 3 4 8" xfId="5517" xr:uid="{3A7065F7-79FC-44C2-9D33-52E82081C165}"/>
    <cellStyle name="Porcentaje 3 4 9" xfId="519" xr:uid="{B02FFC1B-5E3D-4318-BE18-28BB30A4D7BB}"/>
    <cellStyle name="Porcentaje 3 5" xfId="331" xr:uid="{6734474F-A12C-405C-82F1-1A68B0A05576}"/>
    <cellStyle name="Porcentaje 3 5 2" xfId="948" xr:uid="{836816EF-5BFE-4638-96B7-B791E34E90CD}"/>
    <cellStyle name="Porcentaje 3 5 2 2" xfId="2199" xr:uid="{04C0D3D7-3EC6-40B5-9E1B-74B3CD0331C7}"/>
    <cellStyle name="Porcentaje 3 5 2 2 2" xfId="4697" xr:uid="{FD70B3F5-A150-4497-B8CC-D8A368116D46}"/>
    <cellStyle name="Porcentaje 3 5 2 2 2 2" xfId="9693" xr:uid="{C12150AA-3AA5-48EB-B843-6F5DA6718E4D}"/>
    <cellStyle name="Porcentaje 3 5 2 2 3" xfId="7195" xr:uid="{C8D8221E-D80F-40D7-96F3-0ED9B0E83918}"/>
    <cellStyle name="Porcentaje 3 5 2 3" xfId="3448" xr:uid="{F1EB5D93-4906-484F-B6B9-E6A4EF49E6EA}"/>
    <cellStyle name="Porcentaje 3 5 2 3 2" xfId="8444" xr:uid="{80408AA7-6719-46EE-B0C4-8CF5F2FCB34A}"/>
    <cellStyle name="Porcentaje 3 5 2 4" xfId="5946" xr:uid="{6B3780EE-6D45-489F-957F-EF7C45382F4D}"/>
    <cellStyle name="Porcentaje 3 5 3" xfId="1261" xr:uid="{098990E5-AF31-4056-A94D-C0CFBD64F388}"/>
    <cellStyle name="Porcentaje 3 5 3 2" xfId="2511" xr:uid="{5CEEF9A4-CB10-4F1D-8FE6-8D505BCABAB0}"/>
    <cellStyle name="Porcentaje 3 5 3 2 2" xfId="5009" xr:uid="{B97BB276-DCB3-4B15-9879-01E977623D9D}"/>
    <cellStyle name="Porcentaje 3 5 3 2 2 2" xfId="10005" xr:uid="{6ED9FDFA-475A-4381-ACDD-9F0D96804E7D}"/>
    <cellStyle name="Porcentaje 3 5 3 2 3" xfId="7507" xr:uid="{D449D017-26A3-4A88-AF7B-5D332F3DEF74}"/>
    <cellStyle name="Porcentaje 3 5 3 3" xfId="3760" xr:uid="{B8233327-B4EB-4598-8D9A-BA74C76895FA}"/>
    <cellStyle name="Porcentaje 3 5 3 3 2" xfId="8756" xr:uid="{04040BDE-5A18-4771-971D-75856DA0B56C}"/>
    <cellStyle name="Porcentaje 3 5 3 4" xfId="6258" xr:uid="{8601D0DF-5DF5-44F4-868F-A9841066C689}"/>
    <cellStyle name="Porcentaje 3 5 4" xfId="1577" xr:uid="{61A5BCA5-D2BF-41F6-9BE0-99C5E8879389}"/>
    <cellStyle name="Porcentaje 3 5 4 2" xfId="2827" xr:uid="{98219D9B-5B21-49C4-960F-9B1DC0C7F395}"/>
    <cellStyle name="Porcentaje 3 5 4 2 2" xfId="5325" xr:uid="{92431C68-2D6B-4FBD-8DAD-676E99D2E5D4}"/>
    <cellStyle name="Porcentaje 3 5 4 2 2 2" xfId="10321" xr:uid="{958F405E-EC27-4DBF-9557-7FADECD00639}"/>
    <cellStyle name="Porcentaje 3 5 4 2 3" xfId="7823" xr:uid="{C7C0D111-8ED0-422A-AD13-C517889C0F6A}"/>
    <cellStyle name="Porcentaje 3 5 4 3" xfId="4076" xr:uid="{B1BE4B70-01C9-4DDC-96E4-2E6A8BCC0888}"/>
    <cellStyle name="Porcentaje 3 5 4 3 2" xfId="9072" xr:uid="{B0934A7C-D5DD-4A68-A9C3-4B1A5D45BF2D}"/>
    <cellStyle name="Porcentaje 3 5 4 4" xfId="6574" xr:uid="{BA496299-FE07-4155-8025-11FEE8193C48}"/>
    <cellStyle name="Porcentaje 3 5 5" xfId="1908" xr:uid="{F481BF81-AE8A-4668-BA57-554DA6BB7175}"/>
    <cellStyle name="Porcentaje 3 5 5 2" xfId="4406" xr:uid="{FD9F67BE-2294-4788-9EA2-2B4A72DCCDD0}"/>
    <cellStyle name="Porcentaje 3 5 5 2 2" xfId="9402" xr:uid="{05D421C2-A135-47D2-874C-E8BAA97A0E2D}"/>
    <cellStyle name="Porcentaje 3 5 5 3" xfId="6904" xr:uid="{C34A3658-F328-4287-A465-7B8E9B2E7BCC}"/>
    <cellStyle name="Porcentaje 3 5 6" xfId="3157" xr:uid="{D7169749-11CE-4A9F-9EE2-B533FE098369}"/>
    <cellStyle name="Porcentaje 3 5 6 2" xfId="8153" xr:uid="{6B4A5487-BC4C-4960-9FCE-6EEACCC85449}"/>
    <cellStyle name="Porcentaje 3 5 7" xfId="5655" xr:uid="{937F026C-AAEE-4DEB-89F4-BEA7AA7532AE}"/>
    <cellStyle name="Porcentaje 3 5 8" xfId="657" xr:uid="{69E6D2EB-2BE8-476E-8E19-9EE28D218DB8}"/>
    <cellStyle name="Porcentaje 3 6" xfId="384" xr:uid="{CCB2418D-3C7E-49B3-90F8-C539E28469C0}"/>
    <cellStyle name="Porcentaje 3 6 2" xfId="1305" xr:uid="{7DE7BF1D-C0E2-4D09-B2D0-8B2B835CF017}"/>
    <cellStyle name="Porcentaje 3 6 2 2" xfId="2555" xr:uid="{220811B7-5E29-46BF-85E1-F1647240818B}"/>
    <cellStyle name="Porcentaje 3 6 2 2 2" xfId="5053" xr:uid="{25B5C195-B4DB-4712-BCF4-05A598743EEF}"/>
    <cellStyle name="Porcentaje 3 6 2 2 2 2" xfId="10049" xr:uid="{A6776D15-C988-4107-9A48-89018B67E9C3}"/>
    <cellStyle name="Porcentaje 3 6 2 2 3" xfId="7551" xr:uid="{94A168C7-AC66-46B3-860C-C48768693B58}"/>
    <cellStyle name="Porcentaje 3 6 2 3" xfId="3804" xr:uid="{F52A9B5E-B136-4473-A00F-EF8DD971F230}"/>
    <cellStyle name="Porcentaje 3 6 2 3 2" xfId="8800" xr:uid="{C60148C6-75A5-460D-ACC3-904590E80B15}"/>
    <cellStyle name="Porcentaje 3 6 2 4" xfId="6302" xr:uid="{23EBAC36-7BA4-4E32-9E75-579AC8D30DDB}"/>
    <cellStyle name="Porcentaje 3 6 3" xfId="2243" xr:uid="{842C9CDD-858F-441D-8101-758FAFB83914}"/>
    <cellStyle name="Porcentaje 3 6 3 2" xfId="4741" xr:uid="{BDF985EF-6ABA-4375-8079-7DF97F496BE1}"/>
    <cellStyle name="Porcentaje 3 6 3 2 2" xfId="9737" xr:uid="{7B50091B-CE82-4708-897F-80E736496A67}"/>
    <cellStyle name="Porcentaje 3 6 3 3" xfId="7239" xr:uid="{08E9608E-D729-42EA-A51F-01F5349BDA17}"/>
    <cellStyle name="Porcentaje 3 6 4" xfId="3492" xr:uid="{4F039234-A252-4DB4-B508-C30DCDB8E07C}"/>
    <cellStyle name="Porcentaje 3 6 4 2" xfId="8488" xr:uid="{C215EB42-BE3E-437C-93A7-640448EA68EA}"/>
    <cellStyle name="Porcentaje 3 6 5" xfId="5990" xr:uid="{B8ABE621-81B4-4345-B137-1550E20BF5D9}"/>
    <cellStyle name="Porcentaje 3 6 6" xfId="993" xr:uid="{6C3493AC-DFCA-40A3-B4FF-04F886FCD6D8}"/>
    <cellStyle name="Porcentaje 3 7" xfId="705" xr:uid="{C61D2505-5623-40D5-9919-E184B6BF01E9}"/>
    <cellStyle name="Porcentaje 3 7 2" xfId="1956" xr:uid="{ABBE070D-B36B-4E15-A413-9EE466A5B8DD}"/>
    <cellStyle name="Porcentaje 3 7 2 2" xfId="4454" xr:uid="{E8311E96-A955-4526-86A4-29E52FF2B440}"/>
    <cellStyle name="Porcentaje 3 7 2 2 2" xfId="9450" xr:uid="{0DC3EADC-76F4-41F5-B2F0-7E611152E397}"/>
    <cellStyle name="Porcentaje 3 7 2 3" xfId="6952" xr:uid="{27DA4F9F-5C67-4233-A0EC-317FAA67F05E}"/>
    <cellStyle name="Porcentaje 3 7 3" xfId="3205" xr:uid="{49F85530-64C7-4926-A387-804B52BF32CB}"/>
    <cellStyle name="Porcentaje 3 7 3 2" xfId="8201" xr:uid="{090DE78B-C569-4515-9C7A-8D27EB0383FF}"/>
    <cellStyle name="Porcentaje 3 7 4" xfId="5703" xr:uid="{47CA3C6C-9F80-4303-9517-98115AF420AE}"/>
    <cellStyle name="Porcentaje 3 8" xfId="1018" xr:uid="{6851B7FE-94EE-44D3-8B6C-72DAD96BAA97}"/>
    <cellStyle name="Porcentaje 3 8 2" xfId="2268" xr:uid="{6DBA0416-B4E7-480B-910B-72CB45079E5D}"/>
    <cellStyle name="Porcentaje 3 8 2 2" xfId="4766" xr:uid="{350E0112-FCF3-49C6-9749-4818B1220907}"/>
    <cellStyle name="Porcentaje 3 8 2 2 2" xfId="9762" xr:uid="{AC608710-04E3-4964-90EC-1F00DB207DB7}"/>
    <cellStyle name="Porcentaje 3 8 2 3" xfId="7264" xr:uid="{FC492453-4BB2-4951-A17D-38A2E23FD6DD}"/>
    <cellStyle name="Porcentaje 3 8 3" xfId="3517" xr:uid="{278D1CEB-AB2D-4C5D-ADF9-804EC7C4BAF6}"/>
    <cellStyle name="Porcentaje 3 8 3 2" xfId="8513" xr:uid="{E3314DB0-E237-4E0B-974E-6950B33AE9F6}"/>
    <cellStyle name="Porcentaje 3 8 4" xfId="6015" xr:uid="{D3B4809E-CBD2-4830-A470-1E76C21319C2}"/>
    <cellStyle name="Porcentaje 3 9" xfId="1316" xr:uid="{1C75464F-76B4-46A8-9C67-CB7AA33CA20B}"/>
    <cellStyle name="Porcentaje 3 9 2" xfId="2566" xr:uid="{321B6737-594B-42B1-AB19-DF98B5519C80}"/>
    <cellStyle name="Porcentaje 3 9 2 2" xfId="5064" xr:uid="{A1864837-8B6C-43E3-80B6-A7D2B93B2DB6}"/>
    <cellStyle name="Porcentaje 3 9 2 2 2" xfId="10060" xr:uid="{387C9361-170D-472E-A53B-BBD43AAE3E8A}"/>
    <cellStyle name="Porcentaje 3 9 2 3" xfId="7562" xr:uid="{7F3DF3E8-CBF4-4815-895B-3C86FACBCDE3}"/>
    <cellStyle name="Porcentaje 3 9 3" xfId="3815" xr:uid="{A3CAE074-0ADE-4324-88AA-A54C56BD1A05}"/>
    <cellStyle name="Porcentaje 3 9 3 2" xfId="8811" xr:uid="{C353EA1D-FB17-4162-841E-D943AE2F2A8C}"/>
    <cellStyle name="Porcentaje 3 9 4" xfId="6313" xr:uid="{E68AD27B-813A-4EA5-B54A-BACB0CB8BA34}"/>
    <cellStyle name="Porcentaje 4" xfId="30" xr:uid="{2A1CB7E2-B268-4D3D-833B-562D2E551A28}"/>
    <cellStyle name="Porcentaje 5" xfId="50" xr:uid="{FFE1E462-C8BA-4E0F-9F85-1EC771595459}"/>
    <cellStyle name="Porcentaje 5 10" xfId="1649" xr:uid="{36EB7337-0EF7-4EDD-A1E2-D9CD96728BE4}"/>
    <cellStyle name="Porcentaje 5 10 2" xfId="4147" xr:uid="{7AF01F1A-1932-4A5D-B260-BBCBAB01F89B}"/>
    <cellStyle name="Porcentaje 5 10 2 2" xfId="9143" xr:uid="{1AE9AAE4-18B2-439E-94BA-5EB25BB9368F}"/>
    <cellStyle name="Porcentaje 5 10 3" xfId="6645" xr:uid="{1B3C3B9C-1AED-48D7-9780-956A253E39EC}"/>
    <cellStyle name="Porcentaje 5 11" xfId="2898" xr:uid="{A7D77C20-63E1-4728-BD45-8CE6F6C9C290}"/>
    <cellStyle name="Porcentaje 5 11 2" xfId="7894" xr:uid="{084AA843-D188-4ABE-92B2-5CA944B048FB}"/>
    <cellStyle name="Porcentaje 5 12" xfId="5396" xr:uid="{148605D3-4BBA-40B3-A036-7FF9ADF3E2D8}"/>
    <cellStyle name="Porcentaje 5 13" xfId="398" xr:uid="{1FBF2566-9D66-4F49-9697-12AA07692797}"/>
    <cellStyle name="Porcentaje 5 2" xfId="80" xr:uid="{1B3FE957-9032-4195-B3CC-09FA2CA49BF1}"/>
    <cellStyle name="Porcentaje 5 2 10" xfId="5436" xr:uid="{C9A59D52-C493-4E01-AA0B-F4A3F68AE67B}"/>
    <cellStyle name="Porcentaje 5 2 11" xfId="438" xr:uid="{A012FD90-FC32-4A52-8B37-DA202C6825E7}"/>
    <cellStyle name="Porcentaje 5 2 2" xfId="332" xr:uid="{BB7DEC13-A9E7-4FB0-8D23-F38E18CC2813}"/>
    <cellStyle name="Porcentaje 5 2 2 2" xfId="333" xr:uid="{8B233629-BE69-41D0-A231-D9B1EACC8CB5}"/>
    <cellStyle name="Porcentaje 5 2 2 2 2" xfId="950" xr:uid="{2AE33DF5-1EB5-48D5-AA82-167968EBCC8D}"/>
    <cellStyle name="Porcentaje 5 2 2 2 2 2" xfId="2201" xr:uid="{3A6EDFDD-B218-4A4D-83B9-F3AB2DFFBD65}"/>
    <cellStyle name="Porcentaje 5 2 2 2 2 2 2" xfId="4699" xr:uid="{B2C99A63-0615-47B3-96ED-0A42CC29D80B}"/>
    <cellStyle name="Porcentaje 5 2 2 2 2 2 2 2" xfId="9695" xr:uid="{0C19F38C-5937-4F95-95D8-56A291C57FF8}"/>
    <cellStyle name="Porcentaje 5 2 2 2 2 2 3" xfId="7197" xr:uid="{C13B242F-CC2E-4BA4-9B07-54EA75F8C3DF}"/>
    <cellStyle name="Porcentaje 5 2 2 2 2 3" xfId="3450" xr:uid="{A7B3760B-2031-41E4-AD2B-B64664E6B4FC}"/>
    <cellStyle name="Porcentaje 5 2 2 2 2 3 2" xfId="8446" xr:uid="{AEAE3B9D-524C-480C-9F89-020F4B8391DF}"/>
    <cellStyle name="Porcentaje 5 2 2 2 2 4" xfId="5948" xr:uid="{49556FF5-6399-4CB4-B022-4F5696DCD3B6}"/>
    <cellStyle name="Porcentaje 5 2 2 2 3" xfId="1263" xr:uid="{3811F9F4-8164-4CB2-80AD-A400E17F2750}"/>
    <cellStyle name="Porcentaje 5 2 2 2 3 2" xfId="2513" xr:uid="{33195950-AC7F-4B7C-BC2A-1DC60A1E5F41}"/>
    <cellStyle name="Porcentaje 5 2 2 2 3 2 2" xfId="5011" xr:uid="{415BFF6B-37E7-45E5-8EBB-18D6FEC8B86C}"/>
    <cellStyle name="Porcentaje 5 2 2 2 3 2 2 2" xfId="10007" xr:uid="{EFC12550-6ECE-4CED-B5B5-6182B65DDBEB}"/>
    <cellStyle name="Porcentaje 5 2 2 2 3 2 3" xfId="7509" xr:uid="{E0DCBD12-ADCE-4389-A075-386EC4F01CB7}"/>
    <cellStyle name="Porcentaje 5 2 2 2 3 3" xfId="3762" xr:uid="{A4ADF3CD-8870-4B5F-94CF-510E34EAED10}"/>
    <cellStyle name="Porcentaje 5 2 2 2 3 3 2" xfId="8758" xr:uid="{9D9D4D9B-7848-42E0-8F01-945CABF5FF91}"/>
    <cellStyle name="Porcentaje 5 2 2 2 3 4" xfId="6260" xr:uid="{B36863DB-BBEE-49AF-9AFB-93F68AF140F7}"/>
    <cellStyle name="Porcentaje 5 2 2 2 4" xfId="1584" xr:uid="{198B72DD-D63E-474C-99D6-E6C2D4127BF0}"/>
    <cellStyle name="Porcentaje 5 2 2 2 4 2" xfId="2834" xr:uid="{7C881E29-4FB0-4B6F-8EF2-230CB5198378}"/>
    <cellStyle name="Porcentaje 5 2 2 2 4 2 2" xfId="5332" xr:uid="{38126491-775A-499F-8E60-61147018D1B0}"/>
    <cellStyle name="Porcentaje 5 2 2 2 4 2 2 2" xfId="10328" xr:uid="{4B905461-DBA3-4E67-8BCE-C01F9E8E4669}"/>
    <cellStyle name="Porcentaje 5 2 2 2 4 2 3" xfId="7830" xr:uid="{4A1E41DC-47F6-4359-885C-765AC1FB15CF}"/>
    <cellStyle name="Porcentaje 5 2 2 2 4 3" xfId="4083" xr:uid="{86F55824-3A4A-44B6-BCC5-8B3406AC77AC}"/>
    <cellStyle name="Porcentaje 5 2 2 2 4 3 2" xfId="9079" xr:uid="{DC0AA7CA-A66E-4D7E-9B01-FA3247BC1962}"/>
    <cellStyle name="Porcentaje 5 2 2 2 4 4" xfId="6581" xr:uid="{BD71993C-8F1E-4785-A546-327600E2538E}"/>
    <cellStyle name="Porcentaje 5 2 2 2 5" xfId="1915" xr:uid="{19D769D1-14BF-4B4B-BE84-F9BBB4222619}"/>
    <cellStyle name="Porcentaje 5 2 2 2 5 2" xfId="4413" xr:uid="{762BAA10-1184-47C2-B116-3A71EE6C3EEB}"/>
    <cellStyle name="Porcentaje 5 2 2 2 5 2 2" xfId="9409" xr:uid="{2EF3887C-AF5B-4747-B89D-7A5CE8959443}"/>
    <cellStyle name="Porcentaje 5 2 2 2 5 3" xfId="6911" xr:uid="{DE7F7A78-4CC0-4218-8745-B76CB6D70D92}"/>
    <cellStyle name="Porcentaje 5 2 2 2 6" xfId="3164" xr:uid="{805259E3-89A1-4899-8021-B8EA7BF4DAD8}"/>
    <cellStyle name="Porcentaje 5 2 2 2 6 2" xfId="8160" xr:uid="{7B65C2DA-10C2-44F0-8C94-AFB718398F40}"/>
    <cellStyle name="Porcentaje 5 2 2 2 7" xfId="5662" xr:uid="{D4E4199F-48FD-43FD-A928-2D28128D1854}"/>
    <cellStyle name="Porcentaje 5 2 2 2 8" xfId="664" xr:uid="{CFB575C0-8F91-4035-AD94-06F4883B610B}"/>
    <cellStyle name="Porcentaje 5 2 2 3" xfId="949" xr:uid="{0C1C635D-2ACD-43DE-9560-C3CFA3959A32}"/>
    <cellStyle name="Porcentaje 5 2 2 3 2" xfId="2200" xr:uid="{D1CB6141-B3C1-4357-AC55-F75D5A2F717F}"/>
    <cellStyle name="Porcentaje 5 2 2 3 2 2" xfId="4698" xr:uid="{1ECE3D06-7308-4659-BB7E-0F13519C310F}"/>
    <cellStyle name="Porcentaje 5 2 2 3 2 2 2" xfId="9694" xr:uid="{94DA4875-C859-4C91-8138-29655ABBD36E}"/>
    <cellStyle name="Porcentaje 5 2 2 3 2 3" xfId="7196" xr:uid="{B11D2D20-69A6-4A5E-B86D-7E52152308C7}"/>
    <cellStyle name="Porcentaje 5 2 2 3 3" xfId="3449" xr:uid="{E618CE0F-B4C8-44F7-A6E3-920ED69D9AAF}"/>
    <cellStyle name="Porcentaje 5 2 2 3 3 2" xfId="8445" xr:uid="{A02B0E8C-B514-4BFE-9E44-D56C3411462F}"/>
    <cellStyle name="Porcentaje 5 2 2 3 4" xfId="5947" xr:uid="{FA371963-A009-48BA-96DE-4C57BF755F0D}"/>
    <cellStyle name="Porcentaje 5 2 2 4" xfId="1262" xr:uid="{BD60DBA0-6FAA-45F0-8CAE-3B0E9146A124}"/>
    <cellStyle name="Porcentaje 5 2 2 4 2" xfId="2512" xr:uid="{53389447-897A-444F-872B-99EAE8A7F4B9}"/>
    <cellStyle name="Porcentaje 5 2 2 4 2 2" xfId="5010" xr:uid="{60CE7221-AE46-4149-AE9B-C37E744568C7}"/>
    <cellStyle name="Porcentaje 5 2 2 4 2 2 2" xfId="10006" xr:uid="{79C3474E-85E8-4458-B57A-9A38C6D58ACC}"/>
    <cellStyle name="Porcentaje 5 2 2 4 2 3" xfId="7508" xr:uid="{AA1E6D08-5F5E-42D1-AE96-EA56B1D01440}"/>
    <cellStyle name="Porcentaje 5 2 2 4 3" xfId="3761" xr:uid="{65A02B18-1101-4A28-AFFB-B3CF338849EB}"/>
    <cellStyle name="Porcentaje 5 2 2 4 3 2" xfId="8757" xr:uid="{5DA6A672-BC3B-4170-897E-52FF6D018B4C}"/>
    <cellStyle name="Porcentaje 5 2 2 4 4" xfId="6259" xr:uid="{55044FB7-E25D-4DC5-ABDB-0B135A51C9D1}"/>
    <cellStyle name="Porcentaje 5 2 2 5" xfId="1359" xr:uid="{8ACC4C14-CD66-4917-80C1-25B32D1001C8}"/>
    <cellStyle name="Porcentaje 5 2 2 5 2" xfId="2609" xr:uid="{0D0CBA47-7886-4186-844F-C537C15A7BE3}"/>
    <cellStyle name="Porcentaje 5 2 2 5 2 2" xfId="5107" xr:uid="{096D70FD-5BC4-46B9-B352-9743B5BA1C1D}"/>
    <cellStyle name="Porcentaje 5 2 2 5 2 2 2" xfId="10103" xr:uid="{FE925354-3C00-4FEE-A70B-A8A3EE522149}"/>
    <cellStyle name="Porcentaje 5 2 2 5 2 3" xfId="7605" xr:uid="{B7D31A89-028E-4B7C-BF37-68A9CB1C914D}"/>
    <cellStyle name="Porcentaje 5 2 2 5 3" xfId="3858" xr:uid="{E4D8DC48-DB0F-491D-8A18-411AE219B708}"/>
    <cellStyle name="Porcentaje 5 2 2 5 3 2" xfId="8854" xr:uid="{652C2988-554A-4452-AA41-3BAE4B8DC213}"/>
    <cellStyle name="Porcentaje 5 2 2 5 4" xfId="6356" xr:uid="{C60B2286-2030-40ED-B333-9464A142A47D}"/>
    <cellStyle name="Porcentaje 5 2 2 6" xfId="1690" xr:uid="{B0652458-59A9-4BEB-B4AB-85A1265CCF16}"/>
    <cellStyle name="Porcentaje 5 2 2 6 2" xfId="4188" xr:uid="{D1F69959-8A0F-48AC-AA18-F6459C2F055B}"/>
    <cellStyle name="Porcentaje 5 2 2 6 2 2" xfId="9184" xr:uid="{1366AEFC-B434-4CC4-87FF-13BA7EC54056}"/>
    <cellStyle name="Porcentaje 5 2 2 6 3" xfId="6686" xr:uid="{B9ED966F-5008-410E-B853-8F136E5D32E0}"/>
    <cellStyle name="Porcentaje 5 2 2 7" xfId="2939" xr:uid="{D329C6AB-2972-40DE-9375-2555CA36A479}"/>
    <cellStyle name="Porcentaje 5 2 2 7 2" xfId="7935" xr:uid="{CD44E698-499C-495F-AF5A-2335AE382767}"/>
    <cellStyle name="Porcentaje 5 2 2 8" xfId="5437" xr:uid="{A5CD8A51-45B0-422A-88D4-43ED157E7108}"/>
    <cellStyle name="Porcentaje 5 2 2 9" xfId="439" xr:uid="{FFEC4632-5347-4935-B27E-7A933BDDBEEB}"/>
    <cellStyle name="Porcentaje 5 2 3" xfId="334" xr:uid="{11E6F17D-2863-49AC-8782-A860F667E4B6}"/>
    <cellStyle name="Porcentaje 5 2 3 2" xfId="335" xr:uid="{7F3EF2A3-E2B6-4A57-BADF-20AE2A12187D}"/>
    <cellStyle name="Porcentaje 5 2 3 2 2" xfId="952" xr:uid="{63B70B58-2377-433A-A0FA-9DECADEB1B79}"/>
    <cellStyle name="Porcentaje 5 2 3 2 2 2" xfId="2203" xr:uid="{A532D31F-D266-4630-BC60-2E4218E0554D}"/>
    <cellStyle name="Porcentaje 5 2 3 2 2 2 2" xfId="4701" xr:uid="{A6B0B0D7-2A98-4739-8286-0C0DC9ACBA1F}"/>
    <cellStyle name="Porcentaje 5 2 3 2 2 2 2 2" xfId="9697" xr:uid="{CC87330A-AD95-462C-A706-848C0B717ED9}"/>
    <cellStyle name="Porcentaje 5 2 3 2 2 2 3" xfId="7199" xr:uid="{5B7A9E80-4307-4E18-8901-AECF03FC243E}"/>
    <cellStyle name="Porcentaje 5 2 3 2 2 3" xfId="3452" xr:uid="{EA4B5DB7-4FB4-4A8E-8476-C579765DB5DF}"/>
    <cellStyle name="Porcentaje 5 2 3 2 2 3 2" xfId="8448" xr:uid="{A87F939F-A692-48E8-970C-9ABE219DB7C7}"/>
    <cellStyle name="Porcentaje 5 2 3 2 2 4" xfId="5950" xr:uid="{2E6C6B63-AB1D-44BF-9004-69CF37650B6E}"/>
    <cellStyle name="Porcentaje 5 2 3 2 3" xfId="1265" xr:uid="{170E817B-3D14-4D66-9FDB-2403D765B46A}"/>
    <cellStyle name="Porcentaje 5 2 3 2 3 2" xfId="2515" xr:uid="{75C7D37E-1E38-4EA9-ABAF-6AD514FDCBA2}"/>
    <cellStyle name="Porcentaje 5 2 3 2 3 2 2" xfId="5013" xr:uid="{5F86746D-D976-455F-BD96-36973EEF60ED}"/>
    <cellStyle name="Porcentaje 5 2 3 2 3 2 2 2" xfId="10009" xr:uid="{5B651522-8B7F-4067-AB9C-F15E346BFD3F}"/>
    <cellStyle name="Porcentaje 5 2 3 2 3 2 3" xfId="7511" xr:uid="{370945E6-C8D1-4901-9735-B1D91C89198F}"/>
    <cellStyle name="Porcentaje 5 2 3 2 3 3" xfId="3764" xr:uid="{F8B1B676-59A4-47AD-AB1F-6C61CA501156}"/>
    <cellStyle name="Porcentaje 5 2 3 2 3 3 2" xfId="8760" xr:uid="{E98E5168-9A5B-4148-A6D7-80EA003CFD3C}"/>
    <cellStyle name="Porcentaje 5 2 3 2 3 4" xfId="6262" xr:uid="{F229D009-631F-4690-AE0D-8197838CE70E}"/>
    <cellStyle name="Porcentaje 5 2 3 2 4" xfId="1585" xr:uid="{08143788-4E1B-4703-B008-47DB8BF3D44A}"/>
    <cellStyle name="Porcentaje 5 2 3 2 4 2" xfId="2835" xr:uid="{1037D573-2320-48FB-BD2C-AFCE2F0FF344}"/>
    <cellStyle name="Porcentaje 5 2 3 2 4 2 2" xfId="5333" xr:uid="{EA9CC393-95A0-4423-8F44-62DE13DF66D2}"/>
    <cellStyle name="Porcentaje 5 2 3 2 4 2 2 2" xfId="10329" xr:uid="{2AE13A72-1710-49B1-A493-A6BA8B14EF3F}"/>
    <cellStyle name="Porcentaje 5 2 3 2 4 2 3" xfId="7831" xr:uid="{066B6166-B127-4074-A6B8-F3F18187AC41}"/>
    <cellStyle name="Porcentaje 5 2 3 2 4 3" xfId="4084" xr:uid="{8B539743-227B-4FD5-94AA-AF4955EA7CF5}"/>
    <cellStyle name="Porcentaje 5 2 3 2 4 3 2" xfId="9080" xr:uid="{8016C8AC-4200-452A-9A2B-3EE1B6341818}"/>
    <cellStyle name="Porcentaje 5 2 3 2 4 4" xfId="6582" xr:uid="{6CB483A7-0BE0-482E-9A58-DA313E583981}"/>
    <cellStyle name="Porcentaje 5 2 3 2 5" xfId="1916" xr:uid="{22947621-D87C-4556-A9A3-77E554721A62}"/>
    <cellStyle name="Porcentaje 5 2 3 2 5 2" xfId="4414" xr:uid="{95657625-2DDD-450C-BD2C-9A1ECB4F7AB7}"/>
    <cellStyle name="Porcentaje 5 2 3 2 5 2 2" xfId="9410" xr:uid="{8234E103-000C-4866-8F25-9A8F6544FB4B}"/>
    <cellStyle name="Porcentaje 5 2 3 2 5 3" xfId="6912" xr:uid="{26A814B9-0950-48AB-A79A-BF3F48771E68}"/>
    <cellStyle name="Porcentaje 5 2 3 2 6" xfId="3165" xr:uid="{2966872C-5ABD-4C68-A8CD-773DEF674615}"/>
    <cellStyle name="Porcentaje 5 2 3 2 6 2" xfId="8161" xr:uid="{0025A8C6-36A0-4F5B-BCE6-19E2E056C378}"/>
    <cellStyle name="Porcentaje 5 2 3 2 7" xfId="5663" xr:uid="{A7C3020A-465B-45E5-B1BA-05A225ECBCD8}"/>
    <cellStyle name="Porcentaje 5 2 3 2 8" xfId="665" xr:uid="{BD81A4EA-FC57-48DC-813B-05F3FB198FCA}"/>
    <cellStyle name="Porcentaje 5 2 3 3" xfId="951" xr:uid="{15DE116D-0057-4A1E-87F9-682B330EB39C}"/>
    <cellStyle name="Porcentaje 5 2 3 3 2" xfId="2202" xr:uid="{FC6C3CEE-5736-40B5-B472-D6D5C271789E}"/>
    <cellStyle name="Porcentaje 5 2 3 3 2 2" xfId="4700" xr:uid="{B30A7E67-DDB7-438E-B8E5-8C62D067F940}"/>
    <cellStyle name="Porcentaje 5 2 3 3 2 2 2" xfId="9696" xr:uid="{CA429181-2044-4F61-ADF1-718C30C26AF3}"/>
    <cellStyle name="Porcentaje 5 2 3 3 2 3" xfId="7198" xr:uid="{D1548768-F08C-4967-B1A5-C793EC46EEC2}"/>
    <cellStyle name="Porcentaje 5 2 3 3 3" xfId="3451" xr:uid="{DAD3B0CD-43AF-41BD-B712-6614E72C8853}"/>
    <cellStyle name="Porcentaje 5 2 3 3 3 2" xfId="8447" xr:uid="{F7A0DBBD-9694-43EA-BBB8-B67B678EF5F1}"/>
    <cellStyle name="Porcentaje 5 2 3 3 4" xfId="5949" xr:uid="{669AC760-B93F-45E1-A5D1-3AC64256AD58}"/>
    <cellStyle name="Porcentaje 5 2 3 4" xfId="1264" xr:uid="{3C269DEA-FA45-41F8-97DA-913104DC3B12}"/>
    <cellStyle name="Porcentaje 5 2 3 4 2" xfId="2514" xr:uid="{2BAF913A-ECED-4161-8E7C-24DE8399665C}"/>
    <cellStyle name="Porcentaje 5 2 3 4 2 2" xfId="5012" xr:uid="{67C9751E-63C1-441B-AFE4-6DED0176B820}"/>
    <cellStyle name="Porcentaje 5 2 3 4 2 2 2" xfId="10008" xr:uid="{228412FF-82B4-4CA5-96F9-2B40EFE47E4E}"/>
    <cellStyle name="Porcentaje 5 2 3 4 2 3" xfId="7510" xr:uid="{758BA34F-9772-4325-A630-DB078CBABB27}"/>
    <cellStyle name="Porcentaje 5 2 3 4 3" xfId="3763" xr:uid="{2ACBE94B-0BA0-42AA-A9ED-F98061041FF5}"/>
    <cellStyle name="Porcentaje 5 2 3 4 3 2" xfId="8759" xr:uid="{F565D034-93FF-4CCF-897D-E61B52D84BA9}"/>
    <cellStyle name="Porcentaje 5 2 3 4 4" xfId="6261" xr:uid="{A6EE5A12-2F5E-41AA-9015-8CFD217890B3}"/>
    <cellStyle name="Porcentaje 5 2 3 5" xfId="1443" xr:uid="{23FB07B7-B5B9-4F17-AF45-45DB29CE1E6F}"/>
    <cellStyle name="Porcentaje 5 2 3 5 2" xfId="2693" xr:uid="{9182B0B8-B565-48D2-89FD-096F8DC76706}"/>
    <cellStyle name="Porcentaje 5 2 3 5 2 2" xfId="5191" xr:uid="{DB6CFE60-FD84-4FBB-86A9-6D8DE481FEBC}"/>
    <cellStyle name="Porcentaje 5 2 3 5 2 2 2" xfId="10187" xr:uid="{A86FB1E7-9C7E-4BCB-9DA3-AFCB099AFF00}"/>
    <cellStyle name="Porcentaje 5 2 3 5 2 3" xfId="7689" xr:uid="{1179C633-EE69-4B25-ABCD-F0A843ED1127}"/>
    <cellStyle name="Porcentaje 5 2 3 5 3" xfId="3942" xr:uid="{BC14A244-7E2A-42CE-80B9-7E9B972F1F49}"/>
    <cellStyle name="Porcentaje 5 2 3 5 3 2" xfId="8938" xr:uid="{3E537179-693C-4601-890B-73D4E1BCD577}"/>
    <cellStyle name="Porcentaje 5 2 3 5 4" xfId="6440" xr:uid="{3A9EFCBC-867C-46A2-9913-38CC4494CEE6}"/>
    <cellStyle name="Porcentaje 5 2 3 6" xfId="1774" xr:uid="{67813712-8E22-43DD-ABB4-612F6957CF83}"/>
    <cellStyle name="Porcentaje 5 2 3 6 2" xfId="4272" xr:uid="{5F4563BD-7C10-47A1-BD52-82A8F62BEF6A}"/>
    <cellStyle name="Porcentaje 5 2 3 6 2 2" xfId="9268" xr:uid="{73F383A3-044B-4EAC-9303-C0F1D549CFCB}"/>
    <cellStyle name="Porcentaje 5 2 3 6 3" xfId="6770" xr:uid="{2F110748-7D1B-47D4-A02A-D601EF5E1EFA}"/>
    <cellStyle name="Porcentaje 5 2 3 7" xfId="3023" xr:uid="{FFF7BF20-8361-4276-8342-8D326E217AB9}"/>
    <cellStyle name="Porcentaje 5 2 3 7 2" xfId="8019" xr:uid="{2753C4AD-7E7C-412F-8DBD-CBB3815F4A67}"/>
    <cellStyle name="Porcentaje 5 2 3 8" xfId="5521" xr:uid="{7E5AFF40-274D-4EB3-812D-B83AFB324987}"/>
    <cellStyle name="Porcentaje 5 2 3 9" xfId="523" xr:uid="{C454DA09-B366-4190-A42E-9D8D6FABD080}"/>
    <cellStyle name="Porcentaje 5 2 4" xfId="336" xr:uid="{D563D34C-366B-4D22-B8A0-4B94B9803DD7}"/>
    <cellStyle name="Porcentaje 5 2 4 2" xfId="953" xr:uid="{5CC28608-F9B0-4783-99D4-1E59D4944389}"/>
    <cellStyle name="Porcentaje 5 2 4 2 2" xfId="2204" xr:uid="{0CEC59D4-0914-447B-A6DA-8DD5518A873E}"/>
    <cellStyle name="Porcentaje 5 2 4 2 2 2" xfId="4702" xr:uid="{CA46E0B4-A990-4D15-B83C-221D10AA4258}"/>
    <cellStyle name="Porcentaje 5 2 4 2 2 2 2" xfId="9698" xr:uid="{BE92A151-1285-4FF1-BED1-620FFD2BB41E}"/>
    <cellStyle name="Porcentaje 5 2 4 2 2 3" xfId="7200" xr:uid="{F5FE6B2F-11DE-4027-ACD8-303DDAA00ACD}"/>
    <cellStyle name="Porcentaje 5 2 4 2 3" xfId="3453" xr:uid="{95153728-DE70-41A1-B492-0A6CCD49A09E}"/>
    <cellStyle name="Porcentaje 5 2 4 2 3 2" xfId="8449" xr:uid="{72962F3D-3D06-44B4-BDC3-0DD835684A68}"/>
    <cellStyle name="Porcentaje 5 2 4 2 4" xfId="5951" xr:uid="{77F70FAA-807E-4EBC-8D17-6B5B0984E58C}"/>
    <cellStyle name="Porcentaje 5 2 4 3" xfId="1266" xr:uid="{199372AD-6DF4-4BB1-9739-304C6D21D51E}"/>
    <cellStyle name="Porcentaje 5 2 4 3 2" xfId="2516" xr:uid="{B6EF1057-9F76-424A-9FEA-31A3948342E9}"/>
    <cellStyle name="Porcentaje 5 2 4 3 2 2" xfId="5014" xr:uid="{7B748836-3800-417D-AE87-90775A5B1C38}"/>
    <cellStyle name="Porcentaje 5 2 4 3 2 2 2" xfId="10010" xr:uid="{83E825F4-F52F-46BE-8DBE-D1B464D56013}"/>
    <cellStyle name="Porcentaje 5 2 4 3 2 3" xfId="7512" xr:uid="{5F774662-6E05-4047-9D4D-BE8C43A819EF}"/>
    <cellStyle name="Porcentaje 5 2 4 3 3" xfId="3765" xr:uid="{0890D635-C2FC-4EAC-A5F5-DEA799DCC2B9}"/>
    <cellStyle name="Porcentaje 5 2 4 3 3 2" xfId="8761" xr:uid="{802ECF0F-A1B4-4665-BD7C-3A8ADFC5E74B}"/>
    <cellStyle name="Porcentaje 5 2 4 3 4" xfId="6263" xr:uid="{DC0ACB15-2C9D-454C-AC11-CDFDFA921BF5}"/>
    <cellStyle name="Porcentaje 5 2 4 4" xfId="1583" xr:uid="{6F8CC21A-44DD-4BD9-A68C-6E6AC88800E9}"/>
    <cellStyle name="Porcentaje 5 2 4 4 2" xfId="2833" xr:uid="{322A0EDC-08BA-46EA-8B5F-B6F9DBDC8E9D}"/>
    <cellStyle name="Porcentaje 5 2 4 4 2 2" xfId="5331" xr:uid="{60B51C9A-4929-4759-B208-A1725058084B}"/>
    <cellStyle name="Porcentaje 5 2 4 4 2 2 2" xfId="10327" xr:uid="{D2161FBE-1695-40A3-A5F9-3AD622AF64F4}"/>
    <cellStyle name="Porcentaje 5 2 4 4 2 3" xfId="7829" xr:uid="{366A6845-68E9-4239-BFBB-000C45B05626}"/>
    <cellStyle name="Porcentaje 5 2 4 4 3" xfId="4082" xr:uid="{F4E007A3-B4E3-4D99-99E1-8117B1586250}"/>
    <cellStyle name="Porcentaje 5 2 4 4 3 2" xfId="9078" xr:uid="{CFA8E692-D3A9-4173-8A88-8C0A15754855}"/>
    <cellStyle name="Porcentaje 5 2 4 4 4" xfId="6580" xr:uid="{8CCD62EA-E1C8-4D66-A2F7-3F712DBDBE2B}"/>
    <cellStyle name="Porcentaje 5 2 4 5" xfId="1914" xr:uid="{34BA2F08-3246-4FDF-AF28-15DC18A04991}"/>
    <cellStyle name="Porcentaje 5 2 4 5 2" xfId="4412" xr:uid="{0C6F331F-9196-4C01-BAFD-F8AFF13E48F4}"/>
    <cellStyle name="Porcentaje 5 2 4 5 2 2" xfId="9408" xr:uid="{076D3CB0-6896-42C0-A584-F1AE27C5C8DD}"/>
    <cellStyle name="Porcentaje 5 2 4 5 3" xfId="6910" xr:uid="{7E57E661-7633-4455-81A3-7539DFAF1F0F}"/>
    <cellStyle name="Porcentaje 5 2 4 6" xfId="3163" xr:uid="{BFEE85EE-8EA1-4936-BD2D-FE52600941E0}"/>
    <cellStyle name="Porcentaje 5 2 4 6 2" xfId="8159" xr:uid="{2F99F84B-E08D-484E-8575-B508B24518AB}"/>
    <cellStyle name="Porcentaje 5 2 4 7" xfId="5661" xr:uid="{3999CFDD-0964-4637-9396-50E2010614EA}"/>
    <cellStyle name="Porcentaje 5 2 4 8" xfId="663" xr:uid="{F31C26DE-0A5E-4B82-AD91-7E292571CB04}"/>
    <cellStyle name="Porcentaje 5 2 5" xfId="734" xr:uid="{5D21BD61-C698-4D82-9708-D755C0D6980D}"/>
    <cellStyle name="Porcentaje 5 2 5 2" xfId="1985" xr:uid="{3DE2033C-E086-4615-84CA-CA0D721A1553}"/>
    <cellStyle name="Porcentaje 5 2 5 2 2" xfId="4483" xr:uid="{BC93F823-5747-4324-8D1B-B2880C0BFF0C}"/>
    <cellStyle name="Porcentaje 5 2 5 2 2 2" xfId="9479" xr:uid="{EBA82422-198B-48F2-A3B2-A06A2111CB02}"/>
    <cellStyle name="Porcentaje 5 2 5 2 3" xfId="6981" xr:uid="{445FBE73-0A9B-40B6-9BC5-9DCFD2986A21}"/>
    <cellStyle name="Porcentaje 5 2 5 3" xfId="3234" xr:uid="{FBDC4AB6-DAC2-43B1-A165-4D68C5AA2645}"/>
    <cellStyle name="Porcentaje 5 2 5 3 2" xfId="8230" xr:uid="{6BB412AE-699D-43F3-A3C1-3056A6A39517}"/>
    <cellStyle name="Porcentaje 5 2 5 4" xfId="5732" xr:uid="{E0582ECD-501D-495E-829D-75027C6F8F40}"/>
    <cellStyle name="Porcentaje 5 2 6" xfId="1047" xr:uid="{3D84F07B-3DF7-4711-A88D-3640C5A65DE7}"/>
    <cellStyle name="Porcentaje 5 2 6 2" xfId="2297" xr:uid="{20A5C55B-528F-419F-8876-B267FB02C9F0}"/>
    <cellStyle name="Porcentaje 5 2 6 2 2" xfId="4795" xr:uid="{6E4D7415-6431-42CF-93E6-F73BFF25F676}"/>
    <cellStyle name="Porcentaje 5 2 6 2 2 2" xfId="9791" xr:uid="{F8761EEA-6997-4D00-A5D9-40C782ADB33E}"/>
    <cellStyle name="Porcentaje 5 2 6 2 3" xfId="7293" xr:uid="{E207CACB-FCFF-4634-A263-76649747AEA7}"/>
    <cellStyle name="Porcentaje 5 2 6 3" xfId="3546" xr:uid="{68B68FA1-18D4-4C88-BFA4-5B627A589B80}"/>
    <cellStyle name="Porcentaje 5 2 6 3 2" xfId="8542" xr:uid="{79745654-CBEE-48BB-BBC5-03C2D9FF7F04}"/>
    <cellStyle name="Porcentaje 5 2 6 4" xfId="6044" xr:uid="{64EF7CF1-4197-4665-802A-7F74395316E1}"/>
    <cellStyle name="Porcentaje 5 2 7" xfId="1358" xr:uid="{FBF23324-69E7-4444-8D74-E825C9C47738}"/>
    <cellStyle name="Porcentaje 5 2 7 2" xfId="2608" xr:uid="{FF617884-B304-4D58-8E78-8D58470AEC84}"/>
    <cellStyle name="Porcentaje 5 2 7 2 2" xfId="5106" xr:uid="{0A6D24D0-884C-4CBC-BE51-9078793D93E0}"/>
    <cellStyle name="Porcentaje 5 2 7 2 2 2" xfId="10102" xr:uid="{405DAB30-7CCE-4E6F-8EF7-1BD4D3D745D4}"/>
    <cellStyle name="Porcentaje 5 2 7 2 3" xfId="7604" xr:uid="{D778F305-E823-4ED2-A458-29EDB5BD02FF}"/>
    <cellStyle name="Porcentaje 5 2 7 3" xfId="3857" xr:uid="{6FEB9270-6314-4721-98E2-CF79030FE322}"/>
    <cellStyle name="Porcentaje 5 2 7 3 2" xfId="8853" xr:uid="{004D6796-41B1-4E0B-B7F1-E29BC94EE9AC}"/>
    <cellStyle name="Porcentaje 5 2 7 4" xfId="6355" xr:uid="{8A4CAD8F-6B8A-4637-A6DE-8329416BDCA0}"/>
    <cellStyle name="Porcentaje 5 2 8" xfId="1689" xr:uid="{97A507B6-EAE5-4D32-B6CC-0FCA3739B6C3}"/>
    <cellStyle name="Porcentaje 5 2 8 2" xfId="4187" xr:uid="{23356FC3-BFAB-4570-B8FD-76618CE2B91F}"/>
    <cellStyle name="Porcentaje 5 2 8 2 2" xfId="9183" xr:uid="{75171DB6-0899-4C54-B77A-635BCBD453EF}"/>
    <cellStyle name="Porcentaje 5 2 8 3" xfId="6685" xr:uid="{D39C836A-FF60-450B-92B0-7FE32311BF6D}"/>
    <cellStyle name="Porcentaje 5 2 9" xfId="2938" xr:uid="{6BB6C41C-2015-4E30-9FAF-28401F038572}"/>
    <cellStyle name="Porcentaje 5 2 9 2" xfId="7934" xr:uid="{44DCBE68-032C-45B6-A64A-FD9C773758E9}"/>
    <cellStyle name="Porcentaje 5 3" xfId="104" xr:uid="{F0FD2FAE-2454-484B-9AEE-C3F1F62C210A}"/>
    <cellStyle name="Porcentaje 5 3 2" xfId="337" xr:uid="{7242E6F6-F0E3-4EF7-A617-DBCD2F18A645}"/>
    <cellStyle name="Porcentaje 5 3 2 2" xfId="954" xr:uid="{73A7C74A-0747-4880-83C9-4F695E59F014}"/>
    <cellStyle name="Porcentaje 5 3 2 2 2" xfId="2205" xr:uid="{817420C5-691F-4355-98C6-83887ED68238}"/>
    <cellStyle name="Porcentaje 5 3 2 2 2 2" xfId="4703" xr:uid="{A59D7D39-AE66-45F5-A583-4413DE8E91D2}"/>
    <cellStyle name="Porcentaje 5 3 2 2 2 2 2" xfId="9699" xr:uid="{4641ADB8-0C9C-410C-B6F6-7D8F99A14E06}"/>
    <cellStyle name="Porcentaje 5 3 2 2 2 3" xfId="7201" xr:uid="{167F882B-788F-4613-A10E-0E3B8274E68D}"/>
    <cellStyle name="Porcentaje 5 3 2 2 3" xfId="3454" xr:uid="{AA7E089D-5794-4911-A7BE-22C329AB2BA0}"/>
    <cellStyle name="Porcentaje 5 3 2 2 3 2" xfId="8450" xr:uid="{6C310D78-9670-4084-BE8B-3C4775B45817}"/>
    <cellStyle name="Porcentaje 5 3 2 2 4" xfId="5952" xr:uid="{6C08784C-3059-4C5C-A608-256142A2AFF4}"/>
    <cellStyle name="Porcentaje 5 3 2 3" xfId="1267" xr:uid="{6A7A686A-25CC-474C-AABE-93F4A770D131}"/>
    <cellStyle name="Porcentaje 5 3 2 3 2" xfId="2517" xr:uid="{550F2044-1B85-4FE7-9D3C-9C6646BABA7D}"/>
    <cellStyle name="Porcentaje 5 3 2 3 2 2" xfId="5015" xr:uid="{BBFB9DC3-9745-43AA-AB85-8E9830BC0413}"/>
    <cellStyle name="Porcentaje 5 3 2 3 2 2 2" xfId="10011" xr:uid="{FAFA3257-45FC-4B6F-A381-2D13E53F4C8D}"/>
    <cellStyle name="Porcentaje 5 3 2 3 2 3" xfId="7513" xr:uid="{C80563AB-CA85-43F8-805C-806B38CA6EF6}"/>
    <cellStyle name="Porcentaje 5 3 2 3 3" xfId="3766" xr:uid="{2575D7D1-4AC0-44FF-ABFE-A1CB67776588}"/>
    <cellStyle name="Porcentaje 5 3 2 3 3 2" xfId="8762" xr:uid="{CA5CDE83-E3DD-405D-93A5-E5F2987D288C}"/>
    <cellStyle name="Porcentaje 5 3 2 3 4" xfId="6264" xr:uid="{AE9C0704-51E1-4EB6-933F-D4F2809A7EC0}"/>
    <cellStyle name="Porcentaje 5 3 2 4" xfId="1586" xr:uid="{23670BD3-9339-425D-A1BC-5F0B0D019B07}"/>
    <cellStyle name="Porcentaje 5 3 2 4 2" xfId="2836" xr:uid="{F60446A2-7B87-4609-8B58-1B99436BE1A1}"/>
    <cellStyle name="Porcentaje 5 3 2 4 2 2" xfId="5334" xr:uid="{C71CD090-985D-4B26-8565-DD1399C6C4F0}"/>
    <cellStyle name="Porcentaje 5 3 2 4 2 2 2" xfId="10330" xr:uid="{BA2C674C-E4E0-4B5A-B08D-3BF694E0D99E}"/>
    <cellStyle name="Porcentaje 5 3 2 4 2 3" xfId="7832" xr:uid="{6775D70A-01E4-4BDB-AF9B-11B7A2074E55}"/>
    <cellStyle name="Porcentaje 5 3 2 4 3" xfId="4085" xr:uid="{D5DDA0B8-C3E7-4E93-9CF1-B502E8111A68}"/>
    <cellStyle name="Porcentaje 5 3 2 4 3 2" xfId="9081" xr:uid="{6A16D23F-0D53-4380-AB7C-D85581FEB4D9}"/>
    <cellStyle name="Porcentaje 5 3 2 4 4" xfId="6583" xr:uid="{93F3608F-92BC-4A67-B40E-432864C61CEB}"/>
    <cellStyle name="Porcentaje 5 3 2 5" xfId="1917" xr:uid="{E58DEA1B-4A1D-4C5A-874B-9532E725C3C0}"/>
    <cellStyle name="Porcentaje 5 3 2 5 2" xfId="4415" xr:uid="{34ADDA61-0A2E-463D-8B74-BFC205511F70}"/>
    <cellStyle name="Porcentaje 5 3 2 5 2 2" xfId="9411" xr:uid="{4FF62CA0-598A-4D2D-B449-8EB8DB052BE8}"/>
    <cellStyle name="Porcentaje 5 3 2 5 3" xfId="6913" xr:uid="{C1960CDD-4B98-4C25-AF67-1C54071E3919}"/>
    <cellStyle name="Porcentaje 5 3 2 6" xfId="3166" xr:uid="{5973EE66-6EFE-4881-BB4A-7B1CD3FC7D16}"/>
    <cellStyle name="Porcentaje 5 3 2 6 2" xfId="8162" xr:uid="{78C54491-DE6D-4533-8AC4-CB9F3B0D7264}"/>
    <cellStyle name="Porcentaje 5 3 2 7" xfId="5664" xr:uid="{9624AA16-B017-437F-807C-480AAEE2396D}"/>
    <cellStyle name="Porcentaje 5 3 2 8" xfId="666" xr:uid="{E34F1A39-6725-4754-87E5-DCA5558C7CD7}"/>
    <cellStyle name="Porcentaje 5 3 3" xfId="758" xr:uid="{71BFEEFD-9C32-4ECB-9558-EE7E80FFB364}"/>
    <cellStyle name="Porcentaje 5 3 3 2" xfId="2009" xr:uid="{11FC4AAE-BF3D-49E3-85CA-7F306BD902B8}"/>
    <cellStyle name="Porcentaje 5 3 3 2 2" xfId="4507" xr:uid="{624C8854-66CF-4012-B2EB-CB418F610C49}"/>
    <cellStyle name="Porcentaje 5 3 3 2 2 2" xfId="9503" xr:uid="{48A55323-6686-4AA9-91CD-2DD9B772FE00}"/>
    <cellStyle name="Porcentaje 5 3 3 2 3" xfId="7005" xr:uid="{7AD5BA8C-7FDA-4ED4-A9D8-127153D76F64}"/>
    <cellStyle name="Porcentaje 5 3 3 3" xfId="3258" xr:uid="{98B99E3D-A22E-4484-B538-500041CA77EB}"/>
    <cellStyle name="Porcentaje 5 3 3 3 2" xfId="8254" xr:uid="{4EA30A11-F08E-4129-ADE7-52B4CBCB892D}"/>
    <cellStyle name="Porcentaje 5 3 3 4" xfId="5756" xr:uid="{6AA949B8-73AC-4E97-93D9-65E17F5F8BA2}"/>
    <cellStyle name="Porcentaje 5 3 4" xfId="1071" xr:uid="{C5B2577A-7CC9-4228-8A8A-3DC31C8CD5BD}"/>
    <cellStyle name="Porcentaje 5 3 4 2" xfId="2321" xr:uid="{36B99B71-CA4C-4AC8-8CBD-C3B4FADFC4C3}"/>
    <cellStyle name="Porcentaje 5 3 4 2 2" xfId="4819" xr:uid="{0E7A7657-F0F7-4B40-A680-24CF527B8A40}"/>
    <cellStyle name="Porcentaje 5 3 4 2 2 2" xfId="9815" xr:uid="{E3F57BFE-1618-4F84-9B6D-3AE8429F871D}"/>
    <cellStyle name="Porcentaje 5 3 4 2 3" xfId="7317" xr:uid="{C662BA24-19E0-4900-A439-43DBBA0D9645}"/>
    <cellStyle name="Porcentaje 5 3 4 3" xfId="3570" xr:uid="{0A2E6F61-B0FC-4A8B-A878-25525E841097}"/>
    <cellStyle name="Porcentaje 5 3 4 3 2" xfId="8566" xr:uid="{24D0CF55-DAE9-4B70-B1DA-DBAFAABBDAF1}"/>
    <cellStyle name="Porcentaje 5 3 4 4" xfId="6068" xr:uid="{270D3E36-DC5F-424C-876D-05B9BA25F600}"/>
    <cellStyle name="Porcentaje 5 3 5" xfId="1444" xr:uid="{DA9A88FF-DDB6-4C3A-A100-0A72324691F9}"/>
    <cellStyle name="Porcentaje 5 3 5 2" xfId="2694" xr:uid="{1327266A-7FE5-4241-9F40-502AFD659F08}"/>
    <cellStyle name="Porcentaje 5 3 5 2 2" xfId="5192" xr:uid="{04DAF20C-3838-47A8-9170-38CD61B6FD6E}"/>
    <cellStyle name="Porcentaje 5 3 5 2 2 2" xfId="10188" xr:uid="{1E02EA74-9203-4E6A-9E2C-366F78A5030D}"/>
    <cellStyle name="Porcentaje 5 3 5 2 3" xfId="7690" xr:uid="{D2EFEF72-EFE1-4031-AFC9-674F7C58DFCC}"/>
    <cellStyle name="Porcentaje 5 3 5 3" xfId="3943" xr:uid="{8CF6189C-DED5-4878-B485-EF865F2D8E25}"/>
    <cellStyle name="Porcentaje 5 3 5 3 2" xfId="8939" xr:uid="{9BA97F27-0105-4869-98A0-91C529121F7C}"/>
    <cellStyle name="Porcentaje 5 3 5 4" xfId="6441" xr:uid="{EFD05FB7-D494-4971-A8BE-6BFF59FFA0BE}"/>
    <cellStyle name="Porcentaje 5 3 6" xfId="1775" xr:uid="{5912ADD0-E3DF-4188-8D06-DEC5686F1567}"/>
    <cellStyle name="Porcentaje 5 3 6 2" xfId="4273" xr:uid="{5767ADF7-11CE-4CF5-9E5A-6EE029BDFF43}"/>
    <cellStyle name="Porcentaje 5 3 6 2 2" xfId="9269" xr:uid="{ACB36A23-DE7F-4A27-B459-AAF8D6B4AC99}"/>
    <cellStyle name="Porcentaje 5 3 6 3" xfId="6771" xr:uid="{3EA7C3AA-048E-4126-87A0-207F79F7DF1E}"/>
    <cellStyle name="Porcentaje 5 3 7" xfId="3024" xr:uid="{6C357ACA-33FA-4B92-AA97-CC210C34D65B}"/>
    <cellStyle name="Porcentaje 5 3 7 2" xfId="8020" xr:uid="{E9FC43C0-1BF2-414A-9C4A-109681BDB14D}"/>
    <cellStyle name="Porcentaje 5 3 8" xfId="5522" xr:uid="{8F6600D0-FAE8-42F3-BDAE-75D2EA6AA1B6}"/>
    <cellStyle name="Porcentaje 5 3 9" xfId="524" xr:uid="{028E19E2-11C8-4C81-BF73-169AF5166EFD}"/>
    <cellStyle name="Porcentaje 5 4" xfId="338" xr:uid="{599228B8-03CD-4CE4-A323-97F7B02E8757}"/>
    <cellStyle name="Porcentaje 5 4 2" xfId="339" xr:uid="{FC9582F8-4990-43D5-98A5-0EDFD2FFD03C}"/>
    <cellStyle name="Porcentaje 5 4 2 2" xfId="956" xr:uid="{9D59D0FD-57EC-4D65-BECA-9E1279C3F58A}"/>
    <cellStyle name="Porcentaje 5 4 2 2 2" xfId="2207" xr:uid="{2BDCEB76-2B70-493C-BA2B-DDEDE145D12D}"/>
    <cellStyle name="Porcentaje 5 4 2 2 2 2" xfId="4705" xr:uid="{496E9CA1-0C4E-43EA-B217-1E6B947909FF}"/>
    <cellStyle name="Porcentaje 5 4 2 2 2 2 2" xfId="9701" xr:uid="{1744365A-B7A7-4531-9010-EFF8689AD46E}"/>
    <cellStyle name="Porcentaje 5 4 2 2 2 3" xfId="7203" xr:uid="{AEBF5B96-3081-4942-8C0C-FCFDAD159ADF}"/>
    <cellStyle name="Porcentaje 5 4 2 2 3" xfId="3456" xr:uid="{A05903AE-B0DF-4B3A-9600-0D810D48BD31}"/>
    <cellStyle name="Porcentaje 5 4 2 2 3 2" xfId="8452" xr:uid="{B4C3EDC6-F35D-4866-BD7D-C632D30966C5}"/>
    <cellStyle name="Porcentaje 5 4 2 2 4" xfId="5954" xr:uid="{45563723-0615-46C4-BD45-71A6DC8C71CA}"/>
    <cellStyle name="Porcentaje 5 4 2 3" xfId="1269" xr:uid="{C889FEA6-AC3E-4B14-A1B3-BB34366A5CB1}"/>
    <cellStyle name="Porcentaje 5 4 2 3 2" xfId="2519" xr:uid="{276F4C1C-1258-4132-A6F5-5B91E1C5DE46}"/>
    <cellStyle name="Porcentaje 5 4 2 3 2 2" xfId="5017" xr:uid="{EED9A427-CE37-4633-BA33-8E5109EA4986}"/>
    <cellStyle name="Porcentaje 5 4 2 3 2 2 2" xfId="10013" xr:uid="{FE7B3338-76C7-4B5A-8ABA-7FB853416105}"/>
    <cellStyle name="Porcentaje 5 4 2 3 2 3" xfId="7515" xr:uid="{06DC7D17-FA3B-4FE0-9E02-BF08704E4CF7}"/>
    <cellStyle name="Porcentaje 5 4 2 3 3" xfId="3768" xr:uid="{9E0EAE1B-E2A0-4D61-9F66-1934CCC57677}"/>
    <cellStyle name="Porcentaje 5 4 2 3 3 2" xfId="8764" xr:uid="{5D56FC8B-7AA7-47D9-801F-213E5FEC0433}"/>
    <cellStyle name="Porcentaje 5 4 2 3 4" xfId="6266" xr:uid="{2895EF2E-6733-4031-AB56-1E0B1147E4AE}"/>
    <cellStyle name="Porcentaje 5 4 2 4" xfId="1587" xr:uid="{E99F6F5F-8808-4D8A-99B2-3A6A2C4981A6}"/>
    <cellStyle name="Porcentaje 5 4 2 4 2" xfId="2837" xr:uid="{31BD89DC-FE3B-43D0-8178-1A10B2802464}"/>
    <cellStyle name="Porcentaje 5 4 2 4 2 2" xfId="5335" xr:uid="{3073D30E-AC38-473B-9CBB-E5A57F9988C1}"/>
    <cellStyle name="Porcentaje 5 4 2 4 2 2 2" xfId="10331" xr:uid="{7F66D50C-D978-47A8-BFD4-EA8C5FA3EDFD}"/>
    <cellStyle name="Porcentaje 5 4 2 4 2 3" xfId="7833" xr:uid="{80B2651E-814B-4B4E-9CC8-5CEF4480A643}"/>
    <cellStyle name="Porcentaje 5 4 2 4 3" xfId="4086" xr:uid="{0C389BC6-4B86-43A6-96D6-D9A5FE4F7CB2}"/>
    <cellStyle name="Porcentaje 5 4 2 4 3 2" xfId="9082" xr:uid="{9B475B8D-F441-4918-81B7-59B8045040A0}"/>
    <cellStyle name="Porcentaje 5 4 2 4 4" xfId="6584" xr:uid="{3F0D3547-A349-420C-B564-C70CE9887ADC}"/>
    <cellStyle name="Porcentaje 5 4 2 5" xfId="1918" xr:uid="{1B53B994-BB4F-4248-A0DA-B6BB2880857A}"/>
    <cellStyle name="Porcentaje 5 4 2 5 2" xfId="4416" xr:uid="{EDE6986A-6071-4637-897B-8436203A18BB}"/>
    <cellStyle name="Porcentaje 5 4 2 5 2 2" xfId="9412" xr:uid="{29AE1F0A-CD11-4C0A-8F43-9E5FE140ADBA}"/>
    <cellStyle name="Porcentaje 5 4 2 5 3" xfId="6914" xr:uid="{27467C17-7B10-4991-9418-CD318FE74535}"/>
    <cellStyle name="Porcentaje 5 4 2 6" xfId="3167" xr:uid="{4A174904-5729-4633-AA49-4B5CDE115702}"/>
    <cellStyle name="Porcentaje 5 4 2 6 2" xfId="8163" xr:uid="{A86BADAA-7F91-4E96-8076-A72AF9D2E5A3}"/>
    <cellStyle name="Porcentaje 5 4 2 7" xfId="5665" xr:uid="{09F1C081-E0D3-4756-8BEB-AAE66D2F152F}"/>
    <cellStyle name="Porcentaje 5 4 2 8" xfId="667" xr:uid="{C380C049-2E50-47A3-9E21-7BDBEE0AE787}"/>
    <cellStyle name="Porcentaje 5 4 3" xfId="955" xr:uid="{DFF1373C-1C76-4F81-875E-02F5F7FB086C}"/>
    <cellStyle name="Porcentaje 5 4 3 2" xfId="2206" xr:uid="{9E644CBD-7EF1-4652-8294-F47EAF242EAA}"/>
    <cellStyle name="Porcentaje 5 4 3 2 2" xfId="4704" xr:uid="{AC627344-3C84-4EED-936C-6F5EFB7FAE76}"/>
    <cellStyle name="Porcentaje 5 4 3 2 2 2" xfId="9700" xr:uid="{FA10EE66-373F-470B-ADF8-61AA1CE5D53D}"/>
    <cellStyle name="Porcentaje 5 4 3 2 3" xfId="7202" xr:uid="{0143A6AA-3CC6-47DA-9A2F-584F43C9EC86}"/>
    <cellStyle name="Porcentaje 5 4 3 3" xfId="3455" xr:uid="{319CE587-4F72-46E4-A047-EF5791B01490}"/>
    <cellStyle name="Porcentaje 5 4 3 3 2" xfId="8451" xr:uid="{7D151652-0045-4D0E-9E92-3ED0A23B57B8}"/>
    <cellStyle name="Porcentaje 5 4 3 4" xfId="5953" xr:uid="{A8A1E1B2-D6AF-416A-A05C-DC6F9AD3B261}"/>
    <cellStyle name="Porcentaje 5 4 4" xfId="1268" xr:uid="{082135F8-3113-4FE0-943F-D85175185732}"/>
    <cellStyle name="Porcentaje 5 4 4 2" xfId="2518" xr:uid="{0F1DAD4A-1F34-4732-B142-E3CD7C0754D8}"/>
    <cellStyle name="Porcentaje 5 4 4 2 2" xfId="5016" xr:uid="{DEFD1C4E-A9B9-4D94-A70C-A05B9447A25A}"/>
    <cellStyle name="Porcentaje 5 4 4 2 2 2" xfId="10012" xr:uid="{FF34EAF5-0624-46DA-8EFC-14446BD27A21}"/>
    <cellStyle name="Porcentaje 5 4 4 2 3" xfId="7514" xr:uid="{E363176E-35FE-4782-A99F-E2CAF310EEDC}"/>
    <cellStyle name="Porcentaje 5 4 4 3" xfId="3767" xr:uid="{3AFF5B85-DF6C-4743-B799-712E425B6CEC}"/>
    <cellStyle name="Porcentaje 5 4 4 3 2" xfId="8763" xr:uid="{4A56A98C-9380-48AB-B12D-D2A7D05F1620}"/>
    <cellStyle name="Porcentaje 5 4 4 4" xfId="6265" xr:uid="{CCFD4AC9-3EBA-47B1-9345-54D2A7C1A0D3}"/>
    <cellStyle name="Porcentaje 5 4 5" xfId="1442" xr:uid="{7E69CF6F-6C1F-4920-8F63-89BC0CD949A5}"/>
    <cellStyle name="Porcentaje 5 4 5 2" xfId="2692" xr:uid="{2E73B1A0-9B6E-4448-B55B-24D9293D4DE6}"/>
    <cellStyle name="Porcentaje 5 4 5 2 2" xfId="5190" xr:uid="{CDA3C8E3-53BE-4628-83B7-EC654DF9B3A7}"/>
    <cellStyle name="Porcentaje 5 4 5 2 2 2" xfId="10186" xr:uid="{BC789865-D06F-4186-B710-38715FA159F2}"/>
    <cellStyle name="Porcentaje 5 4 5 2 3" xfId="7688" xr:uid="{FCCC4294-0C80-4930-8FC7-E9B587142A31}"/>
    <cellStyle name="Porcentaje 5 4 5 3" xfId="3941" xr:uid="{D0645CF5-4454-4B62-A6AC-7E8E69602149}"/>
    <cellStyle name="Porcentaje 5 4 5 3 2" xfId="8937" xr:uid="{B0894031-B90D-4D61-8CEA-853EE872C1DE}"/>
    <cellStyle name="Porcentaje 5 4 5 4" xfId="6439" xr:uid="{90784F2F-4C40-43ED-AAE9-B60D72493C8C}"/>
    <cellStyle name="Porcentaje 5 4 6" xfId="1773" xr:uid="{4D01A6C7-4769-4AE1-A672-D0D693C515F6}"/>
    <cellStyle name="Porcentaje 5 4 6 2" xfId="4271" xr:uid="{DCB659EB-0471-426C-850C-C568067421E7}"/>
    <cellStyle name="Porcentaje 5 4 6 2 2" xfId="9267" xr:uid="{9BD1F134-40EB-4221-89E0-6548B991DD8B}"/>
    <cellStyle name="Porcentaje 5 4 6 3" xfId="6769" xr:uid="{9F76A9E6-C43C-4CE8-9F30-EB919E8EADAC}"/>
    <cellStyle name="Porcentaje 5 4 7" xfId="3022" xr:uid="{4C141206-CA1B-4D55-A9DF-7B4C6105D9EF}"/>
    <cellStyle name="Porcentaje 5 4 7 2" xfId="8018" xr:uid="{DCBB0C72-65B9-4A55-8C98-C52BC16265B6}"/>
    <cellStyle name="Porcentaje 5 4 8" xfId="5520" xr:uid="{0C84A583-2328-4571-AD5D-292508B3FAA1}"/>
    <cellStyle name="Porcentaje 5 4 9" xfId="522" xr:uid="{F66F705D-4FAC-4E02-8DBD-E69ED955E55A}"/>
    <cellStyle name="Porcentaje 5 5" xfId="340" xr:uid="{0F709364-113D-4066-8F4B-ADF4BB772BAE}"/>
    <cellStyle name="Porcentaje 5 5 2" xfId="957" xr:uid="{88D3A535-9575-4235-BFF6-E6B67D62F3FE}"/>
    <cellStyle name="Porcentaje 5 5 2 2" xfId="2208" xr:uid="{BB2B9D55-C264-4CA6-A228-0CABC1A5CC89}"/>
    <cellStyle name="Porcentaje 5 5 2 2 2" xfId="4706" xr:uid="{5EC5B591-A372-424B-BC1D-7454945F980F}"/>
    <cellStyle name="Porcentaje 5 5 2 2 2 2" xfId="9702" xr:uid="{D9F39A5C-F785-40F7-B1BF-EC82AFC5FD90}"/>
    <cellStyle name="Porcentaje 5 5 2 2 3" xfId="7204" xr:uid="{B865FDD4-5F47-4CE7-9731-9B511E8C9179}"/>
    <cellStyle name="Porcentaje 5 5 2 3" xfId="3457" xr:uid="{BA7FD588-A988-4E85-AD0C-81DE1B3A600A}"/>
    <cellStyle name="Porcentaje 5 5 2 3 2" xfId="8453" xr:uid="{DE47AF5B-09C3-4E2D-AF8D-939833A61BA6}"/>
    <cellStyle name="Porcentaje 5 5 2 4" xfId="5955" xr:uid="{840AAA18-9E15-4F4B-8A45-36C44BF5ABBD}"/>
    <cellStyle name="Porcentaje 5 5 3" xfId="1270" xr:uid="{2A7EBEEA-3B32-43FC-AE5B-4143A719719D}"/>
    <cellStyle name="Porcentaje 5 5 3 2" xfId="2520" xr:uid="{7261BD75-477B-4F49-B6CE-EA121775823F}"/>
    <cellStyle name="Porcentaje 5 5 3 2 2" xfId="5018" xr:uid="{EF3A6D4E-577F-4391-9A64-8D6D4B702892}"/>
    <cellStyle name="Porcentaje 5 5 3 2 2 2" xfId="10014" xr:uid="{CDFFC73B-8857-46B2-A8CA-45A741F63376}"/>
    <cellStyle name="Porcentaje 5 5 3 2 3" xfId="7516" xr:uid="{8750DD36-A485-4568-8828-9D0497628878}"/>
    <cellStyle name="Porcentaje 5 5 3 3" xfId="3769" xr:uid="{96B3E586-FA34-4E32-A2B0-8D97D5C1C791}"/>
    <cellStyle name="Porcentaje 5 5 3 3 2" xfId="8765" xr:uid="{6CE54167-C1AC-4169-9E78-1BADB7E0B77D}"/>
    <cellStyle name="Porcentaje 5 5 3 4" xfId="6267" xr:uid="{60FAADEF-7DB1-403C-B670-8775DB09246F}"/>
    <cellStyle name="Porcentaje 5 5 4" xfId="1582" xr:uid="{31948E49-BBD4-472C-A539-3BBD0CE0ED8F}"/>
    <cellStyle name="Porcentaje 5 5 4 2" xfId="2832" xr:uid="{D1A6A171-D863-4327-A7EA-13361A83224E}"/>
    <cellStyle name="Porcentaje 5 5 4 2 2" xfId="5330" xr:uid="{CC85BF84-5173-4955-BAD2-88A65334D099}"/>
    <cellStyle name="Porcentaje 5 5 4 2 2 2" xfId="10326" xr:uid="{1D8607DD-F701-4EEF-8F0B-CEE8A861E9D4}"/>
    <cellStyle name="Porcentaje 5 5 4 2 3" xfId="7828" xr:uid="{CA7C1472-4728-41B3-B36B-15BC4BDA36AF}"/>
    <cellStyle name="Porcentaje 5 5 4 3" xfId="4081" xr:uid="{7C4F4657-6EBC-4722-975B-2599EFFB39F6}"/>
    <cellStyle name="Porcentaje 5 5 4 3 2" xfId="9077" xr:uid="{FF940D84-3529-43EA-BCF5-BEF303786F33}"/>
    <cellStyle name="Porcentaje 5 5 4 4" xfId="6579" xr:uid="{7B6C8150-8459-4DF6-AF39-2CE3A444DE1B}"/>
    <cellStyle name="Porcentaje 5 5 5" xfId="1913" xr:uid="{7CC57B2B-E618-4758-9538-810C99EC3159}"/>
    <cellStyle name="Porcentaje 5 5 5 2" xfId="4411" xr:uid="{2CFEBF61-48D4-4330-BAE0-0515210E690F}"/>
    <cellStyle name="Porcentaje 5 5 5 2 2" xfId="9407" xr:uid="{BDF458E2-F593-4CD3-A759-6EB72A366BD6}"/>
    <cellStyle name="Porcentaje 5 5 5 3" xfId="6909" xr:uid="{3B0EC1AF-B959-4F22-92B9-3B617C46CF52}"/>
    <cellStyle name="Porcentaje 5 5 6" xfId="3162" xr:uid="{C6ECD43D-B8B9-45C4-A133-D8DEC97942E1}"/>
    <cellStyle name="Porcentaje 5 5 6 2" xfId="8158" xr:uid="{A7F678EF-22BD-42FA-8AD6-232AD9BB5057}"/>
    <cellStyle name="Porcentaje 5 5 7" xfId="5660" xr:uid="{EB42B0A2-A11F-408B-AB13-6C341D5FC02B}"/>
    <cellStyle name="Porcentaje 5 5 8" xfId="662" xr:uid="{365FB569-F049-43BD-AF1A-89558DFE672C}"/>
    <cellStyle name="Porcentaje 5 6" xfId="385" xr:uid="{8E5A4191-08A0-41CD-BCA4-95205CFFA6A6}"/>
    <cellStyle name="Porcentaje 5 6 2" xfId="1306" xr:uid="{4A80974F-7F07-4B2D-AE10-671602848AE7}"/>
    <cellStyle name="Porcentaje 5 6 2 2" xfId="2556" xr:uid="{09A72703-998A-43A2-BEA4-C4C66A27FA77}"/>
    <cellStyle name="Porcentaje 5 6 2 2 2" xfId="5054" xr:uid="{9AFEB168-DFC3-4984-8AD8-0668C79567C8}"/>
    <cellStyle name="Porcentaje 5 6 2 2 2 2" xfId="10050" xr:uid="{D00CC7B8-C8CB-4F7F-AB65-484A4F8C1AA4}"/>
    <cellStyle name="Porcentaje 5 6 2 2 3" xfId="7552" xr:uid="{02D50805-2D88-4FEB-B217-6726357636DC}"/>
    <cellStyle name="Porcentaje 5 6 2 3" xfId="3805" xr:uid="{6ED51C05-B615-4846-A523-FD626D5A644C}"/>
    <cellStyle name="Porcentaje 5 6 2 3 2" xfId="8801" xr:uid="{509C8DEE-14B3-4D05-8827-D496D3BEC3B9}"/>
    <cellStyle name="Porcentaje 5 6 2 4" xfId="6303" xr:uid="{D118DCD2-5CF0-4DF9-BE4C-1E55F7866DFC}"/>
    <cellStyle name="Porcentaje 5 6 3" xfId="2244" xr:uid="{8305251D-F532-4967-AF14-EB1F1E796D35}"/>
    <cellStyle name="Porcentaje 5 6 3 2" xfId="4742" xr:uid="{0E238784-A692-4EFF-BA0D-5752AF4E5576}"/>
    <cellStyle name="Porcentaje 5 6 3 2 2" xfId="9738" xr:uid="{26FC2EC6-447D-46C5-A6C6-D3D39471DBE5}"/>
    <cellStyle name="Porcentaje 5 6 3 3" xfId="7240" xr:uid="{C06D594C-B9FB-4959-9779-4A38B4FB7455}"/>
    <cellStyle name="Porcentaje 5 6 4" xfId="3493" xr:uid="{44D9AF86-6113-4C60-A0AD-78D3A2C7D8BE}"/>
    <cellStyle name="Porcentaje 5 6 4 2" xfId="8489" xr:uid="{7B292752-F6F4-4697-B0C0-FE143FB9441B}"/>
    <cellStyle name="Porcentaje 5 6 5" xfId="5991" xr:uid="{122CC67C-54E1-4335-AFFD-6AAFCE06D9E4}"/>
    <cellStyle name="Porcentaje 5 6 6" xfId="994" xr:uid="{20AFD81E-4F62-4013-B9A5-50D190A0238D}"/>
    <cellStyle name="Porcentaje 5 7" xfId="706" xr:uid="{E7D38206-5E68-4759-AB74-0E0ED26ECD2E}"/>
    <cellStyle name="Porcentaje 5 7 2" xfId="1957" xr:uid="{B6E96968-BEDC-46C1-B68C-153337A56662}"/>
    <cellStyle name="Porcentaje 5 7 2 2" xfId="4455" xr:uid="{34947F9B-85B0-4A34-BE6D-887DEA6C8002}"/>
    <cellStyle name="Porcentaje 5 7 2 2 2" xfId="9451" xr:uid="{90639BB1-E474-4017-AF6F-53DC3576586A}"/>
    <cellStyle name="Porcentaje 5 7 2 3" xfId="6953" xr:uid="{740B8BC3-13BB-4FB5-B65D-34312DBBC00E}"/>
    <cellStyle name="Porcentaje 5 7 3" xfId="3206" xr:uid="{105A22C0-44D8-4B95-8634-54200DBCBC2C}"/>
    <cellStyle name="Porcentaje 5 7 3 2" xfId="8202" xr:uid="{3106ECC8-EC9E-4EB2-957E-59AA08245F7B}"/>
    <cellStyle name="Porcentaje 5 7 4" xfId="5704" xr:uid="{29954D47-ECA6-443D-9AC0-1DDCD6BBFCDA}"/>
    <cellStyle name="Porcentaje 5 8" xfId="1019" xr:uid="{7E35C1EB-87AC-468A-A903-665690074283}"/>
    <cellStyle name="Porcentaje 5 8 2" xfId="2269" xr:uid="{F8CADECD-D9C9-40B5-AA6A-3DE9F5694554}"/>
    <cellStyle name="Porcentaje 5 8 2 2" xfId="4767" xr:uid="{9A7B970F-5074-4F6B-AA41-11F783D0FBAE}"/>
    <cellStyle name="Porcentaje 5 8 2 2 2" xfId="9763" xr:uid="{92066288-7EED-436B-901A-C725EB69E759}"/>
    <cellStyle name="Porcentaje 5 8 2 3" xfId="7265" xr:uid="{411160F3-22C3-4BFD-AE68-DC4CFC735D5B}"/>
    <cellStyle name="Porcentaje 5 8 3" xfId="3518" xr:uid="{E886E509-84E1-4CAD-8BFB-513FE28305EC}"/>
    <cellStyle name="Porcentaje 5 8 3 2" xfId="8514" xr:uid="{1C7C771E-42CC-42AA-B0C7-C09DCEB50A5B}"/>
    <cellStyle name="Porcentaje 5 8 4" xfId="6016" xr:uid="{0B3982F5-8C18-4240-ACAA-B8A84EAA1C21}"/>
    <cellStyle name="Porcentaje 5 9" xfId="1318" xr:uid="{A6368A17-96A0-44BA-BAFC-569C1E0AB3EE}"/>
    <cellStyle name="Porcentaje 5 9 2" xfId="2568" xr:uid="{E43E828D-BF9B-47E3-8865-E62144A7CD67}"/>
    <cellStyle name="Porcentaje 5 9 2 2" xfId="5066" xr:uid="{F6AE4F76-EC7B-44A7-98C6-64B77FC2AEE4}"/>
    <cellStyle name="Porcentaje 5 9 2 2 2" xfId="10062" xr:uid="{9340BCCF-A46E-449A-8C48-161F4DF3A266}"/>
    <cellStyle name="Porcentaje 5 9 2 3" xfId="7564" xr:uid="{6A3FE40E-B252-4735-A424-F5CDB5098519}"/>
    <cellStyle name="Porcentaje 5 9 3" xfId="3817" xr:uid="{DCE82D03-49B3-45F5-84CC-812A8947C203}"/>
    <cellStyle name="Porcentaje 5 9 3 2" xfId="8813" xr:uid="{E773231A-6C82-450F-BA0A-BE6D81F40880}"/>
    <cellStyle name="Porcentaje 5 9 4" xfId="6315" xr:uid="{57910534-B12C-42EF-BF65-6B9034469552}"/>
    <cellStyle name="Porcentaje 6" xfId="341" xr:uid="{F8685C43-BBF4-4B17-9F16-C047C13930E4}"/>
    <cellStyle name="Porcentaje 6 2" xfId="342" xr:uid="{FDC4C07D-24D7-4C24-AEB6-2301AB60F03F}"/>
    <cellStyle name="Porcentaje 6 2 2" xfId="959" xr:uid="{E1461637-CEC7-4B1C-9414-4B11DF67E37F}"/>
    <cellStyle name="Porcentaje 6 2 2 2" xfId="2210" xr:uid="{23F156E5-005C-46DC-A514-87ACC32CE95F}"/>
    <cellStyle name="Porcentaje 6 2 2 2 2" xfId="4708" xr:uid="{64CCC964-BC74-4770-A919-4B0B46C67D96}"/>
    <cellStyle name="Porcentaje 6 2 2 2 2 2" xfId="9704" xr:uid="{AE0F7B50-E3A2-4495-A45A-7F16C2C07941}"/>
    <cellStyle name="Porcentaje 6 2 2 2 3" xfId="7206" xr:uid="{135BD9C3-B2C9-449A-A9E4-384E710F217B}"/>
    <cellStyle name="Porcentaje 6 2 2 3" xfId="3459" xr:uid="{AF2D06FE-8FFD-4612-B8EC-817C57CD0132}"/>
    <cellStyle name="Porcentaje 6 2 2 3 2" xfId="8455" xr:uid="{D024388B-D1D9-4C93-8A0C-B61C087D0FF0}"/>
    <cellStyle name="Porcentaje 6 2 2 4" xfId="5957" xr:uid="{BBC312E2-FA82-44B8-9BE8-BE5E8FD3E422}"/>
    <cellStyle name="Porcentaje 6 2 3" xfId="1272" xr:uid="{8A09A407-52C1-4D70-95A4-E47FF757207A}"/>
    <cellStyle name="Porcentaje 6 2 3 2" xfId="2522" xr:uid="{331FBF94-D839-43AB-8065-0BD4B8B48A65}"/>
    <cellStyle name="Porcentaje 6 2 3 2 2" xfId="5020" xr:uid="{28DC527E-2966-4430-A52E-29AE547127BC}"/>
    <cellStyle name="Porcentaje 6 2 3 2 2 2" xfId="10016" xr:uid="{84D0064C-73A0-4295-A1DA-56A7656BE540}"/>
    <cellStyle name="Porcentaje 6 2 3 2 3" xfId="7518" xr:uid="{4B08F026-A9CD-4024-BFC6-712D90A00764}"/>
    <cellStyle name="Porcentaje 6 2 3 3" xfId="3771" xr:uid="{454D7371-DCFD-4CDC-9779-16FF4B2ABAD7}"/>
    <cellStyle name="Porcentaje 6 2 3 3 2" xfId="8767" xr:uid="{4B54AB4E-A4AD-4946-AC55-68ACBD1A9FBD}"/>
    <cellStyle name="Porcentaje 6 2 3 4" xfId="6269" xr:uid="{AB291B58-20E4-4673-B62B-8D6BA62BE8ED}"/>
    <cellStyle name="Porcentaje 6 2 4" xfId="1588" xr:uid="{1003C2E8-EB3E-4B1C-B538-1865DFFE233F}"/>
    <cellStyle name="Porcentaje 6 2 4 2" xfId="2838" xr:uid="{8481A081-61E9-4A58-BC69-D5D75BBF51ED}"/>
    <cellStyle name="Porcentaje 6 2 4 2 2" xfId="5336" xr:uid="{78CC5922-6B64-4E99-ADCB-17546D94235E}"/>
    <cellStyle name="Porcentaje 6 2 4 2 2 2" xfId="10332" xr:uid="{E7847665-7168-4C73-A72B-094E4B66B715}"/>
    <cellStyle name="Porcentaje 6 2 4 2 3" xfId="7834" xr:uid="{E166F94A-C1AC-4272-B586-4C8C4EC3953D}"/>
    <cellStyle name="Porcentaje 6 2 4 3" xfId="4087" xr:uid="{00C1574C-2AD6-4445-A15B-63FF4EC85F26}"/>
    <cellStyle name="Porcentaje 6 2 4 3 2" xfId="9083" xr:uid="{7D2CC3A7-47F7-416D-BA93-7B6374C46520}"/>
    <cellStyle name="Porcentaje 6 2 4 4" xfId="6585" xr:uid="{9348CCB5-E14A-46F5-9AC6-E133B627FC08}"/>
    <cellStyle name="Porcentaje 6 2 5" xfId="1919" xr:uid="{6EC9C1DB-3855-457F-B0E7-E5423F30DE91}"/>
    <cellStyle name="Porcentaje 6 2 5 2" xfId="4417" xr:uid="{62350329-3106-4610-BB14-E5D5FD6EA5D9}"/>
    <cellStyle name="Porcentaje 6 2 5 2 2" xfId="9413" xr:uid="{F9BD3375-E8E3-42F0-B37E-85FDE2DBD788}"/>
    <cellStyle name="Porcentaje 6 2 5 3" xfId="6915" xr:uid="{01879751-EE44-4D8E-B510-12EECD89FF6B}"/>
    <cellStyle name="Porcentaje 6 2 6" xfId="3168" xr:uid="{E5641E22-FA63-46A2-B8AF-FE75E2CB6E6B}"/>
    <cellStyle name="Porcentaje 6 2 6 2" xfId="8164" xr:uid="{274702DF-2F24-4F4A-B7F9-8B9C2D9755A1}"/>
    <cellStyle name="Porcentaje 6 2 7" xfId="5666" xr:uid="{A304F3AB-C91A-46E7-A23F-395D750989D7}"/>
    <cellStyle name="Porcentaje 6 2 8" xfId="668" xr:uid="{8E211C9C-79AB-431B-B208-95F01464F889}"/>
    <cellStyle name="Porcentaje 6 3" xfId="958" xr:uid="{231D050E-C7ED-4968-9B7E-DEC63035029B}"/>
    <cellStyle name="Porcentaje 6 3 2" xfId="2209" xr:uid="{6942FCA0-48B8-4374-BD64-6010A93A5D33}"/>
    <cellStyle name="Porcentaje 6 3 2 2" xfId="4707" xr:uid="{F822F9D7-9988-4955-8740-60E5214D2E71}"/>
    <cellStyle name="Porcentaje 6 3 2 2 2" xfId="9703" xr:uid="{FF84C8C5-5072-4DFB-B609-20CBBE521D2E}"/>
    <cellStyle name="Porcentaje 6 3 2 3" xfId="7205" xr:uid="{8A61EFA5-9C11-4F1A-836C-0404D6A08355}"/>
    <cellStyle name="Porcentaje 6 3 3" xfId="3458" xr:uid="{1021C2DF-822B-4E22-B31B-897186E18E76}"/>
    <cellStyle name="Porcentaje 6 3 3 2" xfId="8454" xr:uid="{258E8B49-48D9-47A6-862D-443B319E5C28}"/>
    <cellStyle name="Porcentaje 6 3 4" xfId="5956" xr:uid="{F38D9E5C-0C87-4B95-B734-9E86946155F4}"/>
    <cellStyle name="Porcentaje 6 4" xfId="1271" xr:uid="{FDF810C6-8B5C-4045-B358-3C51AB02BEB0}"/>
    <cellStyle name="Porcentaje 6 4 2" xfId="2521" xr:uid="{9E53809E-FD6A-4364-8D00-E334C6A45F39}"/>
    <cellStyle name="Porcentaje 6 4 2 2" xfId="5019" xr:uid="{97E39534-BB19-4AF7-B39E-5D4C8F47F254}"/>
    <cellStyle name="Porcentaje 6 4 2 2 2" xfId="10015" xr:uid="{0A49E07B-3778-4B0F-82BA-3A72B8872B57}"/>
    <cellStyle name="Porcentaje 6 4 2 3" xfId="7517" xr:uid="{8D0FBFC1-2F30-427E-8331-2C43C37C792C}"/>
    <cellStyle name="Porcentaje 6 4 3" xfId="3770" xr:uid="{349220D4-77EA-46C6-B9BE-80D3E6CC8E54}"/>
    <cellStyle name="Porcentaje 6 4 3 2" xfId="8766" xr:uid="{9100E213-F8ED-45B1-B000-AE9CEF43B14B}"/>
    <cellStyle name="Porcentaje 6 4 4" xfId="6268" xr:uid="{D99A4551-1419-4F94-A06D-B19E8FA86C21}"/>
    <cellStyle name="Porcentaje 6 5" xfId="1362" xr:uid="{C779E5D8-ACC3-45DA-8EDF-B23EDBC03C17}"/>
    <cellStyle name="Porcentaje 6 5 2" xfId="2612" xr:uid="{CD6FE132-0854-492B-AF26-2F900E2FEA90}"/>
    <cellStyle name="Porcentaje 6 5 2 2" xfId="5110" xr:uid="{66E74068-98BD-4C80-84F2-513C6FDE7820}"/>
    <cellStyle name="Porcentaje 6 5 2 2 2" xfId="10106" xr:uid="{7558F2E3-6FC0-4D9C-8568-6BBAB097F964}"/>
    <cellStyle name="Porcentaje 6 5 2 3" xfId="7608" xr:uid="{2F71AD65-FAF5-4974-87D6-E1D5D0C32B08}"/>
    <cellStyle name="Porcentaje 6 5 3" xfId="3861" xr:uid="{AAFF9DFA-D9CC-45BE-A1FC-7F3823611DE6}"/>
    <cellStyle name="Porcentaje 6 5 3 2" xfId="8857" xr:uid="{16E3EEC8-4E8C-4891-B1FE-CCF61000BF42}"/>
    <cellStyle name="Porcentaje 6 5 4" xfId="6359" xr:uid="{F8A61909-ADAF-49B3-9E6C-683355C6F90F}"/>
    <cellStyle name="Porcentaje 6 6" xfId="1693" xr:uid="{FFA0E932-023F-414B-BA47-EC88180806AD}"/>
    <cellStyle name="Porcentaje 6 6 2" xfId="4191" xr:uid="{15878DAE-A6FD-4D49-9AE2-45DDA5594D13}"/>
    <cellStyle name="Porcentaje 6 6 2 2" xfId="9187" xr:uid="{725DCB7D-E25A-4738-A1C0-F86E9830CDAA}"/>
    <cellStyle name="Porcentaje 6 6 3" xfId="6689" xr:uid="{4C0B4A9A-B6B1-4184-B842-D08A9E7D111B}"/>
    <cellStyle name="Porcentaje 6 7" xfId="2942" xr:uid="{1D97745D-7922-47AC-B765-25C0A96585BC}"/>
    <cellStyle name="Porcentaje 6 7 2" xfId="7938" xr:uid="{1F0928A1-AC29-4543-BB7B-EBFA595E39AA}"/>
    <cellStyle name="Porcentaje 6 8" xfId="5440" xr:uid="{6C500B0E-AC94-43C2-8CA8-143CB73956B1}"/>
    <cellStyle name="Porcentaje 6 9" xfId="442" xr:uid="{4FF02039-BE6B-475F-A7FE-5B80209FA590}"/>
    <cellStyle name="Porcentaje 7" xfId="343" xr:uid="{E14AC37C-9867-47BC-AA8C-E9A54073A069}"/>
    <cellStyle name="Porcentaje 7 2" xfId="344" xr:uid="{96E2C982-B62B-42D2-8946-68634449D8AE}"/>
    <cellStyle name="Porcentaje 7 2 2" xfId="961" xr:uid="{ABAE9E93-ACB3-4D93-AAE9-2FF245F7FCEE}"/>
    <cellStyle name="Porcentaje 7 2 2 2" xfId="2212" xr:uid="{980BF31B-C205-4513-87A8-32F87C5000D0}"/>
    <cellStyle name="Porcentaje 7 2 2 2 2" xfId="4710" xr:uid="{4A9FBCFD-20C9-4639-9FE3-5849DDB8816A}"/>
    <cellStyle name="Porcentaje 7 2 2 2 2 2" xfId="9706" xr:uid="{454AA553-22A9-4946-A01D-9C442C0F79CE}"/>
    <cellStyle name="Porcentaje 7 2 2 2 3" xfId="7208" xr:uid="{6CF95A03-0C0A-4B1A-8E66-03D36A680E1B}"/>
    <cellStyle name="Porcentaje 7 2 2 3" xfId="3461" xr:uid="{197E26B4-2A84-428B-9143-55DD8C8663D6}"/>
    <cellStyle name="Porcentaje 7 2 2 3 2" xfId="8457" xr:uid="{B0401189-D0A1-4E94-96B1-0C3C919212C4}"/>
    <cellStyle name="Porcentaje 7 2 2 4" xfId="5959" xr:uid="{081D5ABF-E06C-4354-A2FD-BE3219EBF46E}"/>
    <cellStyle name="Porcentaje 7 2 3" xfId="1274" xr:uid="{66279650-28E1-435A-B4CF-14F3CD85D34B}"/>
    <cellStyle name="Porcentaje 7 2 3 2" xfId="2524" xr:uid="{3CA24F4C-D273-4257-9197-0ABCD30403DE}"/>
    <cellStyle name="Porcentaje 7 2 3 2 2" xfId="5022" xr:uid="{8A74FAA9-102C-4F9D-B44B-6030C9E90FC3}"/>
    <cellStyle name="Porcentaje 7 2 3 2 2 2" xfId="10018" xr:uid="{7C7860D1-2C02-434B-B92B-F02A6B0BC28A}"/>
    <cellStyle name="Porcentaje 7 2 3 2 3" xfId="7520" xr:uid="{149A844D-51B1-412F-8704-03FE649D3F5E}"/>
    <cellStyle name="Porcentaje 7 2 3 3" xfId="3773" xr:uid="{19D98107-3E36-404C-9A13-06082D91867D}"/>
    <cellStyle name="Porcentaje 7 2 3 3 2" xfId="8769" xr:uid="{CE36588D-5817-458C-8F71-242AE831A38B}"/>
    <cellStyle name="Porcentaje 7 2 3 4" xfId="6271" xr:uid="{FB22297E-E61F-4791-8EB7-C5C98913A9E4}"/>
    <cellStyle name="Porcentaje 7 2 4" xfId="1589" xr:uid="{90802B97-AF3C-4BBC-82F2-C31FEB0BE860}"/>
    <cellStyle name="Porcentaje 7 2 4 2" xfId="2839" xr:uid="{01E52311-36A9-42E1-9DDD-1E0BEAE2CC68}"/>
    <cellStyle name="Porcentaje 7 2 4 2 2" xfId="5337" xr:uid="{E995DDB2-62C8-43F8-9720-A4697773136C}"/>
    <cellStyle name="Porcentaje 7 2 4 2 2 2" xfId="10333" xr:uid="{D8688EB4-D6CA-4CAE-AA2D-0F627BCD054D}"/>
    <cellStyle name="Porcentaje 7 2 4 2 3" xfId="7835" xr:uid="{1394AB00-DDF5-4C7D-930F-1B175806D117}"/>
    <cellStyle name="Porcentaje 7 2 4 3" xfId="4088" xr:uid="{C2FF2760-5A0B-43E5-94EC-73496704D827}"/>
    <cellStyle name="Porcentaje 7 2 4 3 2" xfId="9084" xr:uid="{3C6A124D-45F8-4FB5-B95B-F2952016FC30}"/>
    <cellStyle name="Porcentaje 7 2 4 4" xfId="6586" xr:uid="{FF84EB63-3270-4775-9691-0ED0F19C7F95}"/>
    <cellStyle name="Porcentaje 7 2 5" xfId="1920" xr:uid="{1E54BBC9-50A3-403C-A6FC-9E69F05E7883}"/>
    <cellStyle name="Porcentaje 7 2 5 2" xfId="4418" xr:uid="{1CED8F34-ECD6-4D8F-A844-ECD6BEDFD9BD}"/>
    <cellStyle name="Porcentaje 7 2 5 2 2" xfId="9414" xr:uid="{F2C14482-E203-4BFF-B18F-D99978756D63}"/>
    <cellStyle name="Porcentaje 7 2 5 3" xfId="6916" xr:uid="{67769C14-6FB9-46AD-BA49-56375CB8F5D8}"/>
    <cellStyle name="Porcentaje 7 2 6" xfId="3169" xr:uid="{FF0B8DA1-ABDB-48AC-8BEF-6F39A7FB74F3}"/>
    <cellStyle name="Porcentaje 7 2 6 2" xfId="8165" xr:uid="{9EE411F9-FC2E-43D0-940E-D5743D6A0788}"/>
    <cellStyle name="Porcentaje 7 2 7" xfId="5667" xr:uid="{375ECB3B-3B44-4DB0-82BC-643DBDB5E384}"/>
    <cellStyle name="Porcentaje 7 2 8" xfId="669" xr:uid="{60D8877D-219D-49EB-8251-8612363C9847}"/>
    <cellStyle name="Porcentaje 7 3" xfId="960" xr:uid="{AF5088F2-5AE6-4ECA-B6FA-B7E228EF41C2}"/>
    <cellStyle name="Porcentaje 7 3 2" xfId="2211" xr:uid="{DFC12CC9-AD65-40D8-B53F-5D162EB452CF}"/>
    <cellStyle name="Porcentaje 7 3 2 2" xfId="4709" xr:uid="{DCF4C64E-C1EC-44E5-9FF3-58D9E8A7E6E3}"/>
    <cellStyle name="Porcentaje 7 3 2 2 2" xfId="9705" xr:uid="{86046B7B-4D50-4F1D-90C4-3C4DC89FBF66}"/>
    <cellStyle name="Porcentaje 7 3 2 3" xfId="7207" xr:uid="{46BA11EA-91DA-4511-B424-22CDAD2A93C4}"/>
    <cellStyle name="Porcentaje 7 3 3" xfId="3460" xr:uid="{5310DE87-D7B9-4762-AA45-1B8C3665D961}"/>
    <cellStyle name="Porcentaje 7 3 3 2" xfId="8456" xr:uid="{EC6214D5-8254-4D11-8A15-5D89ABB86633}"/>
    <cellStyle name="Porcentaje 7 3 4" xfId="5958" xr:uid="{FCBEBD15-C8FC-4551-A3BD-10D21A1F6ED8}"/>
    <cellStyle name="Porcentaje 7 4" xfId="1273" xr:uid="{BB1589CC-1E0C-4254-9C55-02531C8013C3}"/>
    <cellStyle name="Porcentaje 7 4 2" xfId="2523" xr:uid="{91D1E6C1-C6BE-4298-B79D-A80879B2681C}"/>
    <cellStyle name="Porcentaje 7 4 2 2" xfId="5021" xr:uid="{0CB28089-D3EA-411D-8D9F-86300D887699}"/>
    <cellStyle name="Porcentaje 7 4 2 2 2" xfId="10017" xr:uid="{2B1DFF92-BB3A-4A49-ACA2-07034C9210F8}"/>
    <cellStyle name="Porcentaje 7 4 2 3" xfId="7519" xr:uid="{2C55B9F2-0B39-4747-A44A-97D089417A35}"/>
    <cellStyle name="Porcentaje 7 4 3" xfId="3772" xr:uid="{6F617BDE-CD4E-4EC2-98BA-014AD19B8D3E}"/>
    <cellStyle name="Porcentaje 7 4 3 2" xfId="8768" xr:uid="{A4C33171-B3E5-49C1-9436-40CDDDB9CD6E}"/>
    <cellStyle name="Porcentaje 7 4 4" xfId="6270" xr:uid="{A8ABF32D-F5BF-431D-B63D-539D713691E6}"/>
    <cellStyle name="Porcentaje 7 5" xfId="1364" xr:uid="{4AD4E2F5-6A34-4AB2-AEC5-241C081CC4E0}"/>
    <cellStyle name="Porcentaje 7 5 2" xfId="2614" xr:uid="{C73AD1F1-B840-4575-8D55-36C7EED94902}"/>
    <cellStyle name="Porcentaje 7 5 2 2" xfId="5112" xr:uid="{A9CB5676-83D0-41E7-ACC5-B2D03AA2FA47}"/>
    <cellStyle name="Porcentaje 7 5 2 2 2" xfId="10108" xr:uid="{4714FCB1-F608-472E-99E1-51B1E8776AF2}"/>
    <cellStyle name="Porcentaje 7 5 2 3" xfId="7610" xr:uid="{387855A4-D66C-4D4C-8D56-52E72C902BAC}"/>
    <cellStyle name="Porcentaje 7 5 3" xfId="3863" xr:uid="{BBCB70C9-1713-498A-AA3D-E5D4C995577B}"/>
    <cellStyle name="Porcentaje 7 5 3 2" xfId="8859" xr:uid="{F00058E4-B3AD-48B9-985A-9C3A4808B551}"/>
    <cellStyle name="Porcentaje 7 5 4" xfId="6361" xr:uid="{48D6D242-D71C-446A-A49A-AA487AD47B56}"/>
    <cellStyle name="Porcentaje 7 6" xfId="1695" xr:uid="{1A5A1C10-7303-4F61-BEB0-61AFD2A95689}"/>
    <cellStyle name="Porcentaje 7 6 2" xfId="4193" xr:uid="{EF96B228-9749-42A1-A6FB-DFC998B4A836}"/>
    <cellStyle name="Porcentaje 7 6 2 2" xfId="9189" xr:uid="{29D5A719-1F01-4A05-ACFF-9AFAF87548E3}"/>
    <cellStyle name="Porcentaje 7 6 3" xfId="6691" xr:uid="{C5AF242A-9762-4409-80AC-63F0E4183825}"/>
    <cellStyle name="Porcentaje 7 7" xfId="2944" xr:uid="{CD04B770-759F-4B67-8A74-741B84088D66}"/>
    <cellStyle name="Porcentaje 7 7 2" xfId="7940" xr:uid="{97F32638-BDF1-4310-82AF-0CCA31C1A7B8}"/>
    <cellStyle name="Porcentaje 7 8" xfId="5442" xr:uid="{BB03369E-E6D7-4A9E-890E-F7ED5BC6387D}"/>
    <cellStyle name="Porcentaje 7 9" xfId="444" xr:uid="{604A80F3-5D5F-4ED1-BD45-0D84511097C0}"/>
    <cellStyle name="Porcentaje 8" xfId="345" xr:uid="{F94AAD82-C023-4436-A17A-D9C0CB4C6EF1}"/>
    <cellStyle name="Porcentaje 8 2" xfId="346" xr:uid="{51ECD5BF-B0DB-4B3A-8932-831EB64F9CFF}"/>
    <cellStyle name="Porcentaje 8 2 2" xfId="963" xr:uid="{03CBA51A-2847-47AB-AEB3-27B28359EB5E}"/>
    <cellStyle name="Porcentaje 8 2 2 2" xfId="2214" xr:uid="{4609510C-8A87-4D0D-BB22-4D8A6894C0E4}"/>
    <cellStyle name="Porcentaje 8 2 2 2 2" xfId="4712" xr:uid="{F2E1CDED-4DB6-458D-8FD1-6F6E32541F27}"/>
    <cellStyle name="Porcentaje 8 2 2 2 2 2" xfId="9708" xr:uid="{99B08F24-1813-4BCC-8A19-A70998C7932D}"/>
    <cellStyle name="Porcentaje 8 2 2 2 3" xfId="7210" xr:uid="{F2C10410-0342-4D72-94A4-340C38DB30F8}"/>
    <cellStyle name="Porcentaje 8 2 2 3" xfId="3463" xr:uid="{5FCA517D-BCC8-4566-8CBD-795E7C14D46A}"/>
    <cellStyle name="Porcentaje 8 2 2 3 2" xfId="8459" xr:uid="{BB2EC6E5-0C53-45D9-9128-6A5EF9C9A411}"/>
    <cellStyle name="Porcentaje 8 2 2 4" xfId="5961" xr:uid="{15A8FF3D-00D9-4834-9B1D-43BF9B70F5B9}"/>
    <cellStyle name="Porcentaje 8 2 3" xfId="1276" xr:uid="{3628C9CD-18A4-41B4-AC5F-EE4F725E4384}"/>
    <cellStyle name="Porcentaje 8 2 3 2" xfId="2526" xr:uid="{ECDBED02-0B19-471E-BB00-23BDD9993BEF}"/>
    <cellStyle name="Porcentaje 8 2 3 2 2" xfId="5024" xr:uid="{5CF26DCE-C688-456D-A53E-38B4AC8FDB16}"/>
    <cellStyle name="Porcentaje 8 2 3 2 2 2" xfId="10020" xr:uid="{C1930B86-B5A7-4132-9943-74296451BCA3}"/>
    <cellStyle name="Porcentaje 8 2 3 2 3" xfId="7522" xr:uid="{65BF7707-E3BB-45C2-B007-7A6D0AC17346}"/>
    <cellStyle name="Porcentaje 8 2 3 3" xfId="3775" xr:uid="{AC924C51-0AAB-439D-AC3D-4DC3900E3E87}"/>
    <cellStyle name="Porcentaje 8 2 3 3 2" xfId="8771" xr:uid="{CEC0A273-7246-4AB0-9C91-D3FD891EC23C}"/>
    <cellStyle name="Porcentaje 8 2 3 4" xfId="6273" xr:uid="{3FDF5A09-B4FC-464F-A7C0-843BC7BB0F8C}"/>
    <cellStyle name="Porcentaje 8 2 4" xfId="1590" xr:uid="{A5218A64-868F-441F-AEFA-125FF0A477EB}"/>
    <cellStyle name="Porcentaje 8 2 4 2" xfId="2840" xr:uid="{2FC92A9A-7369-49AB-9267-D50DB9605220}"/>
    <cellStyle name="Porcentaje 8 2 4 2 2" xfId="5338" xr:uid="{0B0E386B-84CF-4DA0-BCFA-F681806E1059}"/>
    <cellStyle name="Porcentaje 8 2 4 2 2 2" xfId="10334" xr:uid="{8C5C7E2F-D345-44DA-AFDF-3B5393C1007D}"/>
    <cellStyle name="Porcentaje 8 2 4 2 3" xfId="7836" xr:uid="{B21CFF3F-A68A-4286-952D-012A07CFBAF1}"/>
    <cellStyle name="Porcentaje 8 2 4 3" xfId="4089" xr:uid="{0AF0267A-E48A-4EF7-B2A5-86A67462CD1B}"/>
    <cellStyle name="Porcentaje 8 2 4 3 2" xfId="9085" xr:uid="{F15C4F94-288A-4F7E-8D13-61040DDAB430}"/>
    <cellStyle name="Porcentaje 8 2 4 4" xfId="6587" xr:uid="{7E28B11C-A7DC-45B0-9C98-D82FCD1BCC41}"/>
    <cellStyle name="Porcentaje 8 2 5" xfId="1921" xr:uid="{11A30DCF-CA15-4288-B934-81E93EF305BB}"/>
    <cellStyle name="Porcentaje 8 2 5 2" xfId="4419" xr:uid="{9583E511-9A9E-4DEC-94E7-9B3E6795B3ED}"/>
    <cellStyle name="Porcentaje 8 2 5 2 2" xfId="9415" xr:uid="{588B5B12-3319-46FE-A3B4-ED124969BC3E}"/>
    <cellStyle name="Porcentaje 8 2 5 3" xfId="6917" xr:uid="{B646CF5B-443E-4034-AA8B-3AF00F699FBD}"/>
    <cellStyle name="Porcentaje 8 2 6" xfId="3170" xr:uid="{91B6CB5B-5CE7-4996-B872-5E7A25C0CAD5}"/>
    <cellStyle name="Porcentaje 8 2 6 2" xfId="8166" xr:uid="{5EDED8BD-F03F-4864-8133-24D7C2BB5DFF}"/>
    <cellStyle name="Porcentaje 8 2 7" xfId="5668" xr:uid="{20AD83E6-EE4A-4F17-AD71-75E14AA86427}"/>
    <cellStyle name="Porcentaje 8 2 8" xfId="670" xr:uid="{ECDCFADC-A62A-4F7D-A052-F821B5C220E4}"/>
    <cellStyle name="Porcentaje 8 3" xfId="962" xr:uid="{7F6CF473-544E-42EA-915F-343143B879A1}"/>
    <cellStyle name="Porcentaje 8 3 2" xfId="2213" xr:uid="{E8E80825-F845-4481-BF13-64EE81AFB577}"/>
    <cellStyle name="Porcentaje 8 3 2 2" xfId="4711" xr:uid="{76FA1517-B61C-426B-8565-4F05AB29C6A1}"/>
    <cellStyle name="Porcentaje 8 3 2 2 2" xfId="9707" xr:uid="{18F6C0F6-0B35-4F1E-ACE5-059F4AF0A293}"/>
    <cellStyle name="Porcentaje 8 3 2 3" xfId="7209" xr:uid="{0BDDC0A9-8B97-4F30-BC02-45216C74FD14}"/>
    <cellStyle name="Porcentaje 8 3 3" xfId="3462" xr:uid="{92A37ACD-58B1-42F8-B1D9-7051E8CBD55B}"/>
    <cellStyle name="Porcentaje 8 3 3 2" xfId="8458" xr:uid="{D5AECD69-FC6F-41DB-ACA4-81C81F604A94}"/>
    <cellStyle name="Porcentaje 8 3 4" xfId="5960" xr:uid="{67F77538-9D21-46AA-94E2-E86BEA8B14B2}"/>
    <cellStyle name="Porcentaje 8 4" xfId="1275" xr:uid="{AB9DADC1-5E7E-41E7-A300-A2B14000A861}"/>
    <cellStyle name="Porcentaje 8 4 2" xfId="2525" xr:uid="{862B52D0-42D6-45FF-B350-79EA192F1207}"/>
    <cellStyle name="Porcentaje 8 4 2 2" xfId="5023" xr:uid="{DC57AC07-6991-43FE-B368-8DC0BB2A0530}"/>
    <cellStyle name="Porcentaje 8 4 2 2 2" xfId="10019" xr:uid="{3760EEA9-362F-4C1C-8BDD-8F66D96DE884}"/>
    <cellStyle name="Porcentaje 8 4 2 3" xfId="7521" xr:uid="{0E53143B-0A30-4FE7-B5B7-5F9BE55BB0D1}"/>
    <cellStyle name="Porcentaje 8 4 3" xfId="3774" xr:uid="{35DDFE67-FB00-4626-BB0B-CAF9C2FF1AA0}"/>
    <cellStyle name="Porcentaje 8 4 3 2" xfId="8770" xr:uid="{90F24932-2B60-4F2B-B975-C1589C5A4EEE}"/>
    <cellStyle name="Porcentaje 8 4 4" xfId="6272" xr:uid="{A1FF49AC-DC9A-4268-A4E3-0CE4459FCF61}"/>
    <cellStyle name="Porcentaje 8 5" xfId="1369" xr:uid="{3EE07ECC-6E5E-4FB1-8887-BFC2CBAB19C4}"/>
    <cellStyle name="Porcentaje 8 5 2" xfId="2619" xr:uid="{0B96109C-AC75-41E2-9FD6-E508AA5D82C4}"/>
    <cellStyle name="Porcentaje 8 5 2 2" xfId="5117" xr:uid="{231F2C46-B7D6-4EB3-8BD4-09CBB09B04B0}"/>
    <cellStyle name="Porcentaje 8 5 2 2 2" xfId="10113" xr:uid="{661DEA07-2195-4961-9F54-7A1474D8A34D}"/>
    <cellStyle name="Porcentaje 8 5 2 3" xfId="7615" xr:uid="{EF0BE2A3-4C4C-400F-96DC-A9A00AD42995}"/>
    <cellStyle name="Porcentaje 8 5 3" xfId="3868" xr:uid="{6446D67E-388B-46F8-93A8-856F49A4E10B}"/>
    <cellStyle name="Porcentaje 8 5 3 2" xfId="8864" xr:uid="{C1394F7A-E7E2-4295-AC88-AB3B76DB3D19}"/>
    <cellStyle name="Porcentaje 8 5 4" xfId="6366" xr:uid="{294542AB-3EC8-4B7D-AB11-FD761A5EB2EC}"/>
    <cellStyle name="Porcentaje 8 6" xfId="1700" xr:uid="{DFAA03CF-8A33-4A23-9260-C05CAB749163}"/>
    <cellStyle name="Porcentaje 8 6 2" xfId="4198" xr:uid="{508B1030-C21C-435E-BC0A-DCA204A1014F}"/>
    <cellStyle name="Porcentaje 8 6 2 2" xfId="9194" xr:uid="{23E24811-80E9-468C-B223-3DB3D9C8C245}"/>
    <cellStyle name="Porcentaje 8 6 3" xfId="6696" xr:uid="{BFAC0943-2F38-436D-A536-B7321A38340B}"/>
    <cellStyle name="Porcentaje 8 7" xfId="2949" xr:uid="{01444A57-6805-4465-A48C-9BA239E24897}"/>
    <cellStyle name="Porcentaje 8 7 2" xfId="7945" xr:uid="{40DB86B0-4857-406B-AFBB-9D36C65CD400}"/>
    <cellStyle name="Porcentaje 8 8" xfId="5447" xr:uid="{B4384C3D-F678-4EFE-AF82-15286D57AF77}"/>
    <cellStyle name="Porcentaje 8 9" xfId="449" xr:uid="{700BDC1B-1A1D-4A69-8B80-4F570D877818}"/>
    <cellStyle name="Porcentaje 9" xfId="347" xr:uid="{23479EE5-0EBB-4806-A84A-486D2F29D81B}"/>
    <cellStyle name="Porcentaje 9 2" xfId="348" xr:uid="{609F9CEE-ECA4-452F-8052-2C521E770EC0}"/>
    <cellStyle name="Porcentaje 9 2 2" xfId="965" xr:uid="{D51EBEE0-664B-45B9-A1A5-22E2B54DE496}"/>
    <cellStyle name="Porcentaje 9 2 2 2" xfId="2216" xr:uid="{D4BF1A14-609B-46F0-B772-ACB1928BBC74}"/>
    <cellStyle name="Porcentaje 9 2 2 2 2" xfId="4714" xr:uid="{B529CDBE-8A3A-416A-96A2-CE1E0FF68D64}"/>
    <cellStyle name="Porcentaje 9 2 2 2 2 2" xfId="9710" xr:uid="{A45290D7-BB78-4A1B-A726-E7A9596FC4DF}"/>
    <cellStyle name="Porcentaje 9 2 2 2 3" xfId="7212" xr:uid="{62911B09-256A-4FAD-8EF4-C2ED575AEB9F}"/>
    <cellStyle name="Porcentaje 9 2 2 3" xfId="3465" xr:uid="{563F9760-BD18-4520-A7CA-F4215A6FCC8D}"/>
    <cellStyle name="Porcentaje 9 2 2 3 2" xfId="8461" xr:uid="{F48CD9E9-298C-44C6-A168-A3F311D814D6}"/>
    <cellStyle name="Porcentaje 9 2 2 4" xfId="5963" xr:uid="{71C28428-602B-49E8-A940-EE8A29D3F8C3}"/>
    <cellStyle name="Porcentaje 9 2 3" xfId="1278" xr:uid="{29DE9666-6A1E-4124-8EF9-78F73F911629}"/>
    <cellStyle name="Porcentaje 9 2 3 2" xfId="2528" xr:uid="{0B8B0BAF-7109-4CDF-95AE-94A3D65F28CD}"/>
    <cellStyle name="Porcentaje 9 2 3 2 2" xfId="5026" xr:uid="{0BA011E0-FA3A-4E0D-AFD8-FBD60374AC62}"/>
    <cellStyle name="Porcentaje 9 2 3 2 2 2" xfId="10022" xr:uid="{401A25B1-AD01-45EB-AC78-D3B0E47EFE24}"/>
    <cellStyle name="Porcentaje 9 2 3 2 3" xfId="7524" xr:uid="{EABF0A15-1AD9-4AFA-85FA-F9191DB08518}"/>
    <cellStyle name="Porcentaje 9 2 3 3" xfId="3777" xr:uid="{1523703E-26BE-43AB-9D1B-639C7F21A21E}"/>
    <cellStyle name="Porcentaje 9 2 3 3 2" xfId="8773" xr:uid="{24A2AC25-311C-4237-96DF-3717722D1911}"/>
    <cellStyle name="Porcentaje 9 2 3 4" xfId="6275" xr:uid="{A5E3409C-4562-47C5-8342-A3C5304D357D}"/>
    <cellStyle name="Porcentaje 9 2 4" xfId="1591" xr:uid="{D2933647-FAFA-4FFF-ADF1-1492B0962B6E}"/>
    <cellStyle name="Porcentaje 9 2 4 2" xfId="2841" xr:uid="{1D2B0EA9-2253-45C8-9F34-6B49FF4F60C9}"/>
    <cellStyle name="Porcentaje 9 2 4 2 2" xfId="5339" xr:uid="{39C3EDDD-CAA4-49FC-866C-AFF95F436FBE}"/>
    <cellStyle name="Porcentaje 9 2 4 2 2 2" xfId="10335" xr:uid="{25D26C57-D836-47BD-A89C-67C598383169}"/>
    <cellStyle name="Porcentaje 9 2 4 2 3" xfId="7837" xr:uid="{42815A8B-A717-4250-8380-444676D0C0D9}"/>
    <cellStyle name="Porcentaje 9 2 4 3" xfId="4090" xr:uid="{135EA5FD-A657-4942-8433-5B7BD487AE49}"/>
    <cellStyle name="Porcentaje 9 2 4 3 2" xfId="9086" xr:uid="{B6722F86-2DC2-4C66-B134-32986C7EF612}"/>
    <cellStyle name="Porcentaje 9 2 4 4" xfId="6588" xr:uid="{EF2F3DFB-A277-4E0B-9C47-C2E2D2A0B234}"/>
    <cellStyle name="Porcentaje 9 2 5" xfId="1922" xr:uid="{599EE91C-0DF7-47DD-8036-15DABC78D5F8}"/>
    <cellStyle name="Porcentaje 9 2 5 2" xfId="4420" xr:uid="{207A82A3-FB4D-4BC8-B859-AC25FEF09FEA}"/>
    <cellStyle name="Porcentaje 9 2 5 2 2" xfId="9416" xr:uid="{4C6B1311-FB52-4800-BC96-D9B9959C0D07}"/>
    <cellStyle name="Porcentaje 9 2 5 3" xfId="6918" xr:uid="{19E57DB8-9BB9-4219-9B3A-A4A6209DDDFC}"/>
    <cellStyle name="Porcentaje 9 2 6" xfId="3171" xr:uid="{F4C06479-CBC1-403D-AE38-C15AC4D689FA}"/>
    <cellStyle name="Porcentaje 9 2 6 2" xfId="8167" xr:uid="{E1D0EDE3-18FB-4B4B-BB45-993C6D470E39}"/>
    <cellStyle name="Porcentaje 9 2 7" xfId="5669" xr:uid="{36EA1E44-0771-4930-9DD1-C62A18589BFD}"/>
    <cellStyle name="Porcentaje 9 2 8" xfId="671" xr:uid="{D9CADE81-A0E3-4B65-ADAA-6C635B471A78}"/>
    <cellStyle name="Porcentaje 9 3" xfId="964" xr:uid="{C5FFE437-6638-452A-84B2-00FF1932BCF4}"/>
    <cellStyle name="Porcentaje 9 3 2" xfId="2215" xr:uid="{82E3127E-EF5D-48FE-95FB-11B11B13E7A2}"/>
    <cellStyle name="Porcentaje 9 3 2 2" xfId="4713" xr:uid="{1D9470C8-B30A-47B8-AECE-B6BD5A4864A0}"/>
    <cellStyle name="Porcentaje 9 3 2 2 2" xfId="9709" xr:uid="{4BC95734-5641-40E5-B7A2-8B3031F06F26}"/>
    <cellStyle name="Porcentaje 9 3 2 3" xfId="7211" xr:uid="{C2A17DB6-323A-452C-8082-E670A166026C}"/>
    <cellStyle name="Porcentaje 9 3 3" xfId="3464" xr:uid="{48AC00CC-AF2E-419A-8946-4BBA24F2FFF2}"/>
    <cellStyle name="Porcentaje 9 3 3 2" xfId="8460" xr:uid="{A44FB318-2F6E-4CD5-A6C1-A437FFE4EE42}"/>
    <cellStyle name="Porcentaje 9 3 4" xfId="5962" xr:uid="{09698FCA-D2E3-44A4-B089-D04D34D04DC9}"/>
    <cellStyle name="Porcentaje 9 4" xfId="1277" xr:uid="{10F5E03A-CCFE-46D9-8032-E8593025E000}"/>
    <cellStyle name="Porcentaje 9 4 2" xfId="2527" xr:uid="{3F164593-0BBA-460B-AD24-AA996016FD7F}"/>
    <cellStyle name="Porcentaje 9 4 2 2" xfId="5025" xr:uid="{40B1439B-4D77-482C-87EC-C0CEA6F6D8C2}"/>
    <cellStyle name="Porcentaje 9 4 2 2 2" xfId="10021" xr:uid="{9252361E-EDB1-4633-8780-E82AF93E2AAE}"/>
    <cellStyle name="Porcentaje 9 4 2 3" xfId="7523" xr:uid="{27502E38-FE04-4B2C-AD35-F583101AFEBD}"/>
    <cellStyle name="Porcentaje 9 4 3" xfId="3776" xr:uid="{F740EB7C-9FA4-4659-9CB2-9867B6CF8804}"/>
    <cellStyle name="Porcentaje 9 4 3 2" xfId="8772" xr:uid="{8ABF5485-5C56-4777-824A-DC03B38F8DCA}"/>
    <cellStyle name="Porcentaje 9 4 4" xfId="6274" xr:uid="{11A589CA-40CF-4E0F-91ED-FB87A6042B5F}"/>
    <cellStyle name="Porcentaje 9 5" xfId="1446" xr:uid="{7041CB8E-4DD0-46D6-9C40-2836C2537305}"/>
    <cellStyle name="Porcentaje 9 5 2" xfId="2696" xr:uid="{AAA95016-992A-4E95-B8A3-B44B46CAD2A4}"/>
    <cellStyle name="Porcentaje 9 5 2 2" xfId="5194" xr:uid="{4A4BB355-3ACA-4B9B-B640-32843FF5EC48}"/>
    <cellStyle name="Porcentaje 9 5 2 2 2" xfId="10190" xr:uid="{11EAA510-C63E-4690-BE9F-57F8200C2941}"/>
    <cellStyle name="Porcentaje 9 5 2 3" xfId="7692" xr:uid="{DB8209C3-5F27-4DD4-96BC-9A915EFB84E0}"/>
    <cellStyle name="Porcentaje 9 5 3" xfId="3945" xr:uid="{A29F96B5-0F32-412E-AFBF-A6FE44721ABE}"/>
    <cellStyle name="Porcentaje 9 5 3 2" xfId="8941" xr:uid="{4C228951-C5EF-400A-8B28-40478051A99F}"/>
    <cellStyle name="Porcentaje 9 5 4" xfId="6443" xr:uid="{C1A65269-3259-4BA9-818B-452D064CC33D}"/>
    <cellStyle name="Porcentaje 9 6" xfId="1777" xr:uid="{22AD3BB4-3B80-4F84-A10C-38C332060313}"/>
    <cellStyle name="Porcentaje 9 6 2" xfId="4275" xr:uid="{58668CA6-D1F5-47EC-A69E-0FC33CC8148E}"/>
    <cellStyle name="Porcentaje 9 6 2 2" xfId="9271" xr:uid="{386159D4-6D26-4A16-A484-D52BD8AB7618}"/>
    <cellStyle name="Porcentaje 9 6 3" xfId="6773" xr:uid="{5C161009-D93B-4C87-9AF7-C592FBFDB6A2}"/>
    <cellStyle name="Porcentaje 9 7" xfId="3026" xr:uid="{F1F81FC5-280B-4A5A-9BE6-A03A1569DA08}"/>
    <cellStyle name="Porcentaje 9 7 2" xfId="8022" xr:uid="{77509770-E628-4C63-BA1D-1210BDB62804}"/>
    <cellStyle name="Porcentaje 9 8" xfId="5524" xr:uid="{5BFF5582-0B86-4BE6-A4F5-4AC7F4FDCF94}"/>
    <cellStyle name="Porcentaje 9 9" xfId="526" xr:uid="{2D53F5CD-3FCB-441B-BE44-45EE85138DDD}"/>
    <cellStyle name="Porcentual 2" xfId="7" xr:uid="{00000000-0005-0000-0000-000013000000}"/>
    <cellStyle name="Porcentual 2 2" xfId="51" xr:uid="{D0FA6BBA-1149-4B69-B273-F37D70026CF7}"/>
    <cellStyle name="Salida 2" xfId="349" xr:uid="{F4E93CD5-97E3-4EE6-BBA0-D86B1A7EEED4}"/>
    <cellStyle name="Texto de advertencia 2" xfId="350" xr:uid="{7F2EE59C-7FB5-40BF-80C2-E2B4F471E292}"/>
    <cellStyle name="Texto explicativo 2" xfId="351" xr:uid="{A9776C2D-87D6-4D62-9DD9-D494457ED2D1}"/>
    <cellStyle name="Título 1 2" xfId="352" xr:uid="{D7322D99-983A-4867-BFD0-D54D4C043EE0}"/>
    <cellStyle name="Título 2 2" xfId="353" xr:uid="{34D61E0D-93E3-4C14-82D7-27FD3185BE09}"/>
    <cellStyle name="Título 3 2" xfId="354" xr:uid="{14A15CEE-EED1-434C-BD9D-FCB4C6F9D64E}"/>
    <cellStyle name="Título 4" xfId="355" xr:uid="{2F0A56D9-A440-4284-9785-F3FE4F6B2313}"/>
    <cellStyle name="Total 2" xfId="356" xr:uid="{57A67E92-F56F-48C3-A349-CC094AB21141}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right" readingOrder="0"/>
    </dxf>
    <dxf>
      <alignment horizontal="right" readingOrder="0"/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00FF00"/>
      <color rgb="FF66FFFF"/>
      <color rgb="FF00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alacios\mis%20document\FABIAN\Prod\Manejo%20Informacion\Julio\Fumigacion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Cultivos%20Varios/PROGRAMACIONES%20SEMANALES/GYPSOS/A&#209;O%202025/2546/D-PR-000%20(Programa%20%20drench%20gypsos%20CV)ReV.1.xlsx" TargetMode="External"/><Relationship Id="rId2" Type="http://schemas.openxmlformats.org/officeDocument/2006/relationships/externalLinkPath" Target="file:///\\10.0.2.15\14_produccion\Vigentes\CAMPO\Datos\Cultivos%20Varios\PROGRAMACIONES%20SEMANALES\GYPSOS\A&#209;O%202025\2546\D-PR-000%20(Programa%20%20drench%20gypsos%20CV)ReV.1.xlsx" TargetMode="External"/><Relationship Id="rId1" Type="http://schemas.openxmlformats.org/officeDocument/2006/relationships/externalLinkPath" Target="/Vigentes/CAMPO/Datos/Cultivos%20Varios/PROGRAMACIONES%20SEMANALES/GYPSOS/A&#209;O%202025/2546/D-PR-000%20(Programa%20%20drench%20gypsos%20CV)ReV.1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Gypsos/Plantas-programa.xlsx" TargetMode="External"/><Relationship Id="rId2" Type="http://schemas.openxmlformats.org/officeDocument/2006/relationships/externalLinkPath" Target="file:///\\10.0.2.15\14_produccion\Vigentes\CAMPO\Datos\Gypsos\Plantas-programa.xlsx" TargetMode="External"/><Relationship Id="rId1" Type="http://schemas.openxmlformats.org/officeDocument/2006/relationships/externalLinkPath" Target="/Vigentes/CAMPO/Datos/Gypsos/Plantas-progra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rario"/>
      <sheetName val="Tiempos"/>
      <sheetName val="Rotaciones"/>
      <sheetName val="Dosis"/>
      <sheetName val="Programa"/>
      <sheetName val="Presupuesto"/>
      <sheetName val="Fumigaciones"/>
      <sheetName val="Solicit. E.DIANTHUS"/>
      <sheetName val="Formula GYP DIANTHUS"/>
      <sheetName val="datos DIANTHUS"/>
    </sheetNames>
    <sheetDataSet>
      <sheetData sheetId="0"/>
      <sheetData sheetId="1"/>
      <sheetData sheetId="2"/>
      <sheetData sheetId="3">
        <row r="1">
          <cell r="A1" t="str">
            <v>Dosis y pH de plaguicidas</v>
          </cell>
        </row>
        <row r="3">
          <cell r="A3" t="str">
            <v>Producto</v>
          </cell>
          <cell r="B3" t="str">
            <v>Dosis</v>
          </cell>
          <cell r="C3" t="str">
            <v>pH</v>
          </cell>
        </row>
        <row r="4">
          <cell r="A4" t="str">
            <v>Avertic</v>
          </cell>
          <cell r="B4">
            <v>0.5</v>
          </cell>
          <cell r="C4">
            <v>5.5</v>
          </cell>
        </row>
        <row r="5">
          <cell r="A5" t="str">
            <v>Afugan</v>
          </cell>
          <cell r="B5">
            <v>1</v>
          </cell>
          <cell r="C5">
            <v>5.5</v>
          </cell>
        </row>
        <row r="6">
          <cell r="A6" t="str">
            <v>Agua Oxigenada</v>
          </cell>
          <cell r="B6">
            <v>4</v>
          </cell>
          <cell r="C6" t="str">
            <v>NC</v>
          </cell>
        </row>
        <row r="7">
          <cell r="A7" t="str">
            <v>Amistar</v>
          </cell>
          <cell r="B7">
            <v>0.3</v>
          </cell>
          <cell r="C7">
            <v>5.5</v>
          </cell>
        </row>
        <row r="8">
          <cell r="A8" t="str">
            <v>Antracol</v>
          </cell>
          <cell r="B8">
            <v>2</v>
          </cell>
          <cell r="C8">
            <v>5.5</v>
          </cell>
        </row>
        <row r="9">
          <cell r="A9" t="str">
            <v>Balear</v>
          </cell>
          <cell r="B9">
            <v>1.4</v>
          </cell>
          <cell r="C9">
            <v>5.5</v>
          </cell>
        </row>
        <row r="10">
          <cell r="A10" t="str">
            <v>Decis</v>
          </cell>
          <cell r="B10">
            <v>1</v>
          </cell>
          <cell r="C10">
            <v>5</v>
          </cell>
        </row>
        <row r="11">
          <cell r="A11" t="str">
            <v>Dithane</v>
          </cell>
          <cell r="B11">
            <v>2</v>
          </cell>
          <cell r="C11">
            <v>5</v>
          </cell>
        </row>
        <row r="12">
          <cell r="A12" t="str">
            <v>Evisect</v>
          </cell>
          <cell r="B12">
            <v>0.5</v>
          </cell>
          <cell r="C12">
            <v>5</v>
          </cell>
        </row>
        <row r="13">
          <cell r="A13" t="str">
            <v>Goldazim</v>
          </cell>
          <cell r="B13">
            <v>1</v>
          </cell>
          <cell r="C13">
            <v>5</v>
          </cell>
        </row>
        <row r="14">
          <cell r="A14" t="str">
            <v>Lorsban</v>
          </cell>
          <cell r="B14">
            <v>1</v>
          </cell>
          <cell r="C14">
            <v>5</v>
          </cell>
        </row>
        <row r="15">
          <cell r="A15" t="str">
            <v>Mancozeb</v>
          </cell>
          <cell r="B15">
            <v>2</v>
          </cell>
          <cell r="C15">
            <v>5</v>
          </cell>
        </row>
        <row r="16">
          <cell r="A16" t="str">
            <v>Mertect</v>
          </cell>
          <cell r="B16">
            <v>1</v>
          </cell>
          <cell r="C16">
            <v>5.5</v>
          </cell>
        </row>
        <row r="17">
          <cell r="A17" t="str">
            <v>Mesurol</v>
          </cell>
          <cell r="B17">
            <v>1</v>
          </cell>
          <cell r="C17">
            <v>7</v>
          </cell>
        </row>
        <row r="18">
          <cell r="A18" t="str">
            <v>Mirage</v>
          </cell>
          <cell r="B18">
            <v>1</v>
          </cell>
          <cell r="C18">
            <v>5.5</v>
          </cell>
        </row>
        <row r="19">
          <cell r="A19" t="str">
            <v>Novak</v>
          </cell>
          <cell r="B19">
            <v>1</v>
          </cell>
          <cell r="C19">
            <v>5</v>
          </cell>
        </row>
        <row r="20">
          <cell r="A20" t="str">
            <v>Phyton</v>
          </cell>
          <cell r="B20">
            <v>0.75</v>
          </cell>
          <cell r="C20" t="str">
            <v>NC</v>
          </cell>
        </row>
        <row r="21">
          <cell r="A21" t="str">
            <v>Polar</v>
          </cell>
          <cell r="B21">
            <v>0.3</v>
          </cell>
          <cell r="C21">
            <v>5.5</v>
          </cell>
        </row>
        <row r="22">
          <cell r="A22" t="str">
            <v>Polyram</v>
          </cell>
          <cell r="B22">
            <v>1.2</v>
          </cell>
          <cell r="C22">
            <v>5.5</v>
          </cell>
        </row>
        <row r="23">
          <cell r="A23" t="str">
            <v>Rovral</v>
          </cell>
          <cell r="B23">
            <v>1</v>
          </cell>
          <cell r="C23">
            <v>7</v>
          </cell>
        </row>
        <row r="24">
          <cell r="A24" t="str">
            <v>Score</v>
          </cell>
          <cell r="B24">
            <v>1</v>
          </cell>
          <cell r="C24">
            <v>5.5</v>
          </cell>
        </row>
        <row r="25">
          <cell r="A25" t="str">
            <v>Sunfire</v>
          </cell>
          <cell r="B25">
            <v>0.3</v>
          </cell>
          <cell r="C25">
            <v>7</v>
          </cell>
        </row>
        <row r="26">
          <cell r="A26" t="str">
            <v>Tagushi</v>
          </cell>
          <cell r="B26">
            <v>1</v>
          </cell>
          <cell r="C26">
            <v>5.5</v>
          </cell>
        </row>
        <row r="27">
          <cell r="A27" t="str">
            <v>Teldor Combi</v>
          </cell>
          <cell r="B27">
            <v>2</v>
          </cell>
          <cell r="C27">
            <v>5.5</v>
          </cell>
        </row>
        <row r="28">
          <cell r="A28" t="str">
            <v>Topas</v>
          </cell>
          <cell r="B28">
            <v>0.6</v>
          </cell>
          <cell r="C28">
            <v>5.5</v>
          </cell>
        </row>
        <row r="29">
          <cell r="A29" t="str">
            <v>Tracer</v>
          </cell>
          <cell r="B29">
            <v>0.1</v>
          </cell>
          <cell r="C29">
            <v>5.5</v>
          </cell>
        </row>
        <row r="30">
          <cell r="A30" t="str">
            <v>Trigard</v>
          </cell>
          <cell r="B30">
            <v>0.25</v>
          </cell>
          <cell r="C30">
            <v>7</v>
          </cell>
        </row>
      </sheetData>
      <sheetData sheetId="4"/>
      <sheetData sheetId="5"/>
      <sheetData sheetId="6" refreshError="1"/>
      <sheetData sheetId="7"/>
      <sheetData sheetId="8">
        <row r="1">
          <cell r="A1" t="str">
            <v>PLANTACIONES MALIMA C. LTDA.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GR Drench 2045 Frio 14-42"/>
      <sheetName val="1643 Cal y Alcaplant"/>
      <sheetName val="Fusarium Nematodos 2008"/>
      <sheetName val="PGR Drench caliente 43-13"/>
      <sheetName val="PGR Drench 2045 fria 14-42"/>
      <sheetName val="Programa Drench"/>
      <sheetName val="PROGRAMA DRENCH PASO 1"/>
      <sheetName val="CALCULO DRENCH EGRESO PASO 2"/>
      <sheetName val="RESUMEN DRENCH BODEGA 3"/>
      <sheetName val="CODIGOS D"/>
      <sheetName val="Inf Bloques"/>
      <sheetName val="CODIGOS no usamos"/>
      <sheetName val="Hoja1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3" t="str">
            <v>0rthene</v>
          </cell>
          <cell r="B3" t="str">
            <v>PI037</v>
          </cell>
          <cell r="C3" t="str">
            <v>GR</v>
          </cell>
          <cell r="D3" t="str">
            <v>NO</v>
          </cell>
          <cell r="E3" t="str">
            <v>ACTIVOS REG</v>
          </cell>
          <cell r="F3" t="str">
            <v>Lunes</v>
          </cell>
          <cell r="G3">
            <v>5</v>
          </cell>
          <cell r="H3">
            <v>8</v>
          </cell>
          <cell r="I3" t="str">
            <v>Pulgón</v>
          </cell>
          <cell r="J3" t="str">
            <v>Minador</v>
          </cell>
          <cell r="K3" t="str">
            <v>Trips</v>
          </cell>
          <cell r="L3">
            <v>0</v>
          </cell>
          <cell r="M3" t="str">
            <v>Acephato</v>
          </cell>
          <cell r="N3" t="str">
            <v>III</v>
          </cell>
          <cell r="O3" t="str">
            <v>Ligeramente Peligrosos III</v>
          </cell>
          <cell r="P3" t="str">
            <v>Insecticida</v>
          </cell>
          <cell r="Q3" t="str">
            <v>SUSPENDIDO</v>
          </cell>
          <cell r="R3" t="str">
            <v>-</v>
          </cell>
          <cell r="S3"/>
        </row>
        <row r="4">
          <cell r="A4" t="str">
            <v>10-30-10</v>
          </cell>
          <cell r="B4" t="str">
            <v>FA035</v>
          </cell>
          <cell r="C4" t="str">
            <v>KG</v>
          </cell>
          <cell r="D4" t="str">
            <v>NO</v>
          </cell>
          <cell r="E4" t="str">
            <v>ACTIVOS NO REG</v>
          </cell>
          <cell r="F4"/>
          <cell r="G4"/>
          <cell r="H4"/>
          <cell r="I4"/>
          <cell r="J4"/>
          <cell r="K4"/>
          <cell r="L4"/>
          <cell r="M4"/>
          <cell r="N4" t="str">
            <v>IV</v>
          </cell>
          <cell r="O4" t="str">
            <v>Categoría IV</v>
          </cell>
          <cell r="P4" t="str">
            <v>Fertilizante</v>
          </cell>
          <cell r="Q4"/>
          <cell r="R4" t="str">
            <v>-</v>
          </cell>
        </row>
        <row r="5">
          <cell r="A5" t="str">
            <v>15-30-15</v>
          </cell>
          <cell r="B5" t="str">
            <v>FA049</v>
          </cell>
          <cell r="C5" t="str">
            <v>KG</v>
          </cell>
          <cell r="D5" t="str">
            <v>NO</v>
          </cell>
          <cell r="E5" t="str">
            <v>ACTIVOS NO REG</v>
          </cell>
          <cell r="F5"/>
          <cell r="G5"/>
          <cell r="H5"/>
          <cell r="I5"/>
          <cell r="J5"/>
          <cell r="K5"/>
          <cell r="L5"/>
          <cell r="M5"/>
          <cell r="N5" t="str">
            <v>IV</v>
          </cell>
          <cell r="O5" t="str">
            <v>Categoría IV</v>
          </cell>
          <cell r="P5" t="str">
            <v>Fertilizante</v>
          </cell>
          <cell r="Q5"/>
          <cell r="R5" t="str">
            <v>-</v>
          </cell>
        </row>
        <row r="6">
          <cell r="A6" t="str">
            <v>ABALON</v>
          </cell>
          <cell r="B6" t="str">
            <v>PI150</v>
          </cell>
          <cell r="C6" t="str">
            <v>CC</v>
          </cell>
          <cell r="D6" t="str">
            <v>SI</v>
          </cell>
          <cell r="E6" t="str">
            <v>ACTIVOS REG</v>
          </cell>
          <cell r="F6" t="str">
            <v>Martes</v>
          </cell>
          <cell r="G6">
            <v>6</v>
          </cell>
          <cell r="H6">
            <v>4</v>
          </cell>
          <cell r="I6" t="str">
            <v>Minador</v>
          </cell>
          <cell r="J6" t="str">
            <v>Acaros</v>
          </cell>
          <cell r="K6">
            <v>0</v>
          </cell>
          <cell r="L6">
            <v>0</v>
          </cell>
          <cell r="M6" t="str">
            <v>Abamectina</v>
          </cell>
          <cell r="N6" t="str">
            <v>III</v>
          </cell>
          <cell r="O6" t="str">
            <v>Ligeramente Peligrosos III</v>
          </cell>
          <cell r="P6" t="str">
            <v>Insecticida</v>
          </cell>
          <cell r="Q6" t="str">
            <v>SI</v>
          </cell>
          <cell r="R6">
            <v>0.6</v>
          </cell>
          <cell r="S6"/>
        </row>
        <row r="7">
          <cell r="A7" t="str">
            <v>ABEMACTINA</v>
          </cell>
          <cell r="B7" t="str">
            <v>PI005</v>
          </cell>
          <cell r="C7" t="str">
            <v>CC</v>
          </cell>
          <cell r="D7" t="str">
            <v>NO</v>
          </cell>
          <cell r="E7" t="str">
            <v>ACTIVOS NO REG</v>
          </cell>
          <cell r="F7" t="str">
            <v>Lunes</v>
          </cell>
          <cell r="G7">
            <v>6</v>
          </cell>
          <cell r="H7"/>
          <cell r="I7" t="str">
            <v>Acaros</v>
          </cell>
          <cell r="J7"/>
          <cell r="K7"/>
          <cell r="L7"/>
          <cell r="M7" t="str">
            <v>ABAMECTINA</v>
          </cell>
          <cell r="N7" t="str">
            <v>II</v>
          </cell>
          <cell r="O7" t="str">
            <v>Moderadamente Peligrosos II</v>
          </cell>
          <cell r="P7" t="str">
            <v>Insecticida</v>
          </cell>
          <cell r="Q7" t="str">
            <v>SI</v>
          </cell>
          <cell r="R7" t="str">
            <v>-</v>
          </cell>
        </row>
        <row r="8">
          <cell r="A8" t="str">
            <v>Acaristop</v>
          </cell>
          <cell r="B8" t="str">
            <v>PI082</v>
          </cell>
          <cell r="C8" t="str">
            <v>CC</v>
          </cell>
          <cell r="D8" t="str">
            <v>NO</v>
          </cell>
          <cell r="E8" t="str">
            <v>ACTIVOS REG</v>
          </cell>
          <cell r="F8" t="str">
            <v>Lunes</v>
          </cell>
          <cell r="G8" t="str">
            <v>4.5-7.5</v>
          </cell>
          <cell r="H8">
            <v>4</v>
          </cell>
          <cell r="I8" t="str">
            <v>Acaros</v>
          </cell>
          <cell r="J8">
            <v>0</v>
          </cell>
          <cell r="K8">
            <v>0</v>
          </cell>
          <cell r="L8">
            <v>0</v>
          </cell>
          <cell r="M8" t="str">
            <v>Clofentezina</v>
          </cell>
          <cell r="N8" t="str">
            <v>IV</v>
          </cell>
          <cell r="O8" t="str">
            <v>Categoría IV</v>
          </cell>
          <cell r="P8" t="str">
            <v>Insecticida</v>
          </cell>
          <cell r="Q8" t="str">
            <v>SI</v>
          </cell>
          <cell r="R8">
            <v>0.4</v>
          </cell>
        </row>
        <row r="9">
          <cell r="A9" t="str">
            <v>ACEITE DE PALMA AFRICANA</v>
          </cell>
          <cell r="B9" t="str">
            <v>PS001</v>
          </cell>
          <cell r="C9" t="str">
            <v>KG</v>
          </cell>
          <cell r="D9" t="str">
            <v>NO</v>
          </cell>
          <cell r="E9" t="str">
            <v>ACTIVOS NO REG</v>
          </cell>
          <cell r="F9"/>
          <cell r="G9"/>
          <cell r="H9"/>
          <cell r="I9"/>
          <cell r="J9"/>
          <cell r="K9"/>
          <cell r="L9"/>
          <cell r="M9"/>
          <cell r="N9" t="str">
            <v>IV</v>
          </cell>
          <cell r="O9" t="str">
            <v>Categoría IV</v>
          </cell>
          <cell r="P9" t="str">
            <v>Mipe</v>
          </cell>
          <cell r="Q9"/>
          <cell r="R9" t="str">
            <v>-</v>
          </cell>
        </row>
        <row r="10">
          <cell r="A10" t="str">
            <v>ACIDO BÓRICO</v>
          </cell>
          <cell r="B10" t="str">
            <v>FI014</v>
          </cell>
          <cell r="C10" t="str">
            <v>GR</v>
          </cell>
          <cell r="D10" t="str">
            <v>SI</v>
          </cell>
          <cell r="E10" t="str">
            <v>ACTIVOS REG</v>
          </cell>
          <cell r="F10"/>
          <cell r="G10" t="str">
            <v xml:space="preserve"> ---</v>
          </cell>
          <cell r="H10">
            <v>0</v>
          </cell>
          <cell r="I10" t="str">
            <v>Fertilización</v>
          </cell>
          <cell r="J10">
            <v>0</v>
          </cell>
          <cell r="K10">
            <v>0</v>
          </cell>
          <cell r="L10">
            <v>0</v>
          </cell>
          <cell r="M10" t="str">
            <v>Boro</v>
          </cell>
          <cell r="N10" t="str">
            <v>IV</v>
          </cell>
          <cell r="O10" t="str">
            <v>Categoría IV</v>
          </cell>
          <cell r="P10" t="str">
            <v>Fertilizante</v>
          </cell>
          <cell r="Q10"/>
          <cell r="R10" t="str">
            <v>-</v>
          </cell>
        </row>
        <row r="11">
          <cell r="A11" t="str">
            <v>ACIDO CÍTRICO</v>
          </cell>
          <cell r="B11" t="str">
            <v>HR005</v>
          </cell>
          <cell r="C11" t="str">
            <v>GR</v>
          </cell>
          <cell r="D11" t="str">
            <v>SI</v>
          </cell>
          <cell r="E11" t="str">
            <v>ACTIVOS REG</v>
          </cell>
          <cell r="F11"/>
          <cell r="G11"/>
          <cell r="H11"/>
          <cell r="I11"/>
          <cell r="J11"/>
          <cell r="K11"/>
          <cell r="L11"/>
          <cell r="M11"/>
          <cell r="N11" t="str">
            <v>IV</v>
          </cell>
          <cell r="O11" t="str">
            <v>Categoría IV</v>
          </cell>
          <cell r="P11" t="str">
            <v>Modificador de pH</v>
          </cell>
          <cell r="Q11"/>
          <cell r="R11" t="str">
            <v>-</v>
          </cell>
          <cell r="S11"/>
        </row>
        <row r="12">
          <cell r="A12" t="str">
            <v>Acido Fosfórico</v>
          </cell>
          <cell r="B12" t="str">
            <v>FA016</v>
          </cell>
          <cell r="C12" t="str">
            <v>LT</v>
          </cell>
          <cell r="D12" t="str">
            <v>SI</v>
          </cell>
          <cell r="E12" t="str">
            <v>ACTIVOS REG</v>
          </cell>
          <cell r="F12"/>
          <cell r="G12" t="str">
            <v xml:space="preserve"> ---</v>
          </cell>
          <cell r="H12">
            <v>0</v>
          </cell>
          <cell r="I12" t="str">
            <v>Fertilización</v>
          </cell>
          <cell r="J12">
            <v>0</v>
          </cell>
          <cell r="K12">
            <v>0</v>
          </cell>
          <cell r="L12">
            <v>0</v>
          </cell>
          <cell r="M12" t="str">
            <v>P2O5</v>
          </cell>
          <cell r="N12" t="str">
            <v>IV</v>
          </cell>
          <cell r="O12" t="str">
            <v>Categoría IV</v>
          </cell>
          <cell r="P12" t="str">
            <v>Fertilizante</v>
          </cell>
          <cell r="Q12"/>
          <cell r="R12" t="str">
            <v>-</v>
          </cell>
          <cell r="S12"/>
        </row>
        <row r="13">
          <cell r="A13" t="str">
            <v>ACIDO GIBERÉLICO 90%</v>
          </cell>
          <cell r="B13" t="str">
            <v>FH003</v>
          </cell>
          <cell r="C13" t="str">
            <v>GR</v>
          </cell>
          <cell r="D13" t="str">
            <v>SI</v>
          </cell>
          <cell r="E13" t="str">
            <v>ACTIVOS REG</v>
          </cell>
          <cell r="F13"/>
          <cell r="G13" t="str">
            <v xml:space="preserve"> ---</v>
          </cell>
          <cell r="H13">
            <v>2</v>
          </cell>
          <cell r="I13" t="str">
            <v>Inducción</v>
          </cell>
          <cell r="J13">
            <v>0</v>
          </cell>
          <cell r="K13">
            <v>0</v>
          </cell>
          <cell r="L13">
            <v>0</v>
          </cell>
          <cell r="M13" t="str">
            <v>Acido Giberélico</v>
          </cell>
          <cell r="N13" t="str">
            <v>IV</v>
          </cell>
          <cell r="O13" t="str">
            <v>Categoría IV</v>
          </cell>
          <cell r="P13" t="str">
            <v>Fitohormonal</v>
          </cell>
          <cell r="Q13" t="str">
            <v>SUSPENDIDO</v>
          </cell>
          <cell r="R13" t="str">
            <v>-</v>
          </cell>
          <cell r="S13"/>
        </row>
        <row r="14">
          <cell r="A14" t="str">
            <v>ACIDO HUMICO 12%</v>
          </cell>
          <cell r="B14" t="str">
            <v>FB095</v>
          </cell>
          <cell r="C14" t="str">
            <v>CC</v>
          </cell>
          <cell r="D14" t="str">
            <v>SI</v>
          </cell>
          <cell r="E14" t="str">
            <v>ACTIVOS REG</v>
          </cell>
          <cell r="F14" t="str">
            <v>Miercoles</v>
          </cell>
          <cell r="G14"/>
          <cell r="H14"/>
          <cell r="I14"/>
          <cell r="J14"/>
          <cell r="K14"/>
          <cell r="L14"/>
          <cell r="M14" t="str">
            <v>Acido humico</v>
          </cell>
          <cell r="N14" t="str">
            <v>IV</v>
          </cell>
          <cell r="O14" t="str">
            <v>Categoría IV</v>
          </cell>
          <cell r="P14" t="str">
            <v>Bioestimulante</v>
          </cell>
          <cell r="Q14"/>
          <cell r="R14" t="str">
            <v>-</v>
          </cell>
          <cell r="S14"/>
        </row>
        <row r="15">
          <cell r="A15" t="str">
            <v>ACIDO HUMICO 75%</v>
          </cell>
          <cell r="B15" t="str">
            <v>FI039</v>
          </cell>
          <cell r="C15" t="str">
            <v>KG</v>
          </cell>
          <cell r="D15" t="str">
            <v>NO</v>
          </cell>
          <cell r="E15" t="str">
            <v>ACTIVOS NO REG</v>
          </cell>
          <cell r="F15"/>
          <cell r="G15"/>
          <cell r="H15"/>
          <cell r="I15"/>
          <cell r="J15"/>
          <cell r="K15"/>
          <cell r="L15"/>
          <cell r="M15" t="str">
            <v>Acido humico</v>
          </cell>
          <cell r="N15" t="str">
            <v>IV</v>
          </cell>
          <cell r="O15" t="str">
            <v>Categoría IV</v>
          </cell>
          <cell r="P15" t="str">
            <v>Fertilizante</v>
          </cell>
          <cell r="Q15"/>
          <cell r="R15" t="str">
            <v>-</v>
          </cell>
          <cell r="S15"/>
        </row>
        <row r="16">
          <cell r="A16" t="str">
            <v>ACIDO INDOLBUTÍRICO IBA</v>
          </cell>
          <cell r="B16" t="str">
            <v>FH002</v>
          </cell>
          <cell r="C16" t="str">
            <v>GR</v>
          </cell>
          <cell r="D16" t="str">
            <v>NO</v>
          </cell>
          <cell r="E16" t="str">
            <v>ACTIVOS NO REG</v>
          </cell>
          <cell r="F16"/>
          <cell r="G16" t="str">
            <v xml:space="preserve"> ---</v>
          </cell>
          <cell r="H16">
            <v>0</v>
          </cell>
          <cell r="I16" t="str">
            <v>Enrraizamiento</v>
          </cell>
          <cell r="J16">
            <v>0</v>
          </cell>
          <cell r="K16">
            <v>0</v>
          </cell>
          <cell r="L16">
            <v>0</v>
          </cell>
          <cell r="M16" t="str">
            <v>ACIDO 3-INDOL BUTÍRICO (IBA)</v>
          </cell>
          <cell r="N16" t="str">
            <v>II</v>
          </cell>
          <cell r="O16" t="str">
            <v>Moderadamente Peligrosos II</v>
          </cell>
          <cell r="P16" t="str">
            <v>Fitohormonal</v>
          </cell>
          <cell r="Q16" t="str">
            <v>SUSPENDIDO</v>
          </cell>
          <cell r="R16" t="str">
            <v>-</v>
          </cell>
        </row>
        <row r="17">
          <cell r="A17" t="str">
            <v>ACROBAT</v>
          </cell>
          <cell r="B17" t="str">
            <v>PF111</v>
          </cell>
          <cell r="C17" t="str">
            <v>GR</v>
          </cell>
          <cell r="D17" t="str">
            <v>NO</v>
          </cell>
          <cell r="E17" t="str">
            <v>ACTIVOS NO REG</v>
          </cell>
          <cell r="F17" t="str">
            <v>Viernes</v>
          </cell>
          <cell r="G17"/>
          <cell r="H17"/>
          <cell r="I17" t="str">
            <v>Phytophthora</v>
          </cell>
          <cell r="J17" t="str">
            <v>Peronóspora</v>
          </cell>
          <cell r="K17"/>
          <cell r="L17"/>
          <cell r="M17" t="str">
            <v>MANCOZEB + DIMETHOMORPH</v>
          </cell>
          <cell r="N17" t="str">
            <v>III</v>
          </cell>
          <cell r="O17" t="str">
            <v>Ligeramente Peligrosos III</v>
          </cell>
          <cell r="P17" t="str">
            <v>Fungicida</v>
          </cell>
          <cell r="Q17" t="str">
            <v>SI</v>
          </cell>
          <cell r="R17" t="str">
            <v>-</v>
          </cell>
        </row>
        <row r="18">
          <cell r="A18" t="str">
            <v>ACTARA 25 WG</v>
          </cell>
          <cell r="B18" t="str">
            <v>PI106</v>
          </cell>
          <cell r="C18" t="str">
            <v>GR</v>
          </cell>
          <cell r="D18" t="str">
            <v>NO</v>
          </cell>
          <cell r="E18" t="str">
            <v>ACTIVOS REG</v>
          </cell>
          <cell r="F18" t="str">
            <v>Lunes</v>
          </cell>
          <cell r="G18">
            <v>6</v>
          </cell>
          <cell r="H18">
            <v>8</v>
          </cell>
          <cell r="I18" t="str">
            <v>Trips</v>
          </cell>
          <cell r="J18" t="str">
            <v>Afidos</v>
          </cell>
          <cell r="K18" t="str">
            <v>Mosca Blanca</v>
          </cell>
          <cell r="L18">
            <v>0</v>
          </cell>
          <cell r="M18" t="str">
            <v>Tiametoxam</v>
          </cell>
          <cell r="N18" t="str">
            <v>III</v>
          </cell>
          <cell r="O18" t="str">
            <v>Ligeramente Peligrosos III</v>
          </cell>
          <cell r="P18" t="str">
            <v>Insecticida</v>
          </cell>
          <cell r="Q18" t="str">
            <v>SI</v>
          </cell>
          <cell r="R18">
            <v>0.3</v>
          </cell>
        </row>
        <row r="19">
          <cell r="A19" t="str">
            <v>Agral</v>
          </cell>
          <cell r="B19" t="str">
            <v>PJ010</v>
          </cell>
          <cell r="C19" t="str">
            <v>CC</v>
          </cell>
          <cell r="D19" t="str">
            <v>SI</v>
          </cell>
          <cell r="E19" t="str">
            <v>ACTIVOS REG</v>
          </cell>
          <cell r="F19" t="str">
            <v>Lunes, Miercoles, Jueves, Viernes</v>
          </cell>
          <cell r="G19" t="str">
            <v xml:space="preserve"> ---</v>
          </cell>
          <cell r="H19" t="str">
            <v xml:space="preserve"> ---</v>
          </cell>
          <cell r="I19" t="str">
            <v>Fijadores, dispersantes</v>
          </cell>
          <cell r="J19">
            <v>0</v>
          </cell>
          <cell r="K19">
            <v>0</v>
          </cell>
          <cell r="L19">
            <v>0</v>
          </cell>
          <cell r="M19" t="str">
            <v>Oxido de nonilfenoletileno</v>
          </cell>
          <cell r="N19" t="str">
            <v>IV</v>
          </cell>
          <cell r="O19" t="str">
            <v>Categoría IV</v>
          </cell>
          <cell r="P19" t="str">
            <v>Coadyuvante</v>
          </cell>
          <cell r="Q19"/>
          <cell r="R19">
            <v>0.2</v>
          </cell>
        </row>
        <row r="20">
          <cell r="A20" t="str">
            <v>AGROQUAT</v>
          </cell>
          <cell r="B20" t="str">
            <v>PH019</v>
          </cell>
          <cell r="C20" t="str">
            <v>CC</v>
          </cell>
          <cell r="D20" t="str">
            <v>NO</v>
          </cell>
          <cell r="E20" t="str">
            <v>ACTIVOS NO REG</v>
          </cell>
          <cell r="F20"/>
          <cell r="G20">
            <v>7</v>
          </cell>
          <cell r="H20">
            <v>12</v>
          </cell>
          <cell r="I20" t="str">
            <v>Hebicida no selectivo Contacto</v>
          </cell>
          <cell r="J20">
            <v>0</v>
          </cell>
          <cell r="K20">
            <v>0</v>
          </cell>
          <cell r="L20">
            <v>0</v>
          </cell>
          <cell r="M20" t="str">
            <v>Paraquat</v>
          </cell>
          <cell r="N20" t="str">
            <v>II</v>
          </cell>
          <cell r="O20" t="str">
            <v>Moderadamente Peligrosos II</v>
          </cell>
          <cell r="P20" t="str">
            <v>Herbicida</v>
          </cell>
          <cell r="Q20" t="str">
            <v>SI</v>
          </cell>
          <cell r="R20" t="str">
            <v>-</v>
          </cell>
        </row>
        <row r="21">
          <cell r="A21" t="str">
            <v>Ahorro</v>
          </cell>
          <cell r="B21" t="str">
            <v>PF004</v>
          </cell>
          <cell r="C21" t="str">
            <v>GR</v>
          </cell>
          <cell r="D21" t="str">
            <v>NO</v>
          </cell>
          <cell r="E21" t="str">
            <v>ELIMINADOS REG</v>
          </cell>
          <cell r="F21" t="str">
            <v>Viernes</v>
          </cell>
          <cell r="G21">
            <v>5.5</v>
          </cell>
          <cell r="H21">
            <v>2</v>
          </cell>
          <cell r="I21" t="str">
            <v>Peronóspora</v>
          </cell>
          <cell r="J21">
            <v>0</v>
          </cell>
          <cell r="K21">
            <v>0</v>
          </cell>
          <cell r="L21">
            <v>0</v>
          </cell>
          <cell r="M21" t="str">
            <v>Fosetyl alumimio</v>
          </cell>
          <cell r="N21" t="str">
            <v>IV</v>
          </cell>
          <cell r="O21" t="str">
            <v>Categoría IV</v>
          </cell>
          <cell r="P21" t="str">
            <v>Fungicida</v>
          </cell>
          <cell r="Q21" t="str">
            <v>SI</v>
          </cell>
          <cell r="R21" t="str">
            <v>-</v>
          </cell>
        </row>
        <row r="22">
          <cell r="A22" t="str">
            <v>ALCAPLANT</v>
          </cell>
          <cell r="B22" t="str">
            <v>FA053</v>
          </cell>
          <cell r="C22" t="str">
            <v>GR</v>
          </cell>
          <cell r="D22" t="str">
            <v>SI</v>
          </cell>
          <cell r="E22" t="str">
            <v>ACTIVOS NO REG</v>
          </cell>
          <cell r="F22"/>
          <cell r="G22"/>
          <cell r="H22"/>
          <cell r="I22"/>
          <cell r="J22"/>
          <cell r="K22"/>
          <cell r="L22"/>
          <cell r="M22" t="str">
            <v>Oxido de calcio</v>
          </cell>
          <cell r="N22" t="str">
            <v>IV</v>
          </cell>
          <cell r="O22" t="str">
            <v>Categoría IV</v>
          </cell>
          <cell r="P22" t="str">
            <v>Fertilizante</v>
          </cell>
          <cell r="Q22"/>
          <cell r="R22" t="str">
            <v>-</v>
          </cell>
          <cell r="S22"/>
        </row>
        <row r="23">
          <cell r="A23" t="str">
            <v>ALCOHOL INDUSTRIAL</v>
          </cell>
          <cell r="B23" t="str">
            <v>UL020</v>
          </cell>
          <cell r="C23" t="str">
            <v>CC</v>
          </cell>
          <cell r="D23" t="str">
            <v>SI</v>
          </cell>
          <cell r="E23" t="str">
            <v>ACTIVOS REG</v>
          </cell>
          <cell r="F23"/>
          <cell r="G23" t="str">
            <v xml:space="preserve"> ---</v>
          </cell>
          <cell r="H23">
            <v>0</v>
          </cell>
          <cell r="I23" t="str">
            <v>Diluyebte GA3</v>
          </cell>
          <cell r="J23">
            <v>0</v>
          </cell>
          <cell r="K23">
            <v>0</v>
          </cell>
          <cell r="L23">
            <v>0</v>
          </cell>
          <cell r="M23" t="str">
            <v>Alcohol Industrial</v>
          </cell>
          <cell r="N23" t="str">
            <v>I</v>
          </cell>
          <cell r="O23" t="str">
            <v>Altamente Peligrosos Ib</v>
          </cell>
          <cell r="P23" t="str">
            <v>Diluyente - solvente</v>
          </cell>
          <cell r="Q23" t="str">
            <v>NO HAY</v>
          </cell>
          <cell r="R23" t="str">
            <v>-</v>
          </cell>
          <cell r="S23"/>
        </row>
        <row r="24">
          <cell r="A24" t="str">
            <v>ALIETTE 80% WG</v>
          </cell>
          <cell r="B24" t="str">
            <v>PF097</v>
          </cell>
          <cell r="C24" t="str">
            <v>GR</v>
          </cell>
          <cell r="D24" t="str">
            <v>NO</v>
          </cell>
          <cell r="E24" t="str">
            <v>ACTIVOS NO REG</v>
          </cell>
          <cell r="F24" t="str">
            <v>Viernes</v>
          </cell>
          <cell r="G24">
            <v>5.5</v>
          </cell>
          <cell r="H24">
            <v>2</v>
          </cell>
          <cell r="I24" t="str">
            <v>Fitoalexinas, peronospora</v>
          </cell>
          <cell r="J24">
            <v>0</v>
          </cell>
          <cell r="K24">
            <v>0</v>
          </cell>
          <cell r="L24">
            <v>0</v>
          </cell>
          <cell r="M24" t="str">
            <v>Fosetyl alumimio</v>
          </cell>
          <cell r="N24" t="str">
            <v>IV</v>
          </cell>
          <cell r="O24" t="str">
            <v>Categoría IV</v>
          </cell>
          <cell r="P24" t="str">
            <v>Fungicida</v>
          </cell>
          <cell r="Q24" t="str">
            <v>SI</v>
          </cell>
          <cell r="R24" t="str">
            <v>-</v>
          </cell>
          <cell r="S24"/>
        </row>
        <row r="25">
          <cell r="A25" t="str">
            <v>ALTO 100 SL</v>
          </cell>
          <cell r="B25" t="str">
            <v>PF055</v>
          </cell>
          <cell r="C25" t="str">
            <v>CC</v>
          </cell>
          <cell r="D25" t="str">
            <v>NO</v>
          </cell>
          <cell r="E25" t="str">
            <v>ACTIVOS NO REG</v>
          </cell>
          <cell r="F25" t="str">
            <v>Viernes</v>
          </cell>
          <cell r="G25"/>
          <cell r="H25"/>
          <cell r="I25" t="str">
            <v>Roya</v>
          </cell>
          <cell r="J25" t="str">
            <v>Botrytis</v>
          </cell>
          <cell r="K25" t="str">
            <v>Alternaria</v>
          </cell>
          <cell r="L25" t="str">
            <v>Oidium</v>
          </cell>
          <cell r="M25" t="str">
            <v>CYPROCONAZOLE</v>
          </cell>
          <cell r="N25" t="str">
            <v>III</v>
          </cell>
          <cell r="O25" t="str">
            <v>Ligeramente Peligrosos III</v>
          </cell>
          <cell r="P25" t="str">
            <v>Fungicida</v>
          </cell>
          <cell r="Q25" t="str">
            <v>SI</v>
          </cell>
          <cell r="R25" t="str">
            <v>-</v>
          </cell>
          <cell r="S25"/>
        </row>
        <row r="26">
          <cell r="A26" t="str">
            <v>AMBUSH</v>
          </cell>
          <cell r="B26" t="str">
            <v>PI001</v>
          </cell>
          <cell r="C26" t="str">
            <v>CC</v>
          </cell>
          <cell r="D26" t="str">
            <v>NO</v>
          </cell>
          <cell r="E26" t="str">
            <v>ACTIVOS NO REG</v>
          </cell>
          <cell r="F26" t="str">
            <v>Lunes</v>
          </cell>
          <cell r="G26">
            <v>5</v>
          </cell>
          <cell r="H26">
            <v>2</v>
          </cell>
          <cell r="I26" t="str">
            <v>Larvas</v>
          </cell>
          <cell r="J26"/>
          <cell r="K26"/>
          <cell r="L26"/>
          <cell r="M26"/>
          <cell r="N26"/>
          <cell r="O26"/>
          <cell r="P26" t="str">
            <v>Insecticida</v>
          </cell>
          <cell r="Q26" t="str">
            <v>NO HAY</v>
          </cell>
          <cell r="R26" t="str">
            <v>-</v>
          </cell>
          <cell r="S26"/>
        </row>
        <row r="27">
          <cell r="A27" t="str">
            <v>AMINOCAT</v>
          </cell>
          <cell r="B27" t="str">
            <v>FB064</v>
          </cell>
          <cell r="C27" t="str">
            <v>CC</v>
          </cell>
          <cell r="D27" t="str">
            <v>NO</v>
          </cell>
          <cell r="E27" t="str">
            <v>ACTIVOS NO REG</v>
          </cell>
          <cell r="F27" t="str">
            <v>Miercoles</v>
          </cell>
          <cell r="G27"/>
          <cell r="H27"/>
          <cell r="I27"/>
          <cell r="J27"/>
          <cell r="K27"/>
          <cell r="L27"/>
          <cell r="M27"/>
          <cell r="N27" t="str">
            <v>IV</v>
          </cell>
          <cell r="O27" t="str">
            <v>Categoría IV</v>
          </cell>
          <cell r="P27" t="str">
            <v>Bioestimulante</v>
          </cell>
          <cell r="Q27"/>
          <cell r="R27" t="str">
            <v>-</v>
          </cell>
          <cell r="S27"/>
        </row>
        <row r="28">
          <cell r="A28" t="str">
            <v>AMISTAR 500 GDA</v>
          </cell>
          <cell r="B28" t="str">
            <v>PF082</v>
          </cell>
          <cell r="C28" t="str">
            <v>GR</v>
          </cell>
          <cell r="D28" t="str">
            <v>SI</v>
          </cell>
          <cell r="E28" t="str">
            <v>ACTIVOS NO REG</v>
          </cell>
          <cell r="F28" t="str">
            <v>Viernes</v>
          </cell>
          <cell r="G28">
            <v>7</v>
          </cell>
          <cell r="H28">
            <v>2</v>
          </cell>
          <cell r="I28" t="str">
            <v>Oidio</v>
          </cell>
          <cell r="J28">
            <v>0</v>
          </cell>
          <cell r="K28">
            <v>0</v>
          </cell>
          <cell r="L28">
            <v>0</v>
          </cell>
          <cell r="M28" t="str">
            <v>Azoxistrobina</v>
          </cell>
          <cell r="N28" t="str">
            <v>IV</v>
          </cell>
          <cell r="O28" t="str">
            <v>Categoría IV</v>
          </cell>
          <cell r="P28" t="str">
            <v>Fungicida</v>
          </cell>
          <cell r="Q28" t="str">
            <v>SI</v>
          </cell>
          <cell r="R28">
            <v>0.25</v>
          </cell>
          <cell r="S28"/>
        </row>
        <row r="29">
          <cell r="A29" t="str">
            <v>ÁNGEL</v>
          </cell>
          <cell r="B29" t="str">
            <v>FB030</v>
          </cell>
          <cell r="C29" t="str">
            <v>CC</v>
          </cell>
          <cell r="D29" t="str">
            <v>NO</v>
          </cell>
          <cell r="E29" t="str">
            <v>ACTIVOS NO REG</v>
          </cell>
          <cell r="F29" t="str">
            <v>Miercoles</v>
          </cell>
          <cell r="G29"/>
          <cell r="H29"/>
          <cell r="I29" t="str">
            <v>Anti Stress</v>
          </cell>
          <cell r="J29">
            <v>0</v>
          </cell>
          <cell r="K29">
            <v>0</v>
          </cell>
          <cell r="L29">
            <v>0</v>
          </cell>
          <cell r="M29"/>
          <cell r="N29" t="str">
            <v>IV</v>
          </cell>
          <cell r="O29" t="str">
            <v>Categoría IV</v>
          </cell>
          <cell r="P29" t="str">
            <v>Bioestimulante</v>
          </cell>
          <cell r="Q29"/>
          <cell r="R29" t="str">
            <v>-</v>
          </cell>
        </row>
        <row r="30">
          <cell r="A30" t="str">
            <v>Antracol</v>
          </cell>
          <cell r="B30" t="str">
            <v>PF003</v>
          </cell>
          <cell r="C30" t="str">
            <v>GR</v>
          </cell>
          <cell r="D30" t="str">
            <v>SI</v>
          </cell>
          <cell r="E30" t="str">
            <v>ACTIVOS REG</v>
          </cell>
          <cell r="F30" t="str">
            <v>Jueves</v>
          </cell>
          <cell r="G30">
            <v>7</v>
          </cell>
          <cell r="H30">
            <v>2</v>
          </cell>
          <cell r="I30" t="str">
            <v>Alternaria</v>
          </cell>
          <cell r="J30" t="str">
            <v>Botrytis</v>
          </cell>
          <cell r="K30"/>
          <cell r="L30">
            <v>0</v>
          </cell>
          <cell r="M30" t="str">
            <v>Propineb</v>
          </cell>
          <cell r="N30" t="str">
            <v>IV</v>
          </cell>
          <cell r="O30" t="str">
            <v>Categoría IV</v>
          </cell>
          <cell r="P30" t="str">
            <v>Fungicida</v>
          </cell>
          <cell r="Q30" t="str">
            <v>SI</v>
          </cell>
          <cell r="R30">
            <v>1.2</v>
          </cell>
          <cell r="S30"/>
        </row>
        <row r="31">
          <cell r="A31" t="str">
            <v>ANVIL 25-SC</v>
          </cell>
          <cell r="B31" t="str">
            <v>PF042</v>
          </cell>
          <cell r="C31" t="str">
            <v>CC</v>
          </cell>
          <cell r="D31" t="str">
            <v>NO</v>
          </cell>
          <cell r="E31" t="str">
            <v>ACTIVOS NO REG</v>
          </cell>
          <cell r="F31" t="str">
            <v>Viernes</v>
          </cell>
          <cell r="G31"/>
          <cell r="H31"/>
          <cell r="I31" t="str">
            <v>Oidium</v>
          </cell>
          <cell r="J31" t="str">
            <v>Roya</v>
          </cell>
          <cell r="K31">
            <v>0</v>
          </cell>
          <cell r="L31">
            <v>0</v>
          </cell>
          <cell r="M31"/>
          <cell r="N31"/>
          <cell r="O31"/>
          <cell r="P31" t="str">
            <v>Fungicida</v>
          </cell>
          <cell r="Q31" t="str">
            <v>NO HAY</v>
          </cell>
          <cell r="R31" t="str">
            <v>-</v>
          </cell>
        </row>
        <row r="32">
          <cell r="A32" t="str">
            <v>APACHE</v>
          </cell>
          <cell r="B32" t="str">
            <v>PN017</v>
          </cell>
          <cell r="C32" t="str">
            <v>GR</v>
          </cell>
          <cell r="D32" t="str">
            <v>SI</v>
          </cell>
          <cell r="E32" t="str">
            <v>ACTIVOS REG</v>
          </cell>
          <cell r="F32"/>
          <cell r="G32" t="str">
            <v xml:space="preserve"> ---</v>
          </cell>
          <cell r="H32">
            <v>48</v>
          </cell>
          <cell r="I32" t="str">
            <v>Nematicida</v>
          </cell>
          <cell r="J32">
            <v>0</v>
          </cell>
          <cell r="K32">
            <v>0</v>
          </cell>
          <cell r="L32">
            <v>0</v>
          </cell>
          <cell r="M32" t="str">
            <v>CADUSAFUS</v>
          </cell>
          <cell r="N32" t="str">
            <v>III</v>
          </cell>
          <cell r="O32" t="str">
            <v>Ligeramente Peligrosos III</v>
          </cell>
          <cell r="P32" t="str">
            <v>Nematicida - Insecticida</v>
          </cell>
          <cell r="Q32" t="str">
            <v>SI</v>
          </cell>
          <cell r="R32">
            <v>5</v>
          </cell>
        </row>
        <row r="33">
          <cell r="A33" t="str">
            <v>ARRASADOR 480 SL</v>
          </cell>
          <cell r="B33" t="str">
            <v>PH012</v>
          </cell>
          <cell r="C33" t="str">
            <v>CC</v>
          </cell>
          <cell r="D33" t="str">
            <v>NO</v>
          </cell>
          <cell r="E33" t="str">
            <v>ACTIVOS NO REG</v>
          </cell>
          <cell r="F33"/>
          <cell r="G33"/>
          <cell r="H33"/>
          <cell r="I33"/>
          <cell r="J33"/>
          <cell r="K33"/>
          <cell r="L33"/>
          <cell r="M33" t="str">
            <v>GLIFOSATO</v>
          </cell>
          <cell r="N33" t="str">
            <v>IV</v>
          </cell>
          <cell r="O33" t="str">
            <v>Categoría IV</v>
          </cell>
          <cell r="P33" t="str">
            <v>Herbicida</v>
          </cell>
          <cell r="Q33" t="str">
            <v>SI</v>
          </cell>
          <cell r="R33" t="str">
            <v>-</v>
          </cell>
        </row>
        <row r="34">
          <cell r="A34" t="str">
            <v>ATABRON</v>
          </cell>
          <cell r="B34" t="str">
            <v>PI002</v>
          </cell>
          <cell r="C34" t="str">
            <v>CC</v>
          </cell>
          <cell r="D34" t="str">
            <v>NO</v>
          </cell>
          <cell r="E34" t="str">
            <v>ACTIVOS NO REG</v>
          </cell>
          <cell r="F34" t="str">
            <v>Lunes</v>
          </cell>
          <cell r="G34"/>
          <cell r="H34"/>
          <cell r="I34"/>
          <cell r="J34"/>
          <cell r="K34"/>
          <cell r="L34"/>
          <cell r="M34" t="str">
            <v>CLORFLUAZURON</v>
          </cell>
          <cell r="N34" t="str">
            <v>III</v>
          </cell>
          <cell r="O34" t="str">
            <v>Ligeramente Peligrosos III</v>
          </cell>
          <cell r="P34" t="str">
            <v>Insecticida</v>
          </cell>
          <cell r="Q34" t="str">
            <v>SI</v>
          </cell>
          <cell r="R34" t="str">
            <v>-</v>
          </cell>
        </row>
        <row r="35">
          <cell r="A35" t="str">
            <v>AVID</v>
          </cell>
          <cell r="B35" t="str">
            <v>PI003</v>
          </cell>
          <cell r="C35" t="str">
            <v>CC</v>
          </cell>
          <cell r="D35" t="str">
            <v>NO</v>
          </cell>
          <cell r="E35" t="str">
            <v>ACTIVOS NO REG</v>
          </cell>
          <cell r="F35" t="str">
            <v>Lunes</v>
          </cell>
          <cell r="G35"/>
          <cell r="H35"/>
          <cell r="I35"/>
          <cell r="J35"/>
          <cell r="K35"/>
          <cell r="L35"/>
          <cell r="M35"/>
          <cell r="N35"/>
          <cell r="O35"/>
          <cell r="P35" t="str">
            <v>Insecticida</v>
          </cell>
          <cell r="Q35" t="str">
            <v>NO HAY</v>
          </cell>
          <cell r="R35" t="str">
            <v>-</v>
          </cell>
          <cell r="S35"/>
        </row>
        <row r="36">
          <cell r="A36" t="str">
            <v>AVISO DF</v>
          </cell>
          <cell r="B36" t="str">
            <v>PF090</v>
          </cell>
          <cell r="C36" t="str">
            <v>GR</v>
          </cell>
          <cell r="D36" t="str">
            <v>SI</v>
          </cell>
          <cell r="E36" t="str">
            <v>ACTIVOS REG</v>
          </cell>
          <cell r="F36" t="str">
            <v>Viernes</v>
          </cell>
          <cell r="G36">
            <v>5.5</v>
          </cell>
          <cell r="H36">
            <v>2</v>
          </cell>
          <cell r="I36" t="str">
            <v>Peronóspora</v>
          </cell>
          <cell r="J36">
            <v>0</v>
          </cell>
          <cell r="K36">
            <v>0</v>
          </cell>
          <cell r="L36">
            <v>0</v>
          </cell>
          <cell r="M36" t="str">
            <v>Cimoxanil + metiram</v>
          </cell>
          <cell r="N36" t="str">
            <v>IV</v>
          </cell>
          <cell r="O36" t="str">
            <v>Categoría IV</v>
          </cell>
          <cell r="P36" t="str">
            <v>Fungicida</v>
          </cell>
          <cell r="Q36" t="str">
            <v>SI</v>
          </cell>
          <cell r="R36">
            <v>2</v>
          </cell>
        </row>
        <row r="37">
          <cell r="A37" t="str">
            <v>AZUFRE GRANULADO</v>
          </cell>
          <cell r="B37" t="str">
            <v>PF091</v>
          </cell>
          <cell r="C37" t="str">
            <v>GR</v>
          </cell>
          <cell r="D37" t="str">
            <v>NO</v>
          </cell>
          <cell r="E37" t="str">
            <v>ACTIVOS NO REG</v>
          </cell>
          <cell r="F37" t="str">
            <v>Viernes</v>
          </cell>
          <cell r="G37" t="str">
            <v>5.0-7.0</v>
          </cell>
          <cell r="H37"/>
          <cell r="I37" t="str">
            <v>Oidio</v>
          </cell>
          <cell r="J37"/>
          <cell r="K37"/>
          <cell r="L37"/>
          <cell r="M37" t="str">
            <v>Azufre</v>
          </cell>
          <cell r="N37" t="str">
            <v>IV</v>
          </cell>
          <cell r="O37" t="str">
            <v>Categoría IV</v>
          </cell>
          <cell r="P37" t="str">
            <v>Fungicida</v>
          </cell>
          <cell r="Q37" t="str">
            <v>SI</v>
          </cell>
          <cell r="R37">
            <v>1</v>
          </cell>
          <cell r="S37"/>
        </row>
        <row r="38">
          <cell r="A38" t="str">
            <v>Azufre micronizado</v>
          </cell>
          <cell r="B38" t="str">
            <v>FA039</v>
          </cell>
          <cell r="C38" t="str">
            <v>GR</v>
          </cell>
          <cell r="D38" t="str">
            <v>NO</v>
          </cell>
          <cell r="E38" t="str">
            <v>ACTIVOS REG</v>
          </cell>
          <cell r="F38"/>
          <cell r="G38"/>
          <cell r="H38"/>
          <cell r="I38"/>
          <cell r="J38"/>
          <cell r="K38"/>
          <cell r="L38"/>
          <cell r="M38" t="str">
            <v>AZUFRE</v>
          </cell>
          <cell r="N38" t="str">
            <v>III</v>
          </cell>
          <cell r="O38" t="str">
            <v>Ligeramente Peligrosos III</v>
          </cell>
          <cell r="P38" t="str">
            <v>Fertilizante</v>
          </cell>
          <cell r="Q38" t="str">
            <v>SI</v>
          </cell>
          <cell r="R38" t="str">
            <v>-</v>
          </cell>
        </row>
        <row r="39">
          <cell r="A39" t="str">
            <v>BAC</v>
          </cell>
          <cell r="B39" t="str">
            <v>HB042</v>
          </cell>
          <cell r="C39" t="str">
            <v>LT</v>
          </cell>
          <cell r="D39" t="str">
            <v>NO</v>
          </cell>
          <cell r="E39" t="str">
            <v>ACTIVOS REG</v>
          </cell>
          <cell r="F39"/>
          <cell r="G39"/>
          <cell r="H39"/>
          <cell r="I39"/>
          <cell r="J39"/>
          <cell r="K39"/>
          <cell r="L39"/>
          <cell r="M39" t="str">
            <v>Sales de amonio cuaternario</v>
          </cell>
          <cell r="N39"/>
          <cell r="O39"/>
          <cell r="P39" t="str">
            <v>Bactericidas</v>
          </cell>
          <cell r="Q39" t="str">
            <v>NO HAY</v>
          </cell>
          <cell r="R39">
            <v>2</v>
          </cell>
        </row>
        <row r="40">
          <cell r="A40" t="str">
            <v>BALA</v>
          </cell>
          <cell r="B40" t="str">
            <v>PI139</v>
          </cell>
          <cell r="C40" t="str">
            <v>CC</v>
          </cell>
          <cell r="D40" t="str">
            <v>SI</v>
          </cell>
          <cell r="E40" t="str">
            <v>ACTIVOS REG</v>
          </cell>
          <cell r="F40" t="str">
            <v>Lunes</v>
          </cell>
          <cell r="G40">
            <v>7</v>
          </cell>
          <cell r="H40">
            <v>24</v>
          </cell>
          <cell r="I40" t="str">
            <v>Trips</v>
          </cell>
          <cell r="J40" t="str">
            <v>Minador</v>
          </cell>
          <cell r="K40" t="str">
            <v>Afidos</v>
          </cell>
          <cell r="L40">
            <v>0</v>
          </cell>
          <cell r="M40" t="str">
            <v>CLORPIRIFOS CIPERMETRINA</v>
          </cell>
          <cell r="N40" t="str">
            <v>II</v>
          </cell>
          <cell r="O40" t="str">
            <v>Moderadamente Peligrosos II</v>
          </cell>
          <cell r="P40" t="str">
            <v>Insecticida</v>
          </cell>
          <cell r="Q40" t="str">
            <v>SI</v>
          </cell>
          <cell r="R40">
            <v>1</v>
          </cell>
        </row>
        <row r="41">
          <cell r="A41" t="str">
            <v>BALEAR 720</v>
          </cell>
          <cell r="B41" t="str">
            <v>PF072</v>
          </cell>
          <cell r="C41" t="str">
            <v>CC</v>
          </cell>
          <cell r="D41" t="str">
            <v>NO</v>
          </cell>
          <cell r="E41" t="str">
            <v>ELIMINADOS NO REG</v>
          </cell>
          <cell r="F41" t="str">
            <v>Viernes</v>
          </cell>
          <cell r="G41" t="str">
            <v>5.5-6.0</v>
          </cell>
          <cell r="H41">
            <v>12</v>
          </cell>
          <cell r="I41" t="str">
            <v>Peronóspora</v>
          </cell>
          <cell r="J41" t="str">
            <v>Phytophthora</v>
          </cell>
          <cell r="K41" t="str">
            <v>Botrytis</v>
          </cell>
          <cell r="L41">
            <v>0</v>
          </cell>
          <cell r="M41" t="str">
            <v>Clorotalonil</v>
          </cell>
          <cell r="N41" t="str">
            <v>IV</v>
          </cell>
          <cell r="O41" t="str">
            <v>Categoría IV</v>
          </cell>
          <cell r="P41" t="str">
            <v>Fungicida</v>
          </cell>
          <cell r="Q41" t="str">
            <v>SI</v>
          </cell>
          <cell r="R41" t="str">
            <v>-</v>
          </cell>
        </row>
        <row r="42">
          <cell r="A42" t="str">
            <v>BASFOLIAR ALGAE</v>
          </cell>
          <cell r="B42" t="str">
            <v>FB021</v>
          </cell>
          <cell r="C42" t="str">
            <v>CC</v>
          </cell>
          <cell r="D42" t="str">
            <v>NO</v>
          </cell>
          <cell r="E42" t="str">
            <v>ACTIVOS NO REG</v>
          </cell>
          <cell r="F42" t="str">
            <v>Miercoles</v>
          </cell>
          <cell r="G42" t="str">
            <v xml:space="preserve"> ---</v>
          </cell>
          <cell r="H42">
            <v>0</v>
          </cell>
          <cell r="I42" t="str">
            <v>Bioestimulante</v>
          </cell>
          <cell r="J42">
            <v>0</v>
          </cell>
          <cell r="K42">
            <v>0</v>
          </cell>
          <cell r="L42">
            <v>0</v>
          </cell>
          <cell r="M42" t="str">
            <v>N, P, K, Mg, Carbohidratos, aminoacidos, Fitoormonas, vitaminas</v>
          </cell>
          <cell r="N42" t="str">
            <v>IV</v>
          </cell>
          <cell r="O42" t="str">
            <v>Categoría IV</v>
          </cell>
          <cell r="P42" t="str">
            <v>Bioestimulante</v>
          </cell>
          <cell r="Q42"/>
          <cell r="R42" t="str">
            <v>-</v>
          </cell>
        </row>
        <row r="43">
          <cell r="A43" t="str">
            <v>BASFOLIAR CALCIO</v>
          </cell>
          <cell r="B43" t="str">
            <v>FB043</v>
          </cell>
          <cell r="C43" t="str">
            <v>CC</v>
          </cell>
          <cell r="D43" t="str">
            <v>NO</v>
          </cell>
          <cell r="E43" t="str">
            <v>ACTIVOS NO REG</v>
          </cell>
          <cell r="F43" t="str">
            <v>Miercoles</v>
          </cell>
          <cell r="G43"/>
          <cell r="H43"/>
          <cell r="I43"/>
          <cell r="J43"/>
          <cell r="K43"/>
          <cell r="L43"/>
          <cell r="M43"/>
          <cell r="N43" t="str">
            <v>IV</v>
          </cell>
          <cell r="O43" t="str">
            <v>Categoría IV</v>
          </cell>
          <cell r="P43" t="str">
            <v>Bioestimulante</v>
          </cell>
          <cell r="Q43"/>
          <cell r="R43" t="str">
            <v>-</v>
          </cell>
        </row>
        <row r="44">
          <cell r="A44" t="str">
            <v>Basfoliar Mg</v>
          </cell>
          <cell r="B44" t="str">
            <v>FB044</v>
          </cell>
          <cell r="C44" t="str">
            <v>CC</v>
          </cell>
          <cell r="D44" t="str">
            <v>SI</v>
          </cell>
          <cell r="E44" t="str">
            <v>ACTIVOS REG</v>
          </cell>
          <cell r="F44" t="str">
            <v>Miercoles</v>
          </cell>
          <cell r="G44" t="str">
            <v xml:space="preserve"> ---</v>
          </cell>
          <cell r="H44" t="str">
            <v xml:space="preserve"> ---</v>
          </cell>
          <cell r="I44" t="str">
            <v>Fertilización Foliar</v>
          </cell>
          <cell r="J44">
            <v>0</v>
          </cell>
          <cell r="K44">
            <v>0</v>
          </cell>
          <cell r="L44">
            <v>0</v>
          </cell>
          <cell r="M44" t="str">
            <v>MgO</v>
          </cell>
          <cell r="N44" t="str">
            <v>IV</v>
          </cell>
          <cell r="O44" t="str">
            <v>Categoría IV</v>
          </cell>
          <cell r="P44" t="str">
            <v>Bioestimulante</v>
          </cell>
          <cell r="Q44"/>
          <cell r="R44">
            <v>1</v>
          </cell>
        </row>
        <row r="45">
          <cell r="A45" t="str">
            <v>Basudin</v>
          </cell>
          <cell r="B45" t="str">
            <v>PI004</v>
          </cell>
          <cell r="C45" t="str">
            <v>CC</v>
          </cell>
          <cell r="D45" t="str">
            <v>SI</v>
          </cell>
          <cell r="E45" t="str">
            <v>ACTIVOS REG</v>
          </cell>
          <cell r="F45" t="str">
            <v>Lunes</v>
          </cell>
          <cell r="G45">
            <v>7</v>
          </cell>
          <cell r="H45">
            <v>24</v>
          </cell>
          <cell r="I45" t="str">
            <v>Trips</v>
          </cell>
          <cell r="J45" t="str">
            <v>Minador</v>
          </cell>
          <cell r="K45" t="str">
            <v>Afidos</v>
          </cell>
          <cell r="L45"/>
          <cell r="M45" t="str">
            <v>Diazinon</v>
          </cell>
          <cell r="N45" t="str">
            <v>II</v>
          </cell>
          <cell r="O45" t="str">
            <v>Moderadamente Peligrosos II</v>
          </cell>
          <cell r="P45" t="str">
            <v>Insecticida</v>
          </cell>
          <cell r="Q45" t="str">
            <v>SI</v>
          </cell>
          <cell r="R45">
            <v>1</v>
          </cell>
          <cell r="S45"/>
        </row>
        <row r="46">
          <cell r="A46" t="str">
            <v>BAVISTIN 50% FL</v>
          </cell>
          <cell r="B46" t="str">
            <v>PF005</v>
          </cell>
          <cell r="C46" t="str">
            <v>CC</v>
          </cell>
          <cell r="D46" t="str">
            <v>NO</v>
          </cell>
          <cell r="E46" t="str">
            <v>ACTIVOS NO REG</v>
          </cell>
          <cell r="F46" t="str">
            <v>Viernes</v>
          </cell>
          <cell r="G46">
            <v>5</v>
          </cell>
          <cell r="H46">
            <v>2</v>
          </cell>
          <cell r="I46" t="str">
            <v>Botrytis</v>
          </cell>
          <cell r="J46" t="str">
            <v>Rhizoctonia</v>
          </cell>
          <cell r="K46" t="str">
            <v>Fusarium</v>
          </cell>
          <cell r="L46"/>
          <cell r="M46" t="str">
            <v>CARBENDAZIM</v>
          </cell>
          <cell r="N46" t="str">
            <v>IV</v>
          </cell>
          <cell r="O46" t="str">
            <v>Categoría IV</v>
          </cell>
          <cell r="P46" t="str">
            <v>Fungicida</v>
          </cell>
          <cell r="Q46" t="str">
            <v>SI</v>
          </cell>
          <cell r="R46">
            <v>0.6</v>
          </cell>
        </row>
        <row r="47">
          <cell r="A47" t="str">
            <v>BAYCOR 300 CE</v>
          </cell>
          <cell r="B47" t="str">
            <v>PF108</v>
          </cell>
          <cell r="C47" t="str">
            <v>CC</v>
          </cell>
          <cell r="D47" t="str">
            <v>NO</v>
          </cell>
          <cell r="E47" t="str">
            <v>ACTIVOS NO REG</v>
          </cell>
          <cell r="F47" t="str">
            <v>Viernes</v>
          </cell>
          <cell r="G47">
            <v>7</v>
          </cell>
          <cell r="H47">
            <v>4</v>
          </cell>
          <cell r="I47" t="str">
            <v>Roya</v>
          </cell>
          <cell r="J47" t="str">
            <v>Oidio</v>
          </cell>
          <cell r="K47">
            <v>0</v>
          </cell>
          <cell r="L47">
            <v>0</v>
          </cell>
          <cell r="M47" t="str">
            <v>Bitertanol</v>
          </cell>
          <cell r="N47" t="str">
            <v>IV</v>
          </cell>
          <cell r="O47" t="str">
            <v>Categoría IV</v>
          </cell>
          <cell r="P47" t="str">
            <v>Fungicida</v>
          </cell>
          <cell r="Q47" t="str">
            <v>SI</v>
          </cell>
          <cell r="R47" t="str">
            <v>-</v>
          </cell>
        </row>
        <row r="48">
          <cell r="A48" t="str">
            <v>BAYLETON 250 CE</v>
          </cell>
          <cell r="B48" t="str">
            <v>PF052</v>
          </cell>
          <cell r="C48" t="str">
            <v>CC</v>
          </cell>
          <cell r="D48" t="str">
            <v>NO</v>
          </cell>
          <cell r="E48" t="str">
            <v>ACTIVOS NO REG</v>
          </cell>
          <cell r="F48" t="str">
            <v>Viernes</v>
          </cell>
          <cell r="G48">
            <v>5</v>
          </cell>
          <cell r="H48"/>
          <cell r="I48" t="str">
            <v>Oidium</v>
          </cell>
          <cell r="J48"/>
          <cell r="K48"/>
          <cell r="L48"/>
          <cell r="M48" t="str">
            <v>TRIADIMEFON</v>
          </cell>
          <cell r="N48" t="str">
            <v>III</v>
          </cell>
          <cell r="O48" t="str">
            <v>Ligeramente Peligrosos III</v>
          </cell>
          <cell r="P48" t="str">
            <v>Fungicida</v>
          </cell>
          <cell r="Q48" t="str">
            <v>SI</v>
          </cell>
          <cell r="R48" t="str">
            <v>-</v>
          </cell>
          <cell r="S48"/>
        </row>
        <row r="49">
          <cell r="A49" t="str">
            <v>Beauveria</v>
          </cell>
          <cell r="B49" t="str">
            <v>FB998</v>
          </cell>
          <cell r="C49" t="str">
            <v>CC</v>
          </cell>
          <cell r="D49" t="str">
            <v>SI</v>
          </cell>
          <cell r="E49" t="str">
            <v>ACTIVOS NO REG</v>
          </cell>
          <cell r="F49" t="str">
            <v>Lunes</v>
          </cell>
          <cell r="G49"/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Beauveria</v>
          </cell>
          <cell r="N49" t="str">
            <v>IV</v>
          </cell>
          <cell r="O49" t="str">
            <v>Categoría IV</v>
          </cell>
          <cell r="P49" t="str">
            <v>Bioestimulante</v>
          </cell>
          <cell r="Q49"/>
          <cell r="R49">
            <v>8</v>
          </cell>
        </row>
        <row r="50">
          <cell r="A50" t="str">
            <v>BENOMIL OD</v>
          </cell>
          <cell r="B50" t="str">
            <v>PF054</v>
          </cell>
          <cell r="C50" t="str">
            <v>GR</v>
          </cell>
          <cell r="D50" t="str">
            <v>NO</v>
          </cell>
          <cell r="E50" t="str">
            <v>ACTIVOS NO REG</v>
          </cell>
          <cell r="F50" t="str">
            <v>Viernes</v>
          </cell>
          <cell r="G50">
            <v>5</v>
          </cell>
          <cell r="H50"/>
          <cell r="I50" t="str">
            <v>Fusarium</v>
          </cell>
          <cell r="J50" t="str">
            <v>Oidium</v>
          </cell>
          <cell r="K50" t="str">
            <v>Rhizoctonia</v>
          </cell>
          <cell r="L50" t="str">
            <v>Botrytis</v>
          </cell>
          <cell r="M50" t="str">
            <v>BENOMIL</v>
          </cell>
          <cell r="N50" t="str">
            <v>III</v>
          </cell>
          <cell r="O50" t="str">
            <v>Ligeramente Peligrosos III</v>
          </cell>
          <cell r="P50" t="str">
            <v>Fungicida</v>
          </cell>
          <cell r="Q50" t="str">
            <v>SI</v>
          </cell>
          <cell r="R50" t="str">
            <v>-</v>
          </cell>
          <cell r="S50"/>
        </row>
        <row r="51">
          <cell r="A51" t="str">
            <v>BERGTISEG</v>
          </cell>
          <cell r="B51" t="str">
            <v>PI080</v>
          </cell>
          <cell r="C51" t="str">
            <v>CC</v>
          </cell>
          <cell r="D51" t="str">
            <v>NO</v>
          </cell>
          <cell r="E51" t="str">
            <v>ACTIVOS NO REG</v>
          </cell>
          <cell r="F51" t="str">
            <v>Lunes</v>
          </cell>
          <cell r="G51"/>
          <cell r="H51"/>
          <cell r="I51"/>
          <cell r="J51"/>
          <cell r="K51"/>
          <cell r="L51"/>
          <cell r="M51"/>
          <cell r="N51"/>
          <cell r="O51"/>
          <cell r="P51" t="str">
            <v>Insecticida</v>
          </cell>
          <cell r="Q51" t="str">
            <v>NO HAY</v>
          </cell>
          <cell r="R51" t="str">
            <v>-</v>
          </cell>
          <cell r="S51"/>
        </row>
        <row r="52">
          <cell r="A52" t="str">
            <v>BIGFAST</v>
          </cell>
          <cell r="B52" t="str">
            <v>FH001</v>
          </cell>
          <cell r="C52" t="str">
            <v>CC</v>
          </cell>
          <cell r="D52" t="str">
            <v>NO</v>
          </cell>
          <cell r="E52" t="str">
            <v>ACTIVOS NO REG</v>
          </cell>
          <cell r="F52"/>
          <cell r="G52" t="str">
            <v xml:space="preserve"> ---</v>
          </cell>
          <cell r="H52">
            <v>0</v>
          </cell>
          <cell r="I52" t="str">
            <v>Tamaño Botón</v>
          </cell>
          <cell r="J52">
            <v>0</v>
          </cell>
          <cell r="K52">
            <v>0</v>
          </cell>
          <cell r="L52">
            <v>0</v>
          </cell>
          <cell r="M52"/>
          <cell r="N52" t="str">
            <v>IV</v>
          </cell>
          <cell r="O52" t="str">
            <v>Categoría IV</v>
          </cell>
          <cell r="P52" t="str">
            <v>Fitohormonal</v>
          </cell>
          <cell r="Q52" t="str">
            <v>NO HAY</v>
          </cell>
          <cell r="R52" t="str">
            <v>-</v>
          </cell>
        </row>
        <row r="53">
          <cell r="A53" t="str">
            <v>BIOBACT</v>
          </cell>
          <cell r="B53" t="str">
            <v>PF085</v>
          </cell>
          <cell r="C53" t="str">
            <v>GR</v>
          </cell>
          <cell r="D53" t="str">
            <v>NO</v>
          </cell>
          <cell r="E53" t="str">
            <v>ACTIVOS NO REG</v>
          </cell>
          <cell r="F53" t="str">
            <v>Viernes</v>
          </cell>
          <cell r="G53"/>
          <cell r="H53"/>
          <cell r="I53"/>
          <cell r="J53"/>
          <cell r="K53"/>
          <cell r="L53"/>
          <cell r="M53" t="str">
            <v>Tricoderma</v>
          </cell>
          <cell r="N53" t="str">
            <v>IV</v>
          </cell>
          <cell r="O53" t="str">
            <v>Categoría IV</v>
          </cell>
          <cell r="P53" t="str">
            <v>Fungicida</v>
          </cell>
          <cell r="Q53" t="str">
            <v>NO HAY</v>
          </cell>
          <cell r="R53" t="str">
            <v>-</v>
          </cell>
          <cell r="S53"/>
        </row>
        <row r="54">
          <cell r="A54" t="str">
            <v>Biobassiana</v>
          </cell>
          <cell r="B54" t="str">
            <v>PI138</v>
          </cell>
          <cell r="C54" t="str">
            <v>CC</v>
          </cell>
          <cell r="D54" t="str">
            <v>NO</v>
          </cell>
          <cell r="E54" t="str">
            <v>ELIMINADOS REG</v>
          </cell>
          <cell r="F54" t="str">
            <v>Lunes</v>
          </cell>
          <cell r="G54"/>
          <cell r="H54"/>
          <cell r="I54"/>
          <cell r="J54"/>
          <cell r="K54"/>
          <cell r="L54"/>
          <cell r="M54"/>
          <cell r="N54" t="str">
            <v>IV</v>
          </cell>
          <cell r="O54" t="str">
            <v>Categoría IV</v>
          </cell>
          <cell r="P54" t="str">
            <v>Insecticida</v>
          </cell>
          <cell r="Q54" t="str">
            <v>NO HAY</v>
          </cell>
          <cell r="R54" t="str">
            <v>-</v>
          </cell>
          <cell r="S54"/>
        </row>
        <row r="55">
          <cell r="A55" t="str">
            <v>Bioenergia</v>
          </cell>
          <cell r="B55" t="str">
            <v>FB086</v>
          </cell>
          <cell r="C55" t="str">
            <v>CC</v>
          </cell>
          <cell r="D55" t="str">
            <v>SI</v>
          </cell>
          <cell r="E55" t="str">
            <v>ACTIVOS REG</v>
          </cell>
          <cell r="F55" t="str">
            <v>Miercoles</v>
          </cell>
          <cell r="G55" t="str">
            <v xml:space="preserve"> ---</v>
          </cell>
          <cell r="H55" t="str">
            <v xml:space="preserve"> ---</v>
          </cell>
          <cell r="I55" t="str">
            <v>Bioestimulante</v>
          </cell>
          <cell r="J55">
            <v>0</v>
          </cell>
          <cell r="K55">
            <v>0</v>
          </cell>
          <cell r="L55">
            <v>0</v>
          </cell>
          <cell r="M55" t="str">
            <v>CITOQUININAS, ENZIMAS, VITAMOAS, AMINOACIDOS</v>
          </cell>
          <cell r="N55" t="str">
            <v>IV</v>
          </cell>
          <cell r="O55" t="str">
            <v>Categoría IV</v>
          </cell>
          <cell r="P55" t="str">
            <v>Bioestimulante</v>
          </cell>
          <cell r="Q55" t="str">
            <v>NO HAY</v>
          </cell>
          <cell r="R55">
            <v>1</v>
          </cell>
          <cell r="S55"/>
        </row>
        <row r="56">
          <cell r="A56" t="str">
            <v>BIOSOLOAR</v>
          </cell>
          <cell r="B56" t="str">
            <v>FB073</v>
          </cell>
          <cell r="C56" t="str">
            <v>CC</v>
          </cell>
          <cell r="D56" t="str">
            <v>NO</v>
          </cell>
          <cell r="E56" t="str">
            <v>ACTIVOS NO REG</v>
          </cell>
          <cell r="F56" t="str">
            <v>Miercoles</v>
          </cell>
          <cell r="G56"/>
          <cell r="H56"/>
          <cell r="I56"/>
          <cell r="J56"/>
          <cell r="K56"/>
          <cell r="L56"/>
          <cell r="M56" t="str">
            <v>MONO DI TRI, POLISACARIDOS</v>
          </cell>
          <cell r="N56" t="str">
            <v>IV</v>
          </cell>
          <cell r="O56" t="str">
            <v>Categoría IV</v>
          </cell>
          <cell r="P56" t="str">
            <v>Bioestimulante</v>
          </cell>
          <cell r="Q56" t="str">
            <v>NO HAY</v>
          </cell>
          <cell r="R56" t="str">
            <v>-</v>
          </cell>
          <cell r="S56"/>
        </row>
        <row r="57">
          <cell r="A57" t="str">
            <v>BIOSTAT</v>
          </cell>
          <cell r="B57" t="str">
            <v>PN003</v>
          </cell>
          <cell r="C57" t="str">
            <v>GR</v>
          </cell>
          <cell r="D57" t="str">
            <v>NO</v>
          </cell>
          <cell r="E57" t="str">
            <v>ACTIVOS NO REG</v>
          </cell>
          <cell r="F57"/>
          <cell r="G57"/>
          <cell r="H57"/>
          <cell r="I57"/>
          <cell r="J57"/>
          <cell r="K57"/>
          <cell r="L57"/>
          <cell r="M57" t="str">
            <v>PAECILOMYCES LILACINUS</v>
          </cell>
          <cell r="N57" t="str">
            <v>IV</v>
          </cell>
          <cell r="O57" t="str">
            <v>Categoría IV</v>
          </cell>
          <cell r="P57" t="str">
            <v>Nematicida - Insecticida</v>
          </cell>
          <cell r="Q57" t="str">
            <v>SI</v>
          </cell>
          <cell r="R57" t="str">
            <v>-</v>
          </cell>
          <cell r="S57"/>
        </row>
        <row r="58">
          <cell r="A58" t="str">
            <v>BIOSYME</v>
          </cell>
          <cell r="B58" t="str">
            <v>FB004</v>
          </cell>
          <cell r="C58" t="str">
            <v>CC</v>
          </cell>
          <cell r="D58" t="str">
            <v>NO</v>
          </cell>
          <cell r="E58" t="str">
            <v>ACTIVOS NO REG</v>
          </cell>
          <cell r="F58" t="str">
            <v>Miercoles</v>
          </cell>
          <cell r="G58" t="str">
            <v xml:space="preserve"> ---</v>
          </cell>
          <cell r="H58">
            <v>0</v>
          </cell>
          <cell r="I58" t="str">
            <v>Bioestimulante</v>
          </cell>
          <cell r="J58">
            <v>0</v>
          </cell>
          <cell r="K58">
            <v>0</v>
          </cell>
          <cell r="L58">
            <v>0</v>
          </cell>
          <cell r="M58" t="str">
            <v>Microelementos, Giberelinas, AIA, Zeaina, Fitohormonas</v>
          </cell>
          <cell r="N58" t="str">
            <v>IV</v>
          </cell>
          <cell r="O58" t="str">
            <v>Categoría IV</v>
          </cell>
          <cell r="P58" t="str">
            <v>Bioestimulante</v>
          </cell>
          <cell r="Q58"/>
          <cell r="R58" t="str">
            <v>-</v>
          </cell>
          <cell r="S58"/>
        </row>
        <row r="59">
          <cell r="A59" t="str">
            <v>BIOTAC</v>
          </cell>
          <cell r="B59" t="str">
            <v>PS003</v>
          </cell>
          <cell r="C59" t="str">
            <v>CC</v>
          </cell>
          <cell r="D59" t="str">
            <v>NO</v>
          </cell>
          <cell r="E59" t="str">
            <v>ACTIVOS NO REG</v>
          </cell>
          <cell r="F59"/>
          <cell r="G59" t="str">
            <v xml:space="preserve"> ---</v>
          </cell>
          <cell r="H59">
            <v>0</v>
          </cell>
          <cell r="I59" t="str">
            <v>Pegante</v>
          </cell>
          <cell r="J59">
            <v>0</v>
          </cell>
          <cell r="K59">
            <v>0</v>
          </cell>
          <cell r="L59">
            <v>0</v>
          </cell>
          <cell r="M59" t="str">
            <v>Polibuteno</v>
          </cell>
          <cell r="N59" t="str">
            <v>IV</v>
          </cell>
          <cell r="O59" t="str">
            <v>Categoría IV</v>
          </cell>
          <cell r="P59" t="str">
            <v>Mipe</v>
          </cell>
          <cell r="Q59" t="str">
            <v>SI</v>
          </cell>
          <cell r="R59" t="str">
            <v>-</v>
          </cell>
          <cell r="S59"/>
        </row>
        <row r="60">
          <cell r="A60" t="str">
            <v>BOCACHI</v>
          </cell>
          <cell r="B60" t="str">
            <v>FB066</v>
          </cell>
          <cell r="C60" t="str">
            <v>CC</v>
          </cell>
          <cell r="D60" t="str">
            <v>NO</v>
          </cell>
          <cell r="E60" t="str">
            <v>ELIMINADOS NO REG</v>
          </cell>
          <cell r="F60" t="str">
            <v>Miercoles</v>
          </cell>
          <cell r="G60"/>
          <cell r="H60"/>
          <cell r="I60"/>
          <cell r="J60"/>
          <cell r="K60"/>
          <cell r="L60"/>
          <cell r="M60"/>
          <cell r="N60" t="str">
            <v>IV</v>
          </cell>
          <cell r="O60" t="str">
            <v>Categoría IV</v>
          </cell>
          <cell r="P60" t="str">
            <v>Bioestimulante</v>
          </cell>
          <cell r="Q60" t="str">
            <v>NO HAY</v>
          </cell>
          <cell r="R60" t="str">
            <v>-</v>
          </cell>
        </row>
        <row r="61">
          <cell r="A61" t="str">
            <v>BOSTOC</v>
          </cell>
          <cell r="B61" t="str">
            <v>PF154</v>
          </cell>
          <cell r="C61" t="str">
            <v>CC</v>
          </cell>
          <cell r="D61" t="str">
            <v>SI</v>
          </cell>
          <cell r="E61" t="str">
            <v>ACTIVOS NO REG</v>
          </cell>
          <cell r="F61" t="str">
            <v>Viernes</v>
          </cell>
          <cell r="G61"/>
          <cell r="H61"/>
          <cell r="I61"/>
          <cell r="J61"/>
          <cell r="K61"/>
          <cell r="L61"/>
          <cell r="M61" t="str">
            <v>BOSTOK</v>
          </cell>
          <cell r="N61" t="str">
            <v>IV</v>
          </cell>
          <cell r="O61" t="str">
            <v>Categoría IV</v>
          </cell>
          <cell r="P61" t="str">
            <v>Fungicida</v>
          </cell>
          <cell r="Q61" t="str">
            <v>NO HAY</v>
          </cell>
          <cell r="R61">
            <v>1</v>
          </cell>
        </row>
        <row r="62">
          <cell r="A62" t="str">
            <v>BRAVO 720</v>
          </cell>
          <cell r="B62" t="str">
            <v>PF105</v>
          </cell>
          <cell r="C62" t="str">
            <v>CC</v>
          </cell>
          <cell r="D62" t="str">
            <v>NO</v>
          </cell>
          <cell r="E62" t="str">
            <v>ACTIVOS REG</v>
          </cell>
          <cell r="F62" t="str">
            <v>Viernes</v>
          </cell>
          <cell r="G62">
            <v>7</v>
          </cell>
          <cell r="H62">
            <v>4</v>
          </cell>
          <cell r="I62" t="str">
            <v>Amplio Espectro</v>
          </cell>
          <cell r="J62">
            <v>0</v>
          </cell>
          <cell r="K62">
            <v>0</v>
          </cell>
          <cell r="L62">
            <v>0</v>
          </cell>
          <cell r="M62" t="str">
            <v>Clorotalonil</v>
          </cell>
          <cell r="N62" t="str">
            <v>IV</v>
          </cell>
          <cell r="O62" t="str">
            <v>Categoría IV</v>
          </cell>
          <cell r="P62" t="str">
            <v>Fungicida</v>
          </cell>
          <cell r="Q62" t="str">
            <v>SI</v>
          </cell>
          <cell r="R62">
            <v>1.4</v>
          </cell>
          <cell r="S62"/>
        </row>
        <row r="63">
          <cell r="A63" t="str">
            <v>BREAK TRUE</v>
          </cell>
          <cell r="B63" t="str">
            <v>PJ002</v>
          </cell>
          <cell r="C63" t="str">
            <v>CC</v>
          </cell>
          <cell r="D63" t="str">
            <v>NO</v>
          </cell>
          <cell r="E63" t="str">
            <v>ACTIVOS REG</v>
          </cell>
          <cell r="F63" t="str">
            <v>Miercoles</v>
          </cell>
          <cell r="G63" t="str">
            <v xml:space="preserve"> ---</v>
          </cell>
          <cell r="H63">
            <v>2</v>
          </cell>
          <cell r="I63" t="str">
            <v>Fijadores, dispersantes</v>
          </cell>
          <cell r="J63">
            <v>0</v>
          </cell>
          <cell r="K63">
            <v>0</v>
          </cell>
          <cell r="L63">
            <v>0</v>
          </cell>
          <cell r="M63" t="str">
            <v>Polyether, polymhetysiloxane-copolymer</v>
          </cell>
          <cell r="N63" t="str">
            <v>IV</v>
          </cell>
          <cell r="O63" t="str">
            <v>Categoría IV</v>
          </cell>
          <cell r="P63" t="str">
            <v>Coadyuvante</v>
          </cell>
          <cell r="Q63" t="str">
            <v>SI</v>
          </cell>
          <cell r="R63" t="str">
            <v>-</v>
          </cell>
        </row>
        <row r="64">
          <cell r="A64" t="str">
            <v>BREMA</v>
          </cell>
          <cell r="B64" t="str">
            <v>PF068</v>
          </cell>
          <cell r="C64" t="str">
            <v>GR</v>
          </cell>
          <cell r="D64" t="str">
            <v>NO</v>
          </cell>
          <cell r="E64" t="str">
            <v>ACTIVOS NO REG</v>
          </cell>
          <cell r="F64" t="str">
            <v>Viernes</v>
          </cell>
          <cell r="G64"/>
          <cell r="H64"/>
          <cell r="I64" t="str">
            <v>Post Cosecha</v>
          </cell>
          <cell r="J64" t="str">
            <v>Fusarium</v>
          </cell>
          <cell r="K64" t="str">
            <v>Colletotrichum</v>
          </cell>
          <cell r="L64" t="str">
            <v>Verticillium</v>
          </cell>
          <cell r="M64" t="str">
            <v>MANEB + TRIFENILTIN ACETATO</v>
          </cell>
          <cell r="N64" t="str">
            <v>III</v>
          </cell>
          <cell r="O64" t="str">
            <v>Ligeramente Peligrosos III</v>
          </cell>
          <cell r="P64" t="str">
            <v>Fungicida</v>
          </cell>
          <cell r="Q64" t="str">
            <v>SI</v>
          </cell>
          <cell r="R64" t="str">
            <v>-</v>
          </cell>
        </row>
        <row r="65">
          <cell r="A65" t="str">
            <v>BROMURO DE METILO</v>
          </cell>
          <cell r="B65" t="str">
            <v>PI077</v>
          </cell>
          <cell r="C65" t="str">
            <v>GR</v>
          </cell>
          <cell r="D65" t="str">
            <v>NO</v>
          </cell>
          <cell r="E65" t="str">
            <v>ACTIVOS NO REG</v>
          </cell>
          <cell r="F65"/>
          <cell r="G65" t="str">
            <v xml:space="preserve"> ---</v>
          </cell>
          <cell r="H65">
            <v>96</v>
          </cell>
          <cell r="I65" t="str">
            <v>Desinfectante de Suelo</v>
          </cell>
          <cell r="J65" t="str">
            <v>Hongos</v>
          </cell>
          <cell r="K65" t="str">
            <v>Nemátodos</v>
          </cell>
          <cell r="L65" t="str">
            <v>Malezas</v>
          </cell>
          <cell r="M65" t="str">
            <v>Bromomethane</v>
          </cell>
          <cell r="N65" t="str">
            <v>I</v>
          </cell>
          <cell r="O65" t="str">
            <v>Altamente Peligrosos Ib</v>
          </cell>
          <cell r="P65" t="str">
            <v>Insecticida</v>
          </cell>
          <cell r="Q65" t="str">
            <v>Restringidos</v>
          </cell>
          <cell r="R65" t="str">
            <v>-</v>
          </cell>
        </row>
        <row r="66">
          <cell r="A66" t="str">
            <v>BRONKA</v>
          </cell>
          <cell r="B66" t="str">
            <v>PI145</v>
          </cell>
          <cell r="C66" t="str">
            <v>CC</v>
          </cell>
          <cell r="D66" t="str">
            <v>SI</v>
          </cell>
          <cell r="E66" t="str">
            <v>ACTIVOS REG</v>
          </cell>
          <cell r="F66" t="str">
            <v>Martes</v>
          </cell>
          <cell r="G66"/>
          <cell r="H66">
            <v>24</v>
          </cell>
          <cell r="I66" t="str">
            <v>Minador</v>
          </cell>
          <cell r="J66">
            <v>0</v>
          </cell>
          <cell r="K66">
            <v>0</v>
          </cell>
          <cell r="L66">
            <v>0</v>
          </cell>
          <cell r="M66" t="str">
            <v>ALPHA-CYPERMETHRIN</v>
          </cell>
          <cell r="N66" t="str">
            <v>II</v>
          </cell>
          <cell r="O66" t="str">
            <v>Moderadamente Peligrosos II</v>
          </cell>
          <cell r="P66" t="str">
            <v>Insecticida</v>
          </cell>
          <cell r="Q66" t="str">
            <v>SI</v>
          </cell>
          <cell r="R66">
            <v>1</v>
          </cell>
          <cell r="S66"/>
        </row>
        <row r="67">
          <cell r="A67" t="str">
            <v>CADASTYN</v>
          </cell>
          <cell r="B67" t="str">
            <v>FB013</v>
          </cell>
          <cell r="C67" t="str">
            <v>CC</v>
          </cell>
          <cell r="D67" t="str">
            <v>NO</v>
          </cell>
          <cell r="E67" t="str">
            <v>ACTIVOS NO REG</v>
          </cell>
          <cell r="F67" t="str">
            <v>Miercoles</v>
          </cell>
          <cell r="G67" t="str">
            <v xml:space="preserve"> ---</v>
          </cell>
          <cell r="H67">
            <v>0</v>
          </cell>
          <cell r="I67" t="str">
            <v>Bioestimulante</v>
          </cell>
          <cell r="J67">
            <v>0</v>
          </cell>
          <cell r="K67">
            <v>0</v>
          </cell>
          <cell r="L67">
            <v>0</v>
          </cell>
          <cell r="M67" t="str">
            <v>L-Cysteina, Acido Fólico, Aminoácidos, N, Materia Orgánica</v>
          </cell>
          <cell r="N67" t="str">
            <v>IV</v>
          </cell>
          <cell r="O67" t="str">
            <v>Categoría IV</v>
          </cell>
          <cell r="P67" t="str">
            <v>Bioestimulante</v>
          </cell>
          <cell r="Q67"/>
          <cell r="R67" t="str">
            <v>-</v>
          </cell>
          <cell r="S67"/>
        </row>
        <row r="68">
          <cell r="A68" t="str">
            <v>CAL DOLOMITA</v>
          </cell>
          <cell r="B68" t="str">
            <v>PI108</v>
          </cell>
          <cell r="C68" t="str">
            <v>KG</v>
          </cell>
          <cell r="D68" t="str">
            <v>NO</v>
          </cell>
          <cell r="E68" t="str">
            <v>ACTIVOS NO REG</v>
          </cell>
          <cell r="F68" t="str">
            <v>Lunes</v>
          </cell>
          <cell r="G68"/>
          <cell r="H68"/>
          <cell r="I68"/>
          <cell r="J68"/>
          <cell r="K68"/>
          <cell r="L68"/>
          <cell r="M68"/>
          <cell r="N68"/>
          <cell r="O68"/>
          <cell r="P68" t="str">
            <v>Insecticida</v>
          </cell>
          <cell r="Q68" t="str">
            <v>NO HAY</v>
          </cell>
          <cell r="R68" t="str">
            <v>-</v>
          </cell>
        </row>
        <row r="69">
          <cell r="A69" t="str">
            <v>CALDO BORDELES</v>
          </cell>
          <cell r="B69" t="str">
            <v>PF119</v>
          </cell>
          <cell r="C69" t="str">
            <v>GR</v>
          </cell>
          <cell r="D69" t="str">
            <v>NO</v>
          </cell>
          <cell r="E69" t="str">
            <v>ACTIVOS NO REG</v>
          </cell>
          <cell r="F69" t="str">
            <v>Viernes</v>
          </cell>
          <cell r="G69">
            <v>7</v>
          </cell>
          <cell r="H69"/>
          <cell r="I69" t="str">
            <v>Alternaria</v>
          </cell>
          <cell r="J69" t="str">
            <v>Mildiu</v>
          </cell>
          <cell r="K69"/>
          <cell r="L69"/>
          <cell r="M69" t="str">
            <v>SULFATO DE COBRE</v>
          </cell>
          <cell r="N69" t="str">
            <v>III</v>
          </cell>
          <cell r="O69" t="str">
            <v>Ligeramente Peligrosos III</v>
          </cell>
          <cell r="P69" t="str">
            <v>Fungicida</v>
          </cell>
          <cell r="Q69" t="str">
            <v>SI</v>
          </cell>
          <cell r="R69" t="str">
            <v>-</v>
          </cell>
          <cell r="S69"/>
        </row>
        <row r="70">
          <cell r="A70" t="str">
            <v>Cantus</v>
          </cell>
          <cell r="B70" t="str">
            <v>PF147</v>
          </cell>
          <cell r="C70" t="str">
            <v>GR</v>
          </cell>
          <cell r="D70" t="str">
            <v>SI</v>
          </cell>
          <cell r="E70" t="str">
            <v>ACTIVOS REG</v>
          </cell>
          <cell r="F70" t="str">
            <v>Viernes</v>
          </cell>
          <cell r="G70">
            <v>7</v>
          </cell>
          <cell r="H70">
            <v>2</v>
          </cell>
          <cell r="I70" t="str">
            <v>Roya</v>
          </cell>
          <cell r="J70" t="str">
            <v>Botrytis</v>
          </cell>
          <cell r="K70" t="str">
            <v>Alternaria</v>
          </cell>
          <cell r="L70" t="str">
            <v>Rizocthonia</v>
          </cell>
          <cell r="M70" t="str">
            <v>Boscalid</v>
          </cell>
          <cell r="N70" t="str">
            <v>IV</v>
          </cell>
          <cell r="O70" t="str">
            <v>Categoría IV</v>
          </cell>
          <cell r="P70" t="str">
            <v>Fungicida</v>
          </cell>
          <cell r="Q70" t="str">
            <v>SI</v>
          </cell>
          <cell r="R70">
            <v>1</v>
          </cell>
          <cell r="S70"/>
        </row>
        <row r="71">
          <cell r="A71" t="str">
            <v>Captan</v>
          </cell>
          <cell r="B71" t="str">
            <v>PF006</v>
          </cell>
          <cell r="C71" t="str">
            <v>GR</v>
          </cell>
          <cell r="D71" t="str">
            <v>SI</v>
          </cell>
          <cell r="E71" t="str">
            <v>ACTIVOS REG</v>
          </cell>
          <cell r="F71" t="str">
            <v>Viernes</v>
          </cell>
          <cell r="G71">
            <v>5</v>
          </cell>
          <cell r="H71">
            <v>12</v>
          </cell>
          <cell r="I71" t="str">
            <v>Botrytis</v>
          </cell>
          <cell r="J71"/>
          <cell r="K71"/>
          <cell r="L71"/>
          <cell r="M71" t="str">
            <v>CAPTAN</v>
          </cell>
          <cell r="N71" t="str">
            <v>IV</v>
          </cell>
          <cell r="O71" t="str">
            <v>Categoría IV</v>
          </cell>
          <cell r="P71" t="str">
            <v>Fungicida</v>
          </cell>
          <cell r="Q71" t="str">
            <v>SI</v>
          </cell>
          <cell r="R71">
            <v>0.66</v>
          </cell>
          <cell r="S71"/>
        </row>
        <row r="72">
          <cell r="A72" t="str">
            <v>Carbemex</v>
          </cell>
          <cell r="B72" t="str">
            <v>PF151</v>
          </cell>
          <cell r="C72" t="str">
            <v>CC</v>
          </cell>
          <cell r="D72" t="str">
            <v>NO</v>
          </cell>
          <cell r="E72" t="str">
            <v>ELIMINADOS REG</v>
          </cell>
          <cell r="F72" t="str">
            <v>Viernes</v>
          </cell>
          <cell r="G72">
            <v>6</v>
          </cell>
          <cell r="H72">
            <v>2</v>
          </cell>
          <cell r="I72" t="str">
            <v>Botrytis</v>
          </cell>
          <cell r="J72" t="str">
            <v>Rhizoctonia</v>
          </cell>
          <cell r="K72" t="str">
            <v>Fusarium</v>
          </cell>
          <cell r="L72"/>
          <cell r="M72" t="str">
            <v>CARBENDAZIM</v>
          </cell>
          <cell r="N72" t="str">
            <v>IV</v>
          </cell>
          <cell r="O72" t="str">
            <v>Categoría IV</v>
          </cell>
          <cell r="P72" t="str">
            <v>Fungicida</v>
          </cell>
          <cell r="Q72" t="str">
            <v>SI</v>
          </cell>
          <cell r="R72">
            <v>0.8</v>
          </cell>
          <cell r="S72"/>
        </row>
        <row r="73">
          <cell r="A73" t="str">
            <v>CARBENAG</v>
          </cell>
          <cell r="B73" t="str">
            <v>PF158</v>
          </cell>
          <cell r="C73" t="str">
            <v>CC</v>
          </cell>
          <cell r="D73" t="str">
            <v>NO</v>
          </cell>
          <cell r="E73" t="str">
            <v>ACTIVOS REG</v>
          </cell>
          <cell r="F73" t="str">
            <v>Viernes</v>
          </cell>
          <cell r="G73">
            <v>5</v>
          </cell>
          <cell r="H73">
            <v>2</v>
          </cell>
          <cell r="I73" t="str">
            <v>Botrytis</v>
          </cell>
          <cell r="J73" t="str">
            <v>Rhizoctonia</v>
          </cell>
          <cell r="K73" t="str">
            <v>Fusarium</v>
          </cell>
          <cell r="L73"/>
          <cell r="M73" t="str">
            <v>CARBENDAZIM</v>
          </cell>
          <cell r="N73" t="str">
            <v>IV</v>
          </cell>
          <cell r="O73" t="str">
            <v>Categoría IV</v>
          </cell>
          <cell r="P73" t="str">
            <v>Fungicida</v>
          </cell>
          <cell r="Q73" t="str">
            <v>SI</v>
          </cell>
          <cell r="R73">
            <v>0.6</v>
          </cell>
          <cell r="S73"/>
        </row>
        <row r="74">
          <cell r="A74" t="str">
            <v>CARBODAN 4F</v>
          </cell>
          <cell r="B74" t="str">
            <v>PN012</v>
          </cell>
          <cell r="C74" t="str">
            <v>CC</v>
          </cell>
          <cell r="D74" t="str">
            <v>NO</v>
          </cell>
          <cell r="E74" t="str">
            <v>ELIMINADOS NO REG</v>
          </cell>
          <cell r="F74"/>
          <cell r="G74">
            <v>5</v>
          </cell>
          <cell r="H74">
            <v>48</v>
          </cell>
          <cell r="I74" t="str">
            <v>Nematicida</v>
          </cell>
          <cell r="J74">
            <v>0</v>
          </cell>
          <cell r="K74">
            <v>0</v>
          </cell>
          <cell r="L74">
            <v>0</v>
          </cell>
          <cell r="M74" t="str">
            <v>Carbofuran</v>
          </cell>
          <cell r="N74" t="str">
            <v>I</v>
          </cell>
          <cell r="O74" t="str">
            <v>Extremadamente Peligrosos Ia</v>
          </cell>
          <cell r="P74" t="str">
            <v>Nematicida - Insecticida</v>
          </cell>
          <cell r="Q74" t="str">
            <v>NO HAY</v>
          </cell>
          <cell r="R74" t="str">
            <v>-</v>
          </cell>
          <cell r="S74"/>
        </row>
        <row r="75">
          <cell r="A75" t="str">
            <v>CARBOFURAN</v>
          </cell>
          <cell r="B75" t="str">
            <v>PN015</v>
          </cell>
          <cell r="C75" t="str">
            <v>CC</v>
          </cell>
          <cell r="D75" t="str">
            <v>NO</v>
          </cell>
          <cell r="E75" t="str">
            <v>ELIMINADOS NO REG</v>
          </cell>
          <cell r="F75"/>
          <cell r="G75"/>
          <cell r="H75"/>
          <cell r="I75"/>
          <cell r="J75"/>
          <cell r="K75"/>
          <cell r="L75"/>
          <cell r="M75" t="str">
            <v>Carbofuran</v>
          </cell>
          <cell r="N75" t="str">
            <v>I</v>
          </cell>
          <cell r="O75" t="str">
            <v>Extremadamente Peligrosos Ia</v>
          </cell>
          <cell r="P75" t="str">
            <v>Nematicida - Insecticida</v>
          </cell>
          <cell r="Q75" t="str">
            <v>NO HAY</v>
          </cell>
          <cell r="R75" t="str">
            <v>-</v>
          </cell>
          <cell r="S75"/>
        </row>
        <row r="76">
          <cell r="A76" t="str">
            <v>CARBOFURAN 10G POLVO</v>
          </cell>
          <cell r="B76" t="str">
            <v>PN009</v>
          </cell>
          <cell r="C76" t="str">
            <v>GR</v>
          </cell>
          <cell r="D76" t="str">
            <v>SI</v>
          </cell>
          <cell r="E76" t="str">
            <v>ACTIVOS NO REG</v>
          </cell>
          <cell r="F76"/>
          <cell r="G76"/>
          <cell r="H76"/>
          <cell r="I76"/>
          <cell r="J76"/>
          <cell r="K76"/>
          <cell r="L76"/>
          <cell r="M76" t="str">
            <v>Carbofuran</v>
          </cell>
          <cell r="N76" t="str">
            <v>I</v>
          </cell>
          <cell r="O76" t="str">
            <v>Extremadamente Peligrosos Ia</v>
          </cell>
          <cell r="P76" t="str">
            <v>Nematicida - Insecticida</v>
          </cell>
          <cell r="Q76" t="str">
            <v>NO HAY</v>
          </cell>
          <cell r="R76" t="str">
            <v>-</v>
          </cell>
          <cell r="S76"/>
        </row>
        <row r="77">
          <cell r="A77" t="str">
            <v>CARBOFURAN 4F LIQUIDO</v>
          </cell>
          <cell r="B77" t="str">
            <v>PN007</v>
          </cell>
          <cell r="C77" t="str">
            <v>CC</v>
          </cell>
          <cell r="D77" t="str">
            <v>NO</v>
          </cell>
          <cell r="E77" t="str">
            <v>ACTIVOS NO REG</v>
          </cell>
          <cell r="F77"/>
          <cell r="G77">
            <v>5</v>
          </cell>
          <cell r="H77">
            <v>48</v>
          </cell>
          <cell r="I77" t="str">
            <v>Nematicida</v>
          </cell>
          <cell r="J77">
            <v>0</v>
          </cell>
          <cell r="K77">
            <v>0</v>
          </cell>
          <cell r="L77">
            <v>0</v>
          </cell>
          <cell r="M77" t="str">
            <v>Carbofuran</v>
          </cell>
          <cell r="N77" t="str">
            <v>I</v>
          </cell>
          <cell r="O77" t="str">
            <v>Extremadamente Peligrosos Ia</v>
          </cell>
          <cell r="P77" t="str">
            <v>Nematicida - Insecticida</v>
          </cell>
          <cell r="Q77" t="str">
            <v>NO HAY</v>
          </cell>
          <cell r="R77" t="str">
            <v>-</v>
          </cell>
          <cell r="S77"/>
        </row>
        <row r="78">
          <cell r="A78" t="str">
            <v>CARBONATO DE CALCIO</v>
          </cell>
          <cell r="B78" t="str">
            <v>FA025</v>
          </cell>
          <cell r="C78" t="str">
            <v>KG</v>
          </cell>
          <cell r="D78" t="str">
            <v>SI</v>
          </cell>
          <cell r="E78" t="str">
            <v>ACTIVOS REG</v>
          </cell>
          <cell r="F78"/>
          <cell r="G78"/>
          <cell r="H78"/>
          <cell r="I78"/>
          <cell r="J78"/>
          <cell r="K78"/>
          <cell r="L78"/>
          <cell r="M78"/>
          <cell r="N78" t="str">
            <v>IV</v>
          </cell>
          <cell r="O78" t="str">
            <v>Categoría IV</v>
          </cell>
          <cell r="P78" t="str">
            <v>Fertilizante</v>
          </cell>
          <cell r="Q78"/>
          <cell r="R78" t="str">
            <v>-</v>
          </cell>
        </row>
        <row r="79">
          <cell r="A79" t="str">
            <v>CARBOROC</v>
          </cell>
          <cell r="B79" t="str">
            <v>PN014</v>
          </cell>
          <cell r="C79" t="str">
            <v>CC</v>
          </cell>
          <cell r="D79" t="str">
            <v>NO</v>
          </cell>
          <cell r="E79" t="str">
            <v>ELIMINADOS NO REG</v>
          </cell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 t="str">
            <v>Nematicida - Insecticida</v>
          </cell>
          <cell r="Q79" t="str">
            <v>NO HAY</v>
          </cell>
          <cell r="R79" t="str">
            <v>-</v>
          </cell>
          <cell r="S79"/>
        </row>
        <row r="80">
          <cell r="A80" t="str">
            <v>CARBOVAX</v>
          </cell>
          <cell r="B80" t="str">
            <v>PF155</v>
          </cell>
          <cell r="C80" t="str">
            <v>CC</v>
          </cell>
          <cell r="D80" t="str">
            <v>SI</v>
          </cell>
          <cell r="E80" t="str">
            <v>ACTIVOS REG</v>
          </cell>
          <cell r="F80" t="str">
            <v>Viernes</v>
          </cell>
          <cell r="G80">
            <v>6</v>
          </cell>
          <cell r="H80"/>
          <cell r="I80" t="str">
            <v>Botrytis</v>
          </cell>
          <cell r="J80" t="str">
            <v>Rhizoctonia</v>
          </cell>
          <cell r="K80" t="str">
            <v>Fusarium</v>
          </cell>
          <cell r="L80"/>
          <cell r="M80" t="str">
            <v>CARBOXIN THIRAM</v>
          </cell>
          <cell r="N80" t="str">
            <v>III</v>
          </cell>
          <cell r="O80" t="str">
            <v>Ligeramente Peligrosos III</v>
          </cell>
          <cell r="P80" t="str">
            <v>Fungicida</v>
          </cell>
          <cell r="Q80" t="str">
            <v>SI</v>
          </cell>
          <cell r="R80">
            <v>1.4</v>
          </cell>
          <cell r="S80"/>
        </row>
        <row r="81">
          <cell r="A81" t="str">
            <v>CASCADE DC</v>
          </cell>
          <cell r="B81" t="str">
            <v>PI116</v>
          </cell>
          <cell r="C81" t="str">
            <v>CC</v>
          </cell>
          <cell r="D81" t="str">
            <v>NO</v>
          </cell>
          <cell r="E81" t="str">
            <v>ELIMINADOS NO REG</v>
          </cell>
          <cell r="F81" t="str">
            <v>Lunes</v>
          </cell>
          <cell r="G81" t="str">
            <v>4.5-7.5</v>
          </cell>
          <cell r="H81">
            <v>4</v>
          </cell>
          <cell r="I81" t="str">
            <v>Acaros</v>
          </cell>
          <cell r="J81">
            <v>0</v>
          </cell>
          <cell r="K81">
            <v>0</v>
          </cell>
          <cell r="L81">
            <v>0</v>
          </cell>
          <cell r="M81" t="str">
            <v>Flufenoxuron</v>
          </cell>
          <cell r="N81" t="str">
            <v>IV</v>
          </cell>
          <cell r="O81" t="str">
            <v>Categoría IV</v>
          </cell>
          <cell r="P81" t="str">
            <v>Insecticida</v>
          </cell>
          <cell r="Q81" t="str">
            <v>SI</v>
          </cell>
          <cell r="R81" t="str">
            <v>-</v>
          </cell>
        </row>
        <row r="82">
          <cell r="A82" t="str">
            <v>CASCAJO FINO</v>
          </cell>
          <cell r="B82" t="str">
            <v>FS005</v>
          </cell>
          <cell r="C82" t="str">
            <v>M3</v>
          </cell>
          <cell r="D82" t="str">
            <v>NO</v>
          </cell>
          <cell r="E82" t="str">
            <v>ACTIVOS NO REG</v>
          </cell>
          <cell r="F82"/>
          <cell r="G82"/>
          <cell r="H82"/>
          <cell r="I82"/>
          <cell r="J82"/>
          <cell r="K82"/>
          <cell r="L82"/>
          <cell r="M82" t="str">
            <v>Pomez</v>
          </cell>
          <cell r="N82" t="str">
            <v>IV</v>
          </cell>
          <cell r="O82" t="str">
            <v>Categoría IV</v>
          </cell>
          <cell r="P82" t="str">
            <v>Sustrato</v>
          </cell>
          <cell r="Q82"/>
          <cell r="R82" t="str">
            <v>-</v>
          </cell>
        </row>
        <row r="83">
          <cell r="A83" t="str">
            <v>CASCAJO GRUESO</v>
          </cell>
          <cell r="B83" t="str">
            <v>FS010</v>
          </cell>
          <cell r="C83" t="str">
            <v>M3</v>
          </cell>
          <cell r="D83" t="str">
            <v>NO</v>
          </cell>
          <cell r="E83" t="str">
            <v>ACTIVOS NO REG</v>
          </cell>
          <cell r="F83"/>
          <cell r="G83"/>
          <cell r="H83"/>
          <cell r="I83"/>
          <cell r="J83"/>
          <cell r="K83"/>
          <cell r="L83"/>
          <cell r="M83" t="str">
            <v>Pomez</v>
          </cell>
          <cell r="N83" t="str">
            <v>IV</v>
          </cell>
          <cell r="O83" t="str">
            <v>Categoría IV</v>
          </cell>
          <cell r="P83" t="str">
            <v>Sustrato</v>
          </cell>
          <cell r="Q83"/>
          <cell r="R83" t="str">
            <v>-</v>
          </cell>
          <cell r="S83"/>
        </row>
        <row r="84">
          <cell r="A84" t="str">
            <v>CASCAJO MEDIANO</v>
          </cell>
          <cell r="B84" t="str">
            <v>FS009</v>
          </cell>
          <cell r="C84" t="str">
            <v>M3</v>
          </cell>
          <cell r="D84" t="str">
            <v>NO</v>
          </cell>
          <cell r="E84" t="str">
            <v>ACTIVOS NO REG</v>
          </cell>
          <cell r="F84"/>
          <cell r="G84"/>
          <cell r="H84"/>
          <cell r="I84"/>
          <cell r="J84"/>
          <cell r="K84"/>
          <cell r="L84"/>
          <cell r="M84" t="str">
            <v>Pomez</v>
          </cell>
          <cell r="N84" t="str">
            <v>IV</v>
          </cell>
          <cell r="O84" t="str">
            <v>Categoría IV</v>
          </cell>
          <cell r="P84" t="str">
            <v>Sustrato</v>
          </cell>
          <cell r="Q84"/>
          <cell r="R84" t="str">
            <v>-</v>
          </cell>
          <cell r="S84"/>
        </row>
        <row r="85">
          <cell r="A85" t="str">
            <v>CASCARILLA DE ARROZ</v>
          </cell>
          <cell r="B85" t="str">
            <v>FS004</v>
          </cell>
          <cell r="C85" t="str">
            <v>M3</v>
          </cell>
          <cell r="D85" t="str">
            <v>NO</v>
          </cell>
          <cell r="E85" t="str">
            <v>ACTIVOS NO REG</v>
          </cell>
          <cell r="F85"/>
          <cell r="G85"/>
          <cell r="H85"/>
          <cell r="I85"/>
          <cell r="J85"/>
          <cell r="K85"/>
          <cell r="L85"/>
          <cell r="M85" t="str">
            <v>Cascarilla de arroz</v>
          </cell>
          <cell r="N85" t="str">
            <v>IV</v>
          </cell>
          <cell r="O85" t="str">
            <v>Categoría IV</v>
          </cell>
          <cell r="P85" t="str">
            <v>Sustrato</v>
          </cell>
          <cell r="Q85"/>
          <cell r="R85" t="str">
            <v>-</v>
          </cell>
        </row>
        <row r="86">
          <cell r="A86" t="str">
            <v>CASCARILLA DE ARROZ TOSTADA</v>
          </cell>
          <cell r="B86" t="str">
            <v>FS013</v>
          </cell>
          <cell r="C86" t="str">
            <v>MT</v>
          </cell>
          <cell r="D86" t="str">
            <v>NO</v>
          </cell>
          <cell r="E86" t="str">
            <v>ACTIVOS NO REG</v>
          </cell>
          <cell r="F86"/>
          <cell r="G86"/>
          <cell r="H86"/>
          <cell r="I86"/>
          <cell r="J86"/>
          <cell r="K86"/>
          <cell r="L86"/>
          <cell r="M86" t="str">
            <v>Cascarilla de arroz</v>
          </cell>
          <cell r="N86" t="str">
            <v>IV</v>
          </cell>
          <cell r="O86" t="str">
            <v>Categoría IV</v>
          </cell>
          <cell r="P86" t="str">
            <v>Sustrato</v>
          </cell>
          <cell r="Q86"/>
          <cell r="R86" t="str">
            <v>-</v>
          </cell>
          <cell r="S86"/>
        </row>
        <row r="87">
          <cell r="A87" t="str">
            <v>Cazador</v>
          </cell>
          <cell r="B87" t="str">
            <v>PI127</v>
          </cell>
          <cell r="C87" t="str">
            <v>GR</v>
          </cell>
          <cell r="D87" t="str">
            <v>NO</v>
          </cell>
          <cell r="E87" t="str">
            <v>ACTIVOS REG</v>
          </cell>
          <cell r="F87" t="str">
            <v>Lunes</v>
          </cell>
          <cell r="G87">
            <v>5.5</v>
          </cell>
          <cell r="H87">
            <v>6</v>
          </cell>
          <cell r="I87" t="str">
            <v>Trips</v>
          </cell>
          <cell r="J87" t="str">
            <v>Minador</v>
          </cell>
          <cell r="K87">
            <v>0</v>
          </cell>
          <cell r="L87">
            <v>0</v>
          </cell>
          <cell r="M87" t="str">
            <v>Fipronil</v>
          </cell>
          <cell r="N87" t="str">
            <v>II</v>
          </cell>
          <cell r="O87" t="str">
            <v>Moderadamente Peligrosos II</v>
          </cell>
          <cell r="P87" t="str">
            <v>Insecticida</v>
          </cell>
          <cell r="Q87" t="str">
            <v>SI</v>
          </cell>
          <cell r="R87" t="str">
            <v>-</v>
          </cell>
          <cell r="S87"/>
        </row>
        <row r="88">
          <cell r="A88" t="str">
            <v>CERCOBIN</v>
          </cell>
          <cell r="B88" t="str">
            <v>PI010</v>
          </cell>
          <cell r="C88" t="str">
            <v>GR</v>
          </cell>
          <cell r="D88" t="str">
            <v>NO</v>
          </cell>
          <cell r="E88" t="str">
            <v>ACTIVOS NO REG</v>
          </cell>
          <cell r="F88" t="str">
            <v>Lunes</v>
          </cell>
          <cell r="G88"/>
          <cell r="H88"/>
          <cell r="I88"/>
          <cell r="J88"/>
          <cell r="K88"/>
          <cell r="L88"/>
          <cell r="M88" t="str">
            <v>TIOFANATO METILICO</v>
          </cell>
          <cell r="N88" t="str">
            <v>IV</v>
          </cell>
          <cell r="O88" t="str">
            <v>Categoría IV</v>
          </cell>
          <cell r="P88" t="str">
            <v>Insecticida</v>
          </cell>
          <cell r="Q88" t="str">
            <v>SI</v>
          </cell>
          <cell r="R88" t="str">
            <v>-</v>
          </cell>
          <cell r="S88"/>
        </row>
        <row r="89">
          <cell r="A89" t="str">
            <v>CIPERMETRINA 20%</v>
          </cell>
          <cell r="B89" t="str">
            <v>PI008</v>
          </cell>
          <cell r="C89" t="str">
            <v>CC</v>
          </cell>
          <cell r="D89" t="str">
            <v>NO</v>
          </cell>
          <cell r="E89" t="str">
            <v>ACTIVOS NO REG</v>
          </cell>
          <cell r="F89" t="str">
            <v>Lunes</v>
          </cell>
          <cell r="G89">
            <v>5</v>
          </cell>
          <cell r="H89"/>
          <cell r="I89" t="str">
            <v>Trips</v>
          </cell>
          <cell r="J89"/>
          <cell r="K89"/>
          <cell r="L89"/>
          <cell r="M89" t="str">
            <v>CIPERMETRINA</v>
          </cell>
          <cell r="N89" t="str">
            <v>II</v>
          </cell>
          <cell r="O89" t="str">
            <v>Moderadamente Peligrosos II</v>
          </cell>
          <cell r="P89" t="str">
            <v>Insecticida</v>
          </cell>
          <cell r="Q89" t="str">
            <v>SI</v>
          </cell>
          <cell r="R89" t="str">
            <v>-</v>
          </cell>
          <cell r="S89"/>
        </row>
        <row r="90">
          <cell r="A90" t="str">
            <v>CITATION 75 WP</v>
          </cell>
          <cell r="B90" t="str">
            <v>PI046</v>
          </cell>
          <cell r="C90" t="str">
            <v>GR</v>
          </cell>
          <cell r="D90" t="str">
            <v>NO</v>
          </cell>
          <cell r="E90" t="str">
            <v>ACTIVOS NO REG</v>
          </cell>
          <cell r="F90" t="str">
            <v>Lunes</v>
          </cell>
          <cell r="G90">
            <v>7</v>
          </cell>
          <cell r="H90"/>
          <cell r="I90" t="str">
            <v>Larvas</v>
          </cell>
          <cell r="J90">
            <v>0</v>
          </cell>
          <cell r="K90">
            <v>0</v>
          </cell>
          <cell r="L90">
            <v>0</v>
          </cell>
          <cell r="M90" t="str">
            <v>CIROMAZINA</v>
          </cell>
          <cell r="N90" t="str">
            <v>IV</v>
          </cell>
          <cell r="O90" t="str">
            <v>Categoría IV</v>
          </cell>
          <cell r="P90" t="str">
            <v>Insecticida</v>
          </cell>
          <cell r="Q90" t="str">
            <v>SI</v>
          </cell>
          <cell r="R90" t="str">
            <v>-</v>
          </cell>
        </row>
        <row r="91">
          <cell r="A91" t="str">
            <v>Citoplant</v>
          </cell>
          <cell r="B91" t="str">
            <v>FH005</v>
          </cell>
          <cell r="C91" t="str">
            <v>CC</v>
          </cell>
          <cell r="D91" t="str">
            <v>SI</v>
          </cell>
          <cell r="E91" t="str">
            <v>ACTIVOS NO REG</v>
          </cell>
          <cell r="F91"/>
          <cell r="G91"/>
          <cell r="H91"/>
          <cell r="I91"/>
          <cell r="J91"/>
          <cell r="K91"/>
          <cell r="L91"/>
          <cell r="M91" t="str">
            <v>POLISACARIDOS, ACIDO ALGINICO, MANTINOL, CITOQUININAS NATURALES</v>
          </cell>
          <cell r="N91" t="str">
            <v>IV</v>
          </cell>
          <cell r="O91" t="str">
            <v>Categoría IV</v>
          </cell>
          <cell r="P91" t="str">
            <v>Fitohormonal</v>
          </cell>
          <cell r="Q91" t="str">
            <v>NO HAY</v>
          </cell>
          <cell r="R91" t="str">
            <v>-</v>
          </cell>
          <cell r="S91"/>
        </row>
        <row r="92">
          <cell r="A92" t="str">
            <v>CLEANER 30-E</v>
          </cell>
          <cell r="B92" t="str">
            <v>PF134</v>
          </cell>
          <cell r="C92" t="str">
            <v>CC</v>
          </cell>
          <cell r="D92" t="str">
            <v>NO</v>
          </cell>
          <cell r="E92" t="str">
            <v>ACTIVOS NO REG</v>
          </cell>
          <cell r="F92" t="str">
            <v>Viernes</v>
          </cell>
          <cell r="G92" t="str">
            <v>5.5-6.5</v>
          </cell>
          <cell r="H92">
            <v>2</v>
          </cell>
          <cell r="I92" t="str">
            <v>Rhizoctonia</v>
          </cell>
          <cell r="J92" t="str">
            <v>Phytium</v>
          </cell>
          <cell r="K92">
            <v>0</v>
          </cell>
          <cell r="L92">
            <v>0</v>
          </cell>
          <cell r="M92" t="str">
            <v>2 tiocianometio</v>
          </cell>
          <cell r="N92" t="str">
            <v>IV</v>
          </cell>
          <cell r="O92" t="str">
            <v>Categoría IV</v>
          </cell>
          <cell r="P92" t="str">
            <v>Fungicida</v>
          </cell>
          <cell r="Q92" t="str">
            <v>NO HAY</v>
          </cell>
          <cell r="R92" t="str">
            <v>-</v>
          </cell>
          <cell r="S92"/>
        </row>
        <row r="93">
          <cell r="A93" t="str">
            <v>Cloruro de Potasio</v>
          </cell>
          <cell r="B93" t="str">
            <v>FA001</v>
          </cell>
          <cell r="C93" t="str">
            <v>KG</v>
          </cell>
          <cell r="D93" t="str">
            <v>SI</v>
          </cell>
          <cell r="E93" t="str">
            <v>ACTIVOS REG</v>
          </cell>
          <cell r="F93"/>
          <cell r="G93"/>
          <cell r="H93"/>
          <cell r="I93"/>
          <cell r="J93"/>
          <cell r="K93"/>
          <cell r="L93"/>
          <cell r="M93"/>
          <cell r="N93" t="str">
            <v>IV</v>
          </cell>
          <cell r="O93" t="str">
            <v>Categoría IV</v>
          </cell>
          <cell r="P93" t="str">
            <v>Fertilizante</v>
          </cell>
          <cell r="Q93"/>
          <cell r="R93" t="str">
            <v>-</v>
          </cell>
          <cell r="S93"/>
        </row>
        <row r="94">
          <cell r="A94" t="str">
            <v>CODA MAGNESIO</v>
          </cell>
          <cell r="B94" t="str">
            <v>FB048</v>
          </cell>
          <cell r="C94" t="str">
            <v>CC</v>
          </cell>
          <cell r="D94" t="str">
            <v>NO</v>
          </cell>
          <cell r="E94" t="str">
            <v>ACTIVOS NO REG</v>
          </cell>
          <cell r="F94" t="str">
            <v>Miercoles</v>
          </cell>
          <cell r="G94"/>
          <cell r="H94"/>
          <cell r="I94"/>
          <cell r="J94"/>
          <cell r="K94"/>
          <cell r="L94"/>
          <cell r="M94"/>
          <cell r="N94" t="str">
            <v>IV</v>
          </cell>
          <cell r="O94" t="str">
            <v>Categoría IV</v>
          </cell>
          <cell r="P94" t="str">
            <v>Bioestimulante</v>
          </cell>
          <cell r="Q94"/>
          <cell r="R94" t="str">
            <v>-</v>
          </cell>
        </row>
        <row r="95">
          <cell r="A95" t="str">
            <v>CODA MANGANESO</v>
          </cell>
          <cell r="B95" t="str">
            <v>FB049</v>
          </cell>
          <cell r="C95" t="str">
            <v>CC</v>
          </cell>
          <cell r="D95" t="str">
            <v>NO</v>
          </cell>
          <cell r="E95" t="str">
            <v>ACTIVOS NO REG</v>
          </cell>
          <cell r="F95" t="str">
            <v>Miercoles</v>
          </cell>
          <cell r="G95" t="str">
            <v xml:space="preserve"> ---</v>
          </cell>
          <cell r="H95">
            <v>0</v>
          </cell>
          <cell r="I95" t="str">
            <v>Fertilización Foliar</v>
          </cell>
          <cell r="J95">
            <v>0</v>
          </cell>
          <cell r="K95">
            <v>0</v>
          </cell>
          <cell r="L95">
            <v>0</v>
          </cell>
          <cell r="M95" t="str">
            <v>Mn</v>
          </cell>
          <cell r="N95" t="str">
            <v>IV</v>
          </cell>
          <cell r="O95" t="str">
            <v>Categoría IV</v>
          </cell>
          <cell r="P95" t="str">
            <v>Bioestimulante</v>
          </cell>
          <cell r="Q95"/>
          <cell r="R95" t="str">
            <v>-</v>
          </cell>
          <cell r="S95"/>
        </row>
        <row r="96">
          <cell r="A96" t="str">
            <v>CODABORO</v>
          </cell>
          <cell r="B96" t="str">
            <v>FB039</v>
          </cell>
          <cell r="C96" t="str">
            <v>CC</v>
          </cell>
          <cell r="D96" t="str">
            <v>NO</v>
          </cell>
          <cell r="E96" t="str">
            <v>ACTIVOS NO REG</v>
          </cell>
          <cell r="F96" t="str">
            <v>Miercoles</v>
          </cell>
          <cell r="G96"/>
          <cell r="H96"/>
          <cell r="I96"/>
          <cell r="J96"/>
          <cell r="K96"/>
          <cell r="L96"/>
          <cell r="M96"/>
          <cell r="N96" t="str">
            <v>IV</v>
          </cell>
          <cell r="O96" t="str">
            <v>Categoría IV</v>
          </cell>
          <cell r="P96" t="str">
            <v>Bioestimulante</v>
          </cell>
          <cell r="Q96"/>
          <cell r="R96" t="str">
            <v>-</v>
          </cell>
          <cell r="S96"/>
        </row>
        <row r="97">
          <cell r="A97" t="str">
            <v>CODA-CAL</v>
          </cell>
          <cell r="B97" t="str">
            <v>FB038</v>
          </cell>
          <cell r="C97" t="str">
            <v>CC</v>
          </cell>
          <cell r="D97" t="str">
            <v>NO</v>
          </cell>
          <cell r="E97" t="str">
            <v>ACTIVOS NO REG</v>
          </cell>
          <cell r="F97" t="str">
            <v>Miercoles</v>
          </cell>
          <cell r="G97"/>
          <cell r="H97"/>
          <cell r="I97"/>
          <cell r="J97"/>
          <cell r="K97"/>
          <cell r="L97"/>
          <cell r="M97"/>
          <cell r="N97" t="str">
            <v>IV</v>
          </cell>
          <cell r="O97" t="str">
            <v>Categoría IV</v>
          </cell>
          <cell r="P97" t="str">
            <v>Bioestimulante</v>
          </cell>
          <cell r="Q97"/>
          <cell r="R97" t="str">
            <v>-</v>
          </cell>
          <cell r="S97"/>
        </row>
        <row r="98">
          <cell r="A98" t="str">
            <v>CODACALCIO QUELATO</v>
          </cell>
          <cell r="B98" t="str">
            <v>FB019</v>
          </cell>
          <cell r="C98" t="str">
            <v>CC</v>
          </cell>
          <cell r="D98" t="str">
            <v>NO</v>
          </cell>
          <cell r="E98" t="str">
            <v>ACTIVOS NO REG</v>
          </cell>
          <cell r="F98" t="str">
            <v>Miercoles</v>
          </cell>
          <cell r="G98"/>
          <cell r="H98"/>
          <cell r="I98"/>
          <cell r="J98"/>
          <cell r="K98"/>
          <cell r="L98"/>
          <cell r="M98"/>
          <cell r="N98" t="str">
            <v>IV</v>
          </cell>
          <cell r="O98" t="str">
            <v>Categoría IV</v>
          </cell>
          <cell r="P98" t="str">
            <v>Bioestimulante</v>
          </cell>
          <cell r="Q98"/>
          <cell r="R98" t="str">
            <v>-</v>
          </cell>
          <cell r="S98"/>
        </row>
        <row r="99">
          <cell r="A99" t="str">
            <v>CODAFOL 0-30-20</v>
          </cell>
          <cell r="B99" t="str">
            <v>FB012</v>
          </cell>
          <cell r="C99" t="str">
            <v>CC</v>
          </cell>
          <cell r="D99" t="str">
            <v>NO</v>
          </cell>
          <cell r="E99" t="str">
            <v>ACTIVOS NO REG</v>
          </cell>
          <cell r="F99" t="str">
            <v>Miercoles</v>
          </cell>
          <cell r="G99"/>
          <cell r="H99"/>
          <cell r="I99"/>
          <cell r="J99"/>
          <cell r="K99"/>
          <cell r="L99"/>
          <cell r="M99"/>
          <cell r="N99" t="str">
            <v>IV</v>
          </cell>
          <cell r="O99" t="str">
            <v>Categoría IV</v>
          </cell>
          <cell r="P99" t="str">
            <v>Bioestimulante</v>
          </cell>
          <cell r="Q99"/>
          <cell r="R99" t="str">
            <v>-</v>
          </cell>
          <cell r="S99"/>
        </row>
        <row r="100">
          <cell r="A100" t="str">
            <v>CODAMIN 150 AMINOACIDOS</v>
          </cell>
          <cell r="B100" t="str">
            <v>FB011</v>
          </cell>
          <cell r="C100" t="str">
            <v>CC</v>
          </cell>
          <cell r="D100" t="str">
            <v>NO</v>
          </cell>
          <cell r="E100" t="str">
            <v>ACTIVOS NO REG</v>
          </cell>
          <cell r="F100" t="str">
            <v>Miercoles</v>
          </cell>
          <cell r="G100"/>
          <cell r="H100"/>
          <cell r="I100"/>
          <cell r="J100"/>
          <cell r="K100"/>
          <cell r="L100"/>
          <cell r="M100"/>
          <cell r="N100" t="str">
            <v>IV</v>
          </cell>
          <cell r="O100" t="str">
            <v>Categoría IV</v>
          </cell>
          <cell r="P100" t="str">
            <v>Bioestimulante</v>
          </cell>
          <cell r="Q100"/>
          <cell r="R100" t="str">
            <v>-</v>
          </cell>
          <cell r="S100"/>
        </row>
        <row r="101">
          <cell r="A101" t="str">
            <v>CODAMIN RADYCULAR</v>
          </cell>
          <cell r="B101" t="str">
            <v>FB015</v>
          </cell>
          <cell r="C101" t="str">
            <v>CC</v>
          </cell>
          <cell r="D101" t="str">
            <v>SI</v>
          </cell>
          <cell r="E101" t="str">
            <v>ACTIVOS REG</v>
          </cell>
          <cell r="F101" t="str">
            <v>Miercoles</v>
          </cell>
          <cell r="G101" t="str">
            <v xml:space="preserve"> ---</v>
          </cell>
          <cell r="H101">
            <v>0</v>
          </cell>
          <cell r="I101" t="str">
            <v>Bioestimulante</v>
          </cell>
          <cell r="J101">
            <v>0</v>
          </cell>
          <cell r="K101">
            <v>0</v>
          </cell>
          <cell r="L101">
            <v>0</v>
          </cell>
          <cell r="M101" t="str">
            <v>Aminoácidos Libres, Materia Orgánica, N, P2O5, N, K</v>
          </cell>
          <cell r="N101" t="str">
            <v>IV</v>
          </cell>
          <cell r="O101" t="str">
            <v>Categoría IV</v>
          </cell>
          <cell r="P101" t="str">
            <v>Bioestimulante</v>
          </cell>
          <cell r="Q101"/>
          <cell r="R101" t="str">
            <v>-</v>
          </cell>
          <cell r="S101"/>
        </row>
        <row r="102">
          <cell r="A102" t="str">
            <v>CODASAL</v>
          </cell>
          <cell r="B102" t="str">
            <v>FB017</v>
          </cell>
          <cell r="C102" t="str">
            <v>CC</v>
          </cell>
          <cell r="D102" t="str">
            <v>NO</v>
          </cell>
          <cell r="E102" t="str">
            <v>ACTIVOS NO REG</v>
          </cell>
          <cell r="F102" t="str">
            <v>Miercoles</v>
          </cell>
          <cell r="G102"/>
          <cell r="H102"/>
          <cell r="I102"/>
          <cell r="J102"/>
          <cell r="K102"/>
          <cell r="L102"/>
          <cell r="M102"/>
          <cell r="N102" t="str">
            <v>IV</v>
          </cell>
          <cell r="O102" t="str">
            <v>Categoría IV</v>
          </cell>
          <cell r="P102" t="str">
            <v>Bioestimulante</v>
          </cell>
          <cell r="Q102"/>
          <cell r="R102" t="str">
            <v>-</v>
          </cell>
          <cell r="S102"/>
        </row>
        <row r="103">
          <cell r="A103" t="str">
            <v>Codastres</v>
          </cell>
          <cell r="B103" t="str">
            <v>FB040</v>
          </cell>
          <cell r="C103" t="str">
            <v>CC</v>
          </cell>
          <cell r="D103" t="str">
            <v>SI</v>
          </cell>
          <cell r="E103" t="str">
            <v>ACTIVOS REG</v>
          </cell>
          <cell r="F103" t="str">
            <v>Miercoles</v>
          </cell>
          <cell r="G103" t="str">
            <v xml:space="preserve"> ---</v>
          </cell>
          <cell r="H103">
            <v>0</v>
          </cell>
          <cell r="I103" t="str">
            <v>Bioestimulante</v>
          </cell>
          <cell r="J103">
            <v>0</v>
          </cell>
          <cell r="K103">
            <v>0</v>
          </cell>
          <cell r="L103">
            <v>0</v>
          </cell>
          <cell r="M103" t="str">
            <v>Aminoacidos libres, P, Mg, Zn, Boro, Mo, Materia Orgánica, N</v>
          </cell>
          <cell r="N103" t="str">
            <v>IV</v>
          </cell>
          <cell r="O103" t="str">
            <v>Categoría IV</v>
          </cell>
          <cell r="P103" t="str">
            <v>Bioestimulante</v>
          </cell>
          <cell r="Q103"/>
          <cell r="R103" t="str">
            <v>-</v>
          </cell>
          <cell r="S103"/>
        </row>
        <row r="104">
          <cell r="A104" t="str">
            <v>CODASUL</v>
          </cell>
          <cell r="B104" t="str">
            <v>FB016</v>
          </cell>
          <cell r="C104" t="str">
            <v>CC</v>
          </cell>
          <cell r="D104" t="str">
            <v>NO</v>
          </cell>
          <cell r="E104" t="str">
            <v>ELIMINADOS NO REG</v>
          </cell>
          <cell r="F104" t="str">
            <v>Miercoles</v>
          </cell>
          <cell r="G104"/>
          <cell r="H104"/>
          <cell r="I104"/>
          <cell r="J104"/>
          <cell r="K104"/>
          <cell r="L104"/>
          <cell r="M104"/>
          <cell r="N104" t="str">
            <v>IV</v>
          </cell>
          <cell r="O104" t="str">
            <v>Categoría IV</v>
          </cell>
          <cell r="P104" t="str">
            <v>Bioestimulante</v>
          </cell>
          <cell r="Q104"/>
          <cell r="R104" t="str">
            <v>-</v>
          </cell>
          <cell r="S104"/>
        </row>
        <row r="105">
          <cell r="A105" t="str">
            <v>CODAVIT</v>
          </cell>
          <cell r="B105" t="str">
            <v>FB018</v>
          </cell>
          <cell r="C105" t="str">
            <v>CC</v>
          </cell>
          <cell r="D105" t="str">
            <v>NO</v>
          </cell>
          <cell r="E105" t="str">
            <v>ACTIVOS NO REG</v>
          </cell>
          <cell r="F105" t="str">
            <v>Miercoles</v>
          </cell>
          <cell r="G105"/>
          <cell r="H105"/>
          <cell r="I105"/>
          <cell r="J105"/>
          <cell r="K105"/>
          <cell r="L105"/>
          <cell r="M105"/>
          <cell r="N105" t="str">
            <v>IV</v>
          </cell>
          <cell r="O105" t="str">
            <v>Categoría IV</v>
          </cell>
          <cell r="P105" t="str">
            <v>Bioestimulante</v>
          </cell>
          <cell r="Q105"/>
          <cell r="R105" t="str">
            <v>-</v>
          </cell>
        </row>
        <row r="106">
          <cell r="A106" t="str">
            <v>CONFIDOR 350 SC</v>
          </cell>
          <cell r="B106" t="str">
            <v>PI100</v>
          </cell>
          <cell r="C106" t="str">
            <v>CC</v>
          </cell>
          <cell r="D106" t="str">
            <v>NO</v>
          </cell>
          <cell r="E106" t="str">
            <v>ACTIVOS NO REG</v>
          </cell>
          <cell r="F106" t="str">
            <v>Lunes</v>
          </cell>
          <cell r="G106">
            <v>6</v>
          </cell>
          <cell r="H106">
            <v>12</v>
          </cell>
          <cell r="I106" t="str">
            <v>Pulgón</v>
          </cell>
          <cell r="J106" t="str">
            <v>Mosca Blanca</v>
          </cell>
          <cell r="K106">
            <v>0</v>
          </cell>
          <cell r="L106">
            <v>0</v>
          </cell>
          <cell r="M106" t="str">
            <v>Imidacloprid</v>
          </cell>
          <cell r="N106" t="str">
            <v>II</v>
          </cell>
          <cell r="O106" t="str">
            <v>Moderadamente Peligrosos II</v>
          </cell>
          <cell r="P106" t="str">
            <v>Insecticida</v>
          </cell>
          <cell r="Q106" t="str">
            <v>SI</v>
          </cell>
          <cell r="R106" t="str">
            <v>-</v>
          </cell>
        </row>
        <row r="107">
          <cell r="A107" t="str">
            <v>Consento</v>
          </cell>
          <cell r="B107" t="str">
            <v>PF152</v>
          </cell>
          <cell r="C107" t="str">
            <v>CC</v>
          </cell>
          <cell r="D107" t="str">
            <v>NO</v>
          </cell>
          <cell r="E107" t="str">
            <v>ACTIVOS REG</v>
          </cell>
          <cell r="F107" t="str">
            <v>Viernes</v>
          </cell>
          <cell r="G107"/>
          <cell r="H107"/>
          <cell r="I107"/>
          <cell r="J107"/>
          <cell r="K107"/>
          <cell r="L107"/>
          <cell r="M107" t="str">
            <v>FENAMIDONE PROPAMOCARB</v>
          </cell>
          <cell r="N107" t="str">
            <v>II</v>
          </cell>
          <cell r="O107" t="str">
            <v>Moderadamente Peligrosos II</v>
          </cell>
          <cell r="P107" t="str">
            <v>Fungicida</v>
          </cell>
          <cell r="Q107" t="str">
            <v>SI</v>
          </cell>
          <cell r="R107">
            <v>1.3</v>
          </cell>
          <cell r="S107"/>
        </row>
        <row r="108">
          <cell r="A108" t="str">
            <v>COSMO AGUAS</v>
          </cell>
          <cell r="B108" t="str">
            <v>PJ003</v>
          </cell>
          <cell r="C108" t="str">
            <v>GR</v>
          </cell>
          <cell r="D108" t="str">
            <v>NO</v>
          </cell>
          <cell r="E108" t="str">
            <v>ACTIVOS NO REG</v>
          </cell>
          <cell r="F108" t="str">
            <v>Miercoles</v>
          </cell>
          <cell r="G108"/>
          <cell r="H108"/>
          <cell r="I108" t="str">
            <v>Mejora la calidad del agua</v>
          </cell>
          <cell r="J108">
            <v>0</v>
          </cell>
          <cell r="K108">
            <v>0</v>
          </cell>
          <cell r="L108">
            <v>0</v>
          </cell>
          <cell r="M108" t="str">
            <v>CITRATOS, EDETATOS QUELATANTES</v>
          </cell>
          <cell r="N108" t="str">
            <v>IV</v>
          </cell>
          <cell r="O108" t="str">
            <v>Categoría IV</v>
          </cell>
          <cell r="P108" t="str">
            <v>Coadyuvante</v>
          </cell>
          <cell r="Q108" t="str">
            <v>NO HAY</v>
          </cell>
          <cell r="R108" t="str">
            <v>-</v>
          </cell>
          <cell r="S108"/>
        </row>
        <row r="109">
          <cell r="A109" t="str">
            <v>CUADRIS</v>
          </cell>
          <cell r="B109" t="str">
            <v>PF150</v>
          </cell>
          <cell r="C109" t="str">
            <v>GR</v>
          </cell>
          <cell r="D109" t="str">
            <v>NO</v>
          </cell>
          <cell r="E109" t="str">
            <v>ACTIVOS NO REG</v>
          </cell>
          <cell r="F109" t="str">
            <v>Viernes</v>
          </cell>
          <cell r="G109"/>
          <cell r="H109"/>
          <cell r="I109"/>
          <cell r="J109"/>
          <cell r="K109"/>
          <cell r="L109"/>
          <cell r="M109" t="str">
            <v>AZOXYSTROBINA</v>
          </cell>
          <cell r="N109" t="str">
            <v>IV</v>
          </cell>
          <cell r="O109" t="str">
            <v>Categoría IV</v>
          </cell>
          <cell r="P109" t="str">
            <v>Fungicida</v>
          </cell>
          <cell r="Q109" t="str">
            <v>SI</v>
          </cell>
          <cell r="R109" t="str">
            <v>-</v>
          </cell>
          <cell r="S109"/>
        </row>
        <row r="110">
          <cell r="A110" t="str">
            <v>CUPROFIX</v>
          </cell>
          <cell r="B110" t="str">
            <v>PF132</v>
          </cell>
          <cell r="C110" t="str">
            <v>GR</v>
          </cell>
          <cell r="D110" t="str">
            <v>NO</v>
          </cell>
          <cell r="E110" t="str">
            <v>ACTIVOS NO REG</v>
          </cell>
          <cell r="F110" t="str">
            <v>Viernes</v>
          </cell>
          <cell r="G110">
            <v>7</v>
          </cell>
          <cell r="H110">
            <v>4</v>
          </cell>
          <cell r="I110" t="str">
            <v>Peronóspora</v>
          </cell>
          <cell r="J110">
            <v>0</v>
          </cell>
          <cell r="K110">
            <v>0</v>
          </cell>
          <cell r="L110">
            <v>0</v>
          </cell>
          <cell r="M110" t="str">
            <v>Mancozeb + caldo bordeles</v>
          </cell>
          <cell r="N110" t="str">
            <v>IV</v>
          </cell>
          <cell r="O110" t="str">
            <v>Categoría IV</v>
          </cell>
          <cell r="P110" t="str">
            <v>Fungicida</v>
          </cell>
          <cell r="Q110" t="str">
            <v>SI</v>
          </cell>
          <cell r="R110" t="str">
            <v>-</v>
          </cell>
          <cell r="S110"/>
        </row>
        <row r="111">
          <cell r="A111" t="str">
            <v>CYMOTHANE</v>
          </cell>
          <cell r="B111" t="str">
            <v>PF157</v>
          </cell>
          <cell r="C111" t="str">
            <v>GR</v>
          </cell>
          <cell r="D111" t="str">
            <v>NO</v>
          </cell>
          <cell r="E111" t="str">
            <v>ACTIVOS NO REG</v>
          </cell>
          <cell r="F111" t="str">
            <v>Viernes</v>
          </cell>
          <cell r="G111">
            <v>6</v>
          </cell>
          <cell r="H111"/>
          <cell r="I111" t="str">
            <v>Oidium</v>
          </cell>
          <cell r="J111">
            <v>0</v>
          </cell>
          <cell r="K111">
            <v>0</v>
          </cell>
          <cell r="L111">
            <v>0</v>
          </cell>
          <cell r="M111" t="str">
            <v>Mancozeb + Benalaxyl</v>
          </cell>
          <cell r="N111" t="str">
            <v>IV</v>
          </cell>
          <cell r="O111" t="str">
            <v>Categoría IV</v>
          </cell>
          <cell r="P111" t="str">
            <v>Fungicida</v>
          </cell>
          <cell r="Q111" t="str">
            <v>SI</v>
          </cell>
          <cell r="R111" t="str">
            <v>-</v>
          </cell>
          <cell r="S111"/>
        </row>
        <row r="112">
          <cell r="A112" t="str">
            <v>CYROMAZINE</v>
          </cell>
          <cell r="B112" t="str">
            <v>PI067</v>
          </cell>
          <cell r="C112" t="str">
            <v>GR</v>
          </cell>
          <cell r="D112" t="str">
            <v>NO</v>
          </cell>
          <cell r="E112" t="str">
            <v>ACTIVOS REG</v>
          </cell>
          <cell r="F112" t="str">
            <v>Lunes</v>
          </cell>
          <cell r="G112">
            <v>7</v>
          </cell>
          <cell r="H112">
            <v>4</v>
          </cell>
          <cell r="I112" t="str">
            <v>Minador</v>
          </cell>
          <cell r="J112">
            <v>0</v>
          </cell>
          <cell r="K112">
            <v>0</v>
          </cell>
          <cell r="L112">
            <v>0</v>
          </cell>
          <cell r="M112" t="str">
            <v>Cyromazine</v>
          </cell>
          <cell r="N112" t="str">
            <v>IV</v>
          </cell>
          <cell r="O112" t="str">
            <v>Categoría IV</v>
          </cell>
          <cell r="P112" t="str">
            <v>Insecticida</v>
          </cell>
          <cell r="Q112" t="str">
            <v>SI</v>
          </cell>
          <cell r="R112" t="str">
            <v>-</v>
          </cell>
          <cell r="S112"/>
        </row>
        <row r="113">
          <cell r="A113" t="str">
            <v>DACONIL 2787 75% POLVO</v>
          </cell>
          <cell r="B113" t="str">
            <v>PF009</v>
          </cell>
          <cell r="C113" t="str">
            <v>GR</v>
          </cell>
          <cell r="D113" t="str">
            <v>NO</v>
          </cell>
          <cell r="E113" t="str">
            <v>ACTIVOS NO REG</v>
          </cell>
          <cell r="F113" t="str">
            <v>Viernes</v>
          </cell>
          <cell r="G113">
            <v>7</v>
          </cell>
          <cell r="H113">
            <v>4</v>
          </cell>
          <cell r="I113" t="str">
            <v>Amplio Espectro</v>
          </cell>
          <cell r="J113">
            <v>0</v>
          </cell>
          <cell r="K113">
            <v>0</v>
          </cell>
          <cell r="L113">
            <v>0</v>
          </cell>
          <cell r="M113" t="str">
            <v>Clorotalonil</v>
          </cell>
          <cell r="N113" t="str">
            <v>IV</v>
          </cell>
          <cell r="O113" t="str">
            <v>Categoría IV</v>
          </cell>
          <cell r="P113" t="str">
            <v>Fungicida</v>
          </cell>
          <cell r="Q113" t="str">
            <v>SI</v>
          </cell>
          <cell r="R113" t="str">
            <v>-</v>
          </cell>
          <cell r="S113"/>
        </row>
        <row r="114">
          <cell r="A114" t="str">
            <v>DACONIL LIQUIDO</v>
          </cell>
          <cell r="B114" t="str">
            <v>PF032</v>
          </cell>
          <cell r="C114" t="str">
            <v>CC</v>
          </cell>
          <cell r="D114" t="str">
            <v>SI</v>
          </cell>
          <cell r="E114" t="str">
            <v>ACTIVOS REG</v>
          </cell>
          <cell r="F114" t="str">
            <v>Viernes</v>
          </cell>
          <cell r="G114">
            <v>7</v>
          </cell>
          <cell r="H114">
            <v>4</v>
          </cell>
          <cell r="I114" t="str">
            <v>Amplio Espectro</v>
          </cell>
          <cell r="J114">
            <v>0</v>
          </cell>
          <cell r="K114">
            <v>0</v>
          </cell>
          <cell r="L114">
            <v>0</v>
          </cell>
          <cell r="M114" t="str">
            <v>Clorotalonil</v>
          </cell>
          <cell r="N114" t="str">
            <v>IV</v>
          </cell>
          <cell r="O114" t="str">
            <v>Categoría IV</v>
          </cell>
          <cell r="P114" t="str">
            <v>Fungicida</v>
          </cell>
          <cell r="Q114" t="str">
            <v>SI</v>
          </cell>
          <cell r="R114">
            <v>1.4</v>
          </cell>
        </row>
        <row r="115">
          <cell r="A115" t="str">
            <v>DANITOL 10 CE</v>
          </cell>
          <cell r="B115" t="str">
            <v>PI105</v>
          </cell>
          <cell r="C115" t="str">
            <v>CC</v>
          </cell>
          <cell r="D115" t="str">
            <v>NO</v>
          </cell>
          <cell r="E115" t="str">
            <v>ACTIVOS NO REG</v>
          </cell>
          <cell r="F115" t="str">
            <v>Lunes</v>
          </cell>
          <cell r="G115"/>
          <cell r="H115"/>
          <cell r="I115" t="str">
            <v>ACAROS</v>
          </cell>
          <cell r="J115"/>
          <cell r="K115"/>
          <cell r="L115"/>
          <cell r="M115" t="str">
            <v>FENPROPATRHIM</v>
          </cell>
          <cell r="N115" t="str">
            <v>II</v>
          </cell>
          <cell r="O115" t="str">
            <v>Moderadamente Peligrosos II</v>
          </cell>
          <cell r="P115" t="str">
            <v>Insecticida</v>
          </cell>
          <cell r="Q115" t="str">
            <v>SI</v>
          </cell>
          <cell r="R115" t="str">
            <v>-</v>
          </cell>
          <cell r="S115"/>
        </row>
        <row r="116">
          <cell r="A116" t="str">
            <v>Decis</v>
          </cell>
          <cell r="B116" t="str">
            <v>PI009</v>
          </cell>
          <cell r="C116" t="str">
            <v>CC</v>
          </cell>
          <cell r="D116" t="str">
            <v>NO</v>
          </cell>
          <cell r="E116" t="str">
            <v>ACTIVOS REG</v>
          </cell>
          <cell r="F116" t="str">
            <v>Lunes</v>
          </cell>
          <cell r="G116">
            <v>5.5</v>
          </cell>
          <cell r="H116">
            <v>8</v>
          </cell>
          <cell r="I116" t="str">
            <v>Diabrotica</v>
          </cell>
          <cell r="J116" t="str">
            <v>Trozador</v>
          </cell>
          <cell r="K116" t="str">
            <v>Mosca Blanca</v>
          </cell>
          <cell r="L116">
            <v>0</v>
          </cell>
          <cell r="M116" t="str">
            <v>Deltamethrin</v>
          </cell>
          <cell r="N116" t="str">
            <v>III</v>
          </cell>
          <cell r="O116" t="str">
            <v>Ligeramente Peligrosos III</v>
          </cell>
          <cell r="P116" t="str">
            <v>Insecticida</v>
          </cell>
          <cell r="Q116" t="str">
            <v>SI</v>
          </cell>
          <cell r="R116" t="str">
            <v>-</v>
          </cell>
          <cell r="S116"/>
        </row>
        <row r="117">
          <cell r="A117" t="str">
            <v>DELFAN</v>
          </cell>
          <cell r="B117" t="str">
            <v>FB088</v>
          </cell>
          <cell r="C117" t="str">
            <v>CC</v>
          </cell>
          <cell r="D117" t="str">
            <v>SI</v>
          </cell>
          <cell r="E117" t="str">
            <v>ACTIVOS REG</v>
          </cell>
          <cell r="F117" t="str">
            <v>Miercoles</v>
          </cell>
          <cell r="G117" t="str">
            <v xml:space="preserve"> ---</v>
          </cell>
          <cell r="H117" t="str">
            <v xml:space="preserve"> ---</v>
          </cell>
          <cell r="I117" t="str">
            <v xml:space="preserve">Bioestimulante </v>
          </cell>
          <cell r="J117">
            <v>0</v>
          </cell>
          <cell r="K117">
            <v>0</v>
          </cell>
          <cell r="L117">
            <v>0</v>
          </cell>
          <cell r="M117"/>
          <cell r="N117" t="str">
            <v>IV</v>
          </cell>
          <cell r="O117" t="str">
            <v>Categoría IV</v>
          </cell>
          <cell r="P117" t="str">
            <v>Bioestimulante</v>
          </cell>
          <cell r="Q117"/>
          <cell r="R117">
            <v>1</v>
          </cell>
          <cell r="S117"/>
        </row>
        <row r="118">
          <cell r="A118" t="str">
            <v>DEPREDADOR</v>
          </cell>
          <cell r="B118" t="str">
            <v>PI141</v>
          </cell>
          <cell r="C118" t="str">
            <v>GR</v>
          </cell>
          <cell r="D118" t="str">
            <v>SI</v>
          </cell>
          <cell r="E118" t="str">
            <v>ACTIVOS REG</v>
          </cell>
          <cell r="F118" t="str">
            <v>Lunes</v>
          </cell>
          <cell r="G118">
            <v>6</v>
          </cell>
          <cell r="H118">
            <v>12</v>
          </cell>
          <cell r="I118" t="str">
            <v>Minador</v>
          </cell>
          <cell r="J118">
            <v>0</v>
          </cell>
          <cell r="K118">
            <v>0</v>
          </cell>
          <cell r="L118">
            <v>0</v>
          </cell>
          <cell r="M118" t="str">
            <v>Cartap</v>
          </cell>
          <cell r="N118" t="str">
            <v>II</v>
          </cell>
          <cell r="O118" t="str">
            <v>Moderadamente Peligrosos II</v>
          </cell>
          <cell r="P118" t="str">
            <v>Insecticida</v>
          </cell>
          <cell r="Q118" t="str">
            <v>SI</v>
          </cell>
          <cell r="R118">
            <v>1.5</v>
          </cell>
          <cell r="S118"/>
        </row>
        <row r="119">
          <cell r="A119" t="str">
            <v>DIFECOLAC</v>
          </cell>
          <cell r="B119" t="str">
            <v>PF173</v>
          </cell>
          <cell r="C119" t="str">
            <v>CC</v>
          </cell>
          <cell r="D119" t="str">
            <v>NO</v>
          </cell>
          <cell r="E119" t="str">
            <v>ELIMINADOS REG</v>
          </cell>
          <cell r="F119" t="str">
            <v>Viernes</v>
          </cell>
          <cell r="G119"/>
          <cell r="H119"/>
          <cell r="I119"/>
          <cell r="J119"/>
          <cell r="K119"/>
          <cell r="L119"/>
          <cell r="M119" t="str">
            <v>Difenoconazol</v>
          </cell>
          <cell r="N119" t="str">
            <v>III</v>
          </cell>
          <cell r="O119" t="str">
            <v>Ligeramente Peligrosos III</v>
          </cell>
          <cell r="P119" t="str">
            <v>Fungicida</v>
          </cell>
          <cell r="Q119" t="str">
            <v>SI</v>
          </cell>
          <cell r="R119" t="str">
            <v>-</v>
          </cell>
          <cell r="S119"/>
        </row>
        <row r="120">
          <cell r="A120" t="str">
            <v>Dithane</v>
          </cell>
          <cell r="B120" t="str">
            <v>PF011</v>
          </cell>
          <cell r="C120" t="str">
            <v>CC</v>
          </cell>
          <cell r="D120" t="str">
            <v>NO</v>
          </cell>
          <cell r="E120" t="str">
            <v>ACTIVOS REG</v>
          </cell>
          <cell r="F120" t="str">
            <v>Viernes</v>
          </cell>
          <cell r="G120" t="str">
            <v>6.0-7.0</v>
          </cell>
          <cell r="H120">
            <v>4</v>
          </cell>
          <cell r="I120" t="str">
            <v>Peronóspora</v>
          </cell>
          <cell r="J120" t="str">
            <v>Alternaria</v>
          </cell>
          <cell r="K120" t="str">
            <v>Phytophthora</v>
          </cell>
          <cell r="L120" t="str">
            <v>Botrytis</v>
          </cell>
          <cell r="M120" t="str">
            <v>Mancozeb</v>
          </cell>
          <cell r="N120" t="str">
            <v>IV</v>
          </cell>
          <cell r="O120" t="str">
            <v>Categoría IV</v>
          </cell>
          <cell r="P120" t="str">
            <v>Fungicida</v>
          </cell>
          <cell r="Q120" t="str">
            <v>SI</v>
          </cell>
          <cell r="R120">
            <v>2</v>
          </cell>
          <cell r="S120"/>
        </row>
        <row r="121">
          <cell r="A121" t="str">
            <v>DOMARK</v>
          </cell>
          <cell r="B121" t="str">
            <v>PF113</v>
          </cell>
          <cell r="C121" t="str">
            <v>CC</v>
          </cell>
          <cell r="D121" t="str">
            <v>NO</v>
          </cell>
          <cell r="E121" t="str">
            <v>ACTIVOS NO REG</v>
          </cell>
          <cell r="F121" t="str">
            <v>Viernes</v>
          </cell>
          <cell r="G121" t="str">
            <v>5.0-6.0</v>
          </cell>
          <cell r="H121">
            <v>2</v>
          </cell>
          <cell r="I121" t="str">
            <v>Oidio</v>
          </cell>
          <cell r="J121">
            <v>0</v>
          </cell>
          <cell r="K121">
            <v>0</v>
          </cell>
          <cell r="L121">
            <v>0</v>
          </cell>
          <cell r="M121" t="str">
            <v>Tetraconazole</v>
          </cell>
          <cell r="N121" t="str">
            <v>IV</v>
          </cell>
          <cell r="O121" t="str">
            <v>Categoría IV</v>
          </cell>
          <cell r="P121" t="str">
            <v>Fungicida</v>
          </cell>
          <cell r="Q121" t="str">
            <v>SI</v>
          </cell>
          <cell r="R121" t="str">
            <v>-</v>
          </cell>
          <cell r="S121"/>
        </row>
        <row r="122">
          <cell r="A122" t="str">
            <v>ECOABONAZA</v>
          </cell>
          <cell r="B122" t="str">
            <v>FA045</v>
          </cell>
          <cell r="C122" t="str">
            <v>KG</v>
          </cell>
          <cell r="D122" t="str">
            <v>NO</v>
          </cell>
          <cell r="E122" t="str">
            <v>ACTIVOS NO REG</v>
          </cell>
          <cell r="F122"/>
          <cell r="G122"/>
          <cell r="H122"/>
          <cell r="I122"/>
          <cell r="J122"/>
          <cell r="K122"/>
          <cell r="L122"/>
          <cell r="M122"/>
          <cell r="N122" t="str">
            <v>IV</v>
          </cell>
          <cell r="O122" t="str">
            <v>Categoría IV</v>
          </cell>
          <cell r="P122" t="str">
            <v>Fertilizante</v>
          </cell>
          <cell r="Q122"/>
          <cell r="R122" t="str">
            <v>-</v>
          </cell>
          <cell r="S122"/>
        </row>
        <row r="123">
          <cell r="A123" t="str">
            <v>Ecogrowing</v>
          </cell>
          <cell r="B123" t="str">
            <v>FB087</v>
          </cell>
          <cell r="C123" t="str">
            <v>CC</v>
          </cell>
          <cell r="D123" t="str">
            <v>NO</v>
          </cell>
          <cell r="E123" t="str">
            <v>ACTIVOS REG</v>
          </cell>
          <cell r="F123" t="str">
            <v>Miercoles</v>
          </cell>
          <cell r="G123"/>
          <cell r="H123"/>
          <cell r="I123"/>
          <cell r="J123"/>
          <cell r="K123"/>
          <cell r="L123"/>
          <cell r="M123"/>
          <cell r="N123" t="str">
            <v>IV</v>
          </cell>
          <cell r="O123" t="str">
            <v>Categoría IV</v>
          </cell>
          <cell r="P123" t="str">
            <v>Bioestimulante</v>
          </cell>
          <cell r="Q123"/>
          <cell r="R123" t="str">
            <v>-</v>
          </cell>
          <cell r="S123"/>
        </row>
        <row r="124">
          <cell r="A124" t="str">
            <v>ECUAFIX</v>
          </cell>
          <cell r="B124" t="str">
            <v>PJ001</v>
          </cell>
          <cell r="C124" t="str">
            <v>CC</v>
          </cell>
          <cell r="D124" t="str">
            <v>NO</v>
          </cell>
          <cell r="E124" t="str">
            <v>ACTIVOS NO REG</v>
          </cell>
          <cell r="F124" t="str">
            <v>Miercoles</v>
          </cell>
          <cell r="G124"/>
          <cell r="H124"/>
          <cell r="I124" t="str">
            <v>Se añade directamente sobre las mezclas</v>
          </cell>
          <cell r="J124"/>
          <cell r="K124"/>
          <cell r="L124"/>
          <cell r="M124"/>
          <cell r="N124" t="str">
            <v>IV</v>
          </cell>
          <cell r="O124" t="str">
            <v>Categoría IV</v>
          </cell>
          <cell r="P124" t="str">
            <v>Coadyuvante</v>
          </cell>
          <cell r="Q124" t="str">
            <v>NO HAY</v>
          </cell>
          <cell r="R124" t="str">
            <v>-</v>
          </cell>
          <cell r="S124"/>
        </row>
        <row r="125">
          <cell r="A125" t="str">
            <v>ENRAIZADOR</v>
          </cell>
          <cell r="B125" t="str">
            <v>FB028</v>
          </cell>
          <cell r="C125" t="str">
            <v>CC</v>
          </cell>
          <cell r="D125" t="str">
            <v>NO</v>
          </cell>
          <cell r="E125" t="str">
            <v>ACTIVOS NO REG</v>
          </cell>
          <cell r="F125" t="str">
            <v>Miercoles</v>
          </cell>
          <cell r="G125"/>
          <cell r="H125"/>
          <cell r="I125" t="str">
            <v>Promotor de crecimiento</v>
          </cell>
          <cell r="J125"/>
          <cell r="K125"/>
          <cell r="L125"/>
          <cell r="M125"/>
          <cell r="N125" t="str">
            <v>IV</v>
          </cell>
          <cell r="O125" t="str">
            <v>Categoría IV</v>
          </cell>
          <cell r="P125" t="str">
            <v>Bioestimulante</v>
          </cell>
          <cell r="Q125"/>
          <cell r="R125" t="str">
            <v>-</v>
          </cell>
          <cell r="S125"/>
        </row>
        <row r="126">
          <cell r="A126" t="str">
            <v>Epingle</v>
          </cell>
          <cell r="B126" t="str">
            <v>PI134</v>
          </cell>
          <cell r="C126" t="str">
            <v>CC</v>
          </cell>
          <cell r="D126" t="str">
            <v>NO</v>
          </cell>
          <cell r="E126" t="str">
            <v>ACTIVOS REG</v>
          </cell>
          <cell r="F126" t="str">
            <v>Lunes</v>
          </cell>
          <cell r="G126"/>
          <cell r="H126"/>
          <cell r="I126"/>
          <cell r="J126"/>
          <cell r="K126"/>
          <cell r="L126"/>
          <cell r="M126" t="str">
            <v>PYRIPROXYFEN</v>
          </cell>
          <cell r="N126" t="str">
            <v>IV</v>
          </cell>
          <cell r="O126" t="str">
            <v>Categoría IV</v>
          </cell>
          <cell r="P126" t="str">
            <v>Insecticida</v>
          </cell>
          <cell r="Q126" t="str">
            <v>SI</v>
          </cell>
          <cell r="R126" t="str">
            <v>-</v>
          </cell>
          <cell r="S126"/>
        </row>
        <row r="127">
          <cell r="A127" t="str">
            <v>ERGOSTIN</v>
          </cell>
          <cell r="B127" t="str">
            <v>FB001</v>
          </cell>
          <cell r="C127" t="str">
            <v>CC</v>
          </cell>
          <cell r="D127" t="str">
            <v>SI</v>
          </cell>
          <cell r="E127" t="str">
            <v>ACTIVOS REG</v>
          </cell>
          <cell r="F127" t="str">
            <v>Miercoles</v>
          </cell>
          <cell r="G127" t="str">
            <v xml:space="preserve"> ---</v>
          </cell>
          <cell r="H127">
            <v>0</v>
          </cell>
          <cell r="I127" t="str">
            <v>Bioestimulante</v>
          </cell>
          <cell r="J127">
            <v>0</v>
          </cell>
          <cell r="K127">
            <v>0</v>
          </cell>
          <cell r="L127">
            <v>0</v>
          </cell>
          <cell r="M127" t="str">
            <v>L-Cysteina, Acido Fólico</v>
          </cell>
          <cell r="N127" t="str">
            <v>IV</v>
          </cell>
          <cell r="O127" t="str">
            <v>Categoría IV</v>
          </cell>
          <cell r="P127" t="str">
            <v>Bioestimulante</v>
          </cell>
          <cell r="Q127"/>
          <cell r="R127" t="str">
            <v>-</v>
          </cell>
          <cell r="S127"/>
        </row>
        <row r="128">
          <cell r="A128" t="str">
            <v>ESTELAR 480 LS</v>
          </cell>
          <cell r="B128" t="str">
            <v>PH014</v>
          </cell>
          <cell r="C128" t="str">
            <v>CC</v>
          </cell>
          <cell r="D128" t="str">
            <v>NO</v>
          </cell>
          <cell r="E128" t="str">
            <v>ACTIVOS NO REG</v>
          </cell>
          <cell r="F128"/>
          <cell r="G128"/>
          <cell r="H128"/>
          <cell r="I128"/>
          <cell r="J128"/>
          <cell r="K128"/>
          <cell r="L128"/>
          <cell r="M128" t="str">
            <v>GLIFOSATO</v>
          </cell>
          <cell r="N128" t="str">
            <v>IV</v>
          </cell>
          <cell r="O128" t="str">
            <v>Categoría IV</v>
          </cell>
          <cell r="P128" t="str">
            <v>Herbicida</v>
          </cell>
          <cell r="Q128" t="str">
            <v>SI</v>
          </cell>
          <cell r="R128" t="str">
            <v>-</v>
          </cell>
          <cell r="S128"/>
        </row>
        <row r="129">
          <cell r="A129" t="str">
            <v>ETHOFIN</v>
          </cell>
          <cell r="B129" t="str">
            <v>PF144</v>
          </cell>
          <cell r="C129" t="str">
            <v>CC</v>
          </cell>
          <cell r="D129" t="str">
            <v>SI</v>
          </cell>
          <cell r="E129" t="str">
            <v>ACTIVOS REG</v>
          </cell>
          <cell r="F129" t="str">
            <v>Viernes</v>
          </cell>
          <cell r="G129">
            <v>7</v>
          </cell>
          <cell r="H129">
            <v>6</v>
          </cell>
          <cell r="I129" t="str">
            <v>Peronóspora</v>
          </cell>
          <cell r="J129">
            <v>0</v>
          </cell>
          <cell r="K129">
            <v>0</v>
          </cell>
          <cell r="L129">
            <v>0</v>
          </cell>
          <cell r="M129" t="str">
            <v>Ethaboxan</v>
          </cell>
          <cell r="N129" t="str">
            <v>III</v>
          </cell>
          <cell r="O129" t="str">
            <v>Ligeramente Peligrosos III</v>
          </cell>
          <cell r="P129" t="str">
            <v>Fungicida</v>
          </cell>
          <cell r="Q129" t="str">
            <v>SI</v>
          </cell>
          <cell r="R129">
            <v>1.2</v>
          </cell>
          <cell r="S129"/>
        </row>
        <row r="130">
          <cell r="A130" t="str">
            <v>EUPAREN M50% PM</v>
          </cell>
          <cell r="B130" t="str">
            <v>PF012</v>
          </cell>
          <cell r="C130" t="str">
            <v>GR</v>
          </cell>
          <cell r="D130" t="str">
            <v>NO</v>
          </cell>
          <cell r="E130" t="str">
            <v>ACTIVOS NO REG</v>
          </cell>
          <cell r="F130" t="str">
            <v>Viernes</v>
          </cell>
          <cell r="G130">
            <v>5</v>
          </cell>
          <cell r="H130"/>
          <cell r="I130" t="str">
            <v>Botrytis</v>
          </cell>
          <cell r="J130" t="str">
            <v>Peronóspora</v>
          </cell>
          <cell r="K130" t="str">
            <v>Roya</v>
          </cell>
          <cell r="L130"/>
          <cell r="M130" t="str">
            <v>TOLYFLUANID</v>
          </cell>
          <cell r="N130" t="str">
            <v>IV</v>
          </cell>
          <cell r="O130" t="str">
            <v>Categoría IV</v>
          </cell>
          <cell r="P130" t="str">
            <v>Fungicida</v>
          </cell>
          <cell r="Q130" t="str">
            <v>NO HAY</v>
          </cell>
          <cell r="R130" t="str">
            <v>-</v>
          </cell>
          <cell r="S130"/>
        </row>
        <row r="131">
          <cell r="A131" t="str">
            <v>EVERFLOR UNIVERSAL</v>
          </cell>
          <cell r="B131" t="str">
            <v>HB001</v>
          </cell>
          <cell r="C131" t="str">
            <v>LT</v>
          </cell>
          <cell r="D131" t="str">
            <v>NO</v>
          </cell>
          <cell r="E131" t="str">
            <v>ACTIVOS NO REG</v>
          </cell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 t="str">
            <v>Bactericidas</v>
          </cell>
          <cell r="Q131" t="str">
            <v>NO HAY</v>
          </cell>
          <cell r="R131" t="str">
            <v>-</v>
          </cell>
          <cell r="S131"/>
        </row>
        <row r="132">
          <cell r="A132" t="str">
            <v>Evisect</v>
          </cell>
          <cell r="B132" t="str">
            <v>PI013</v>
          </cell>
          <cell r="C132" t="str">
            <v>GR</v>
          </cell>
          <cell r="D132" t="str">
            <v>NO</v>
          </cell>
          <cell r="E132" t="str">
            <v>ELIMINADOS REG</v>
          </cell>
          <cell r="F132" t="str">
            <v>Lunes</v>
          </cell>
          <cell r="G132">
            <v>5</v>
          </cell>
          <cell r="H132">
            <v>8</v>
          </cell>
          <cell r="I132" t="str">
            <v>Trips</v>
          </cell>
          <cell r="J132">
            <v>0</v>
          </cell>
          <cell r="K132">
            <v>0</v>
          </cell>
          <cell r="L132">
            <v>0</v>
          </cell>
          <cell r="M132" t="str">
            <v>Tiociclam-hidrogenoxalato</v>
          </cell>
          <cell r="N132" t="str">
            <v>III</v>
          </cell>
          <cell r="O132" t="str">
            <v>Ligeramente Peligrosos III</v>
          </cell>
          <cell r="P132" t="str">
            <v>Insecticida</v>
          </cell>
          <cell r="Q132" t="str">
            <v>SI</v>
          </cell>
          <cell r="R132" t="str">
            <v>-</v>
          </cell>
          <cell r="S132"/>
        </row>
        <row r="133">
          <cell r="A133" t="str">
            <v>EXIT</v>
          </cell>
          <cell r="B133" t="str">
            <v>PJ004</v>
          </cell>
          <cell r="C133" t="str">
            <v>CC</v>
          </cell>
          <cell r="D133" t="str">
            <v>NO</v>
          </cell>
          <cell r="E133" t="str">
            <v>ACTIVOS NO REG</v>
          </cell>
          <cell r="F133" t="str">
            <v>Miercoles</v>
          </cell>
          <cell r="G133"/>
          <cell r="H133"/>
          <cell r="I133"/>
          <cell r="J133"/>
          <cell r="K133"/>
          <cell r="L133"/>
          <cell r="M133"/>
          <cell r="N133" t="str">
            <v>IV</v>
          </cell>
          <cell r="O133" t="str">
            <v>Categoría IV</v>
          </cell>
          <cell r="P133" t="str">
            <v>Coadyuvante</v>
          </cell>
          <cell r="Q133" t="str">
            <v>NO HAY</v>
          </cell>
          <cell r="R133" t="str">
            <v>-</v>
          </cell>
          <cell r="S133"/>
        </row>
        <row r="134">
          <cell r="A134" t="str">
            <v>EXOTHER TERMIL</v>
          </cell>
          <cell r="B134" t="str">
            <v>PF101</v>
          </cell>
          <cell r="C134" t="str">
            <v>GR</v>
          </cell>
          <cell r="D134" t="str">
            <v>NO</v>
          </cell>
          <cell r="E134" t="str">
            <v>ACTIVOS NO REG</v>
          </cell>
          <cell r="F134" t="str">
            <v>Viernes</v>
          </cell>
          <cell r="G134" t="str">
            <v xml:space="preserve"> ---</v>
          </cell>
          <cell r="H134">
            <v>8</v>
          </cell>
          <cell r="I134" t="str">
            <v>Desinfectante</v>
          </cell>
          <cell r="J134">
            <v>0</v>
          </cell>
          <cell r="K134">
            <v>0</v>
          </cell>
          <cell r="L134">
            <v>0</v>
          </cell>
          <cell r="M134" t="str">
            <v>Clorotalonil</v>
          </cell>
          <cell r="N134" t="str">
            <v>IV</v>
          </cell>
          <cell r="O134" t="str">
            <v>Categoría IV</v>
          </cell>
          <cell r="P134" t="str">
            <v>Fungicida</v>
          </cell>
          <cell r="Q134" t="str">
            <v>SI</v>
          </cell>
          <cell r="R134">
            <v>1</v>
          </cell>
          <cell r="S134"/>
        </row>
        <row r="135">
          <cell r="A135" t="str">
            <v>FEGADAZIM</v>
          </cell>
          <cell r="B135" t="str">
            <v>PF170</v>
          </cell>
          <cell r="C135" t="str">
            <v>CC</v>
          </cell>
          <cell r="D135" t="str">
            <v>SI</v>
          </cell>
          <cell r="E135" t="str">
            <v>ACTIVOS REG</v>
          </cell>
          <cell r="F135" t="str">
            <v>Viernes</v>
          </cell>
          <cell r="G135">
            <v>5</v>
          </cell>
          <cell r="H135">
            <v>2</v>
          </cell>
          <cell r="I135" t="str">
            <v>Botrytis</v>
          </cell>
          <cell r="J135"/>
          <cell r="K135"/>
          <cell r="L135"/>
          <cell r="M135" t="str">
            <v>CARBENDAZIM</v>
          </cell>
          <cell r="N135" t="str">
            <v>IV</v>
          </cell>
          <cell r="O135" t="str">
            <v>Categoría IV</v>
          </cell>
          <cell r="P135" t="str">
            <v>Fungicida</v>
          </cell>
          <cell r="Q135" t="str">
            <v>SI</v>
          </cell>
          <cell r="R135">
            <v>1</v>
          </cell>
        </row>
        <row r="136">
          <cell r="A136" t="str">
            <v>Fertifol</v>
          </cell>
          <cell r="B136" t="str">
            <v>FB083</v>
          </cell>
          <cell r="C136" t="str">
            <v>GR</v>
          </cell>
          <cell r="D136" t="str">
            <v>NO</v>
          </cell>
          <cell r="E136" t="str">
            <v>ACTIVOS REG</v>
          </cell>
          <cell r="F136" t="str">
            <v>Miercoles</v>
          </cell>
          <cell r="G136"/>
          <cell r="H136"/>
          <cell r="I136"/>
          <cell r="J136"/>
          <cell r="K136"/>
          <cell r="L136"/>
          <cell r="M136"/>
          <cell r="N136" t="str">
            <v>IV</v>
          </cell>
          <cell r="O136" t="str">
            <v>Categoría IV</v>
          </cell>
          <cell r="P136" t="str">
            <v>Bioestimulante</v>
          </cell>
          <cell r="Q136"/>
          <cell r="R136" t="str">
            <v>-</v>
          </cell>
          <cell r="S136"/>
        </row>
        <row r="137">
          <cell r="A137" t="str">
            <v>FIJAROEL</v>
          </cell>
          <cell r="B137" t="str">
            <v>PJ005</v>
          </cell>
          <cell r="C137" t="str">
            <v>CC</v>
          </cell>
          <cell r="D137" t="str">
            <v>NO</v>
          </cell>
          <cell r="E137" t="str">
            <v>ACTIVOS NO REG</v>
          </cell>
          <cell r="F137" t="str">
            <v>Miercoles</v>
          </cell>
          <cell r="G137" t="str">
            <v xml:space="preserve"> ---</v>
          </cell>
          <cell r="H137">
            <v>2</v>
          </cell>
          <cell r="I137" t="str">
            <v>Fijadores, dispersantes</v>
          </cell>
          <cell r="J137">
            <v>0</v>
          </cell>
          <cell r="K137">
            <v>0</v>
          </cell>
          <cell r="L137">
            <v>0</v>
          </cell>
          <cell r="M137" t="str">
            <v>Etoxilato de Alquifenol no ionico</v>
          </cell>
          <cell r="N137" t="str">
            <v>IV</v>
          </cell>
          <cell r="O137" t="str">
            <v>Categoría IV</v>
          </cell>
          <cell r="P137" t="str">
            <v>Coadyuvante</v>
          </cell>
          <cell r="Q137" t="str">
            <v>NO HAY</v>
          </cell>
          <cell r="R137" t="str">
            <v>-</v>
          </cell>
          <cell r="S137"/>
        </row>
        <row r="138">
          <cell r="A138" t="str">
            <v>Fitoraz</v>
          </cell>
          <cell r="B138" t="str">
            <v>PF058</v>
          </cell>
          <cell r="C138" t="str">
            <v>GR</v>
          </cell>
          <cell r="D138" t="str">
            <v>NO</v>
          </cell>
          <cell r="E138" t="str">
            <v>ACTIVOS REG</v>
          </cell>
          <cell r="F138" t="str">
            <v>Viernes</v>
          </cell>
          <cell r="G138">
            <v>5.5</v>
          </cell>
          <cell r="H138">
            <v>6</v>
          </cell>
          <cell r="I138" t="str">
            <v>Peronóspora</v>
          </cell>
          <cell r="J138">
            <v>0</v>
          </cell>
          <cell r="K138">
            <v>0</v>
          </cell>
          <cell r="L138">
            <v>0</v>
          </cell>
          <cell r="M138" t="str">
            <v>Propineb + cimoxanil</v>
          </cell>
          <cell r="N138" t="str">
            <v>III</v>
          </cell>
          <cell r="O138" t="str">
            <v>Ligeramente Peligrosos III</v>
          </cell>
          <cell r="P138" t="str">
            <v>Fungicida</v>
          </cell>
          <cell r="Q138" t="str">
            <v>SI</v>
          </cell>
          <cell r="R138">
            <v>2</v>
          </cell>
          <cell r="S138"/>
        </row>
        <row r="139">
          <cell r="A139" t="str">
            <v>FLORAMITE</v>
          </cell>
          <cell r="B139" t="str">
            <v>PI117</v>
          </cell>
          <cell r="C139" t="str">
            <v>CC</v>
          </cell>
          <cell r="D139" t="str">
            <v>NO</v>
          </cell>
          <cell r="E139" t="str">
            <v>ACTIVOS NO REG</v>
          </cell>
          <cell r="F139" t="str">
            <v>Lunes</v>
          </cell>
          <cell r="G139" t="str">
            <v>4.5-7.5</v>
          </cell>
          <cell r="H139">
            <v>4</v>
          </cell>
          <cell r="I139" t="str">
            <v>Acaros</v>
          </cell>
          <cell r="J139">
            <v>0</v>
          </cell>
          <cell r="K139">
            <v>0</v>
          </cell>
          <cell r="L139">
            <v>0</v>
          </cell>
          <cell r="M139" t="str">
            <v>Bifenazate</v>
          </cell>
          <cell r="N139" t="str">
            <v>III</v>
          </cell>
          <cell r="O139" t="str">
            <v>Ligeramente Peligrosos III</v>
          </cell>
          <cell r="P139" t="str">
            <v>Insecticida</v>
          </cell>
          <cell r="Q139" t="str">
            <v>SI</v>
          </cell>
          <cell r="R139" t="str">
            <v>-</v>
          </cell>
          <cell r="S139"/>
        </row>
        <row r="140">
          <cell r="A140" t="str">
            <v>FLORECID</v>
          </cell>
          <cell r="B140" t="str">
            <v>PF130</v>
          </cell>
          <cell r="C140" t="str">
            <v>CC</v>
          </cell>
          <cell r="D140" t="str">
            <v>SI</v>
          </cell>
          <cell r="E140" t="str">
            <v>ACTIVOS NO REG</v>
          </cell>
          <cell r="F140" t="str">
            <v>Viernes</v>
          </cell>
          <cell r="G140"/>
          <cell r="H140"/>
          <cell r="I140"/>
          <cell r="J140"/>
          <cell r="K140"/>
          <cell r="L140"/>
          <cell r="M140"/>
          <cell r="N140" t="str">
            <v>IV</v>
          </cell>
          <cell r="O140" t="str">
            <v>Categoría IV</v>
          </cell>
          <cell r="P140" t="str">
            <v>Fungicida</v>
          </cell>
          <cell r="Q140" t="str">
            <v>NO HAY</v>
          </cell>
          <cell r="R140">
            <v>0.12</v>
          </cell>
          <cell r="S140"/>
        </row>
        <row r="141">
          <cell r="A141" t="str">
            <v>FLORONE</v>
          </cell>
          <cell r="B141" t="str">
            <v>FB065</v>
          </cell>
          <cell r="C141" t="str">
            <v>CC</v>
          </cell>
          <cell r="D141" t="str">
            <v>NO</v>
          </cell>
          <cell r="E141" t="str">
            <v>ACTIVOS NO REG</v>
          </cell>
          <cell r="F141" t="str">
            <v>Miercoles</v>
          </cell>
          <cell r="G141"/>
          <cell r="H141"/>
          <cell r="I141"/>
          <cell r="J141"/>
          <cell r="K141"/>
          <cell r="L141"/>
          <cell r="M141"/>
          <cell r="N141" t="str">
            <v>IV</v>
          </cell>
          <cell r="O141" t="str">
            <v>Categoría IV</v>
          </cell>
          <cell r="P141" t="str">
            <v>Bioestimulante</v>
          </cell>
          <cell r="Q141"/>
          <cell r="R141" t="str">
            <v>-</v>
          </cell>
          <cell r="S141"/>
        </row>
        <row r="142">
          <cell r="A142" t="str">
            <v>FLUMITE</v>
          </cell>
          <cell r="B142" t="str">
            <v>PI110</v>
          </cell>
          <cell r="C142" t="str">
            <v>CC</v>
          </cell>
          <cell r="D142" t="str">
            <v>NO</v>
          </cell>
          <cell r="E142" t="str">
            <v>ELIMINADOS NO REG</v>
          </cell>
          <cell r="F142" t="str">
            <v>Lunes</v>
          </cell>
          <cell r="G142" t="str">
            <v>5.0-7.0</v>
          </cell>
          <cell r="H142">
            <v>4</v>
          </cell>
          <cell r="I142" t="str">
            <v>Acaros</v>
          </cell>
          <cell r="J142">
            <v>0</v>
          </cell>
          <cell r="K142">
            <v>0</v>
          </cell>
          <cell r="L142">
            <v>0</v>
          </cell>
          <cell r="M142" t="str">
            <v>Flufenzine</v>
          </cell>
          <cell r="N142" t="str">
            <v>IV</v>
          </cell>
          <cell r="O142" t="str">
            <v>Categoría IV</v>
          </cell>
          <cell r="P142" t="str">
            <v>Insecticida</v>
          </cell>
          <cell r="Q142" t="str">
            <v>SI</v>
          </cell>
          <cell r="R142" t="str">
            <v>-</v>
          </cell>
          <cell r="S142"/>
        </row>
        <row r="143">
          <cell r="A143" t="str">
            <v>FOLICUR 250 EZ</v>
          </cell>
          <cell r="B143" t="str">
            <v>PF123</v>
          </cell>
          <cell r="C143" t="str">
            <v>CC</v>
          </cell>
          <cell r="D143" t="str">
            <v>NO</v>
          </cell>
          <cell r="E143" t="str">
            <v>ACTIVOS NO REG</v>
          </cell>
          <cell r="F143" t="str">
            <v>Viernes</v>
          </cell>
          <cell r="G143"/>
          <cell r="H143"/>
          <cell r="I143" t="str">
            <v>ROYA</v>
          </cell>
          <cell r="J143"/>
          <cell r="K143"/>
          <cell r="L143"/>
          <cell r="M143" t="str">
            <v>TEBUCONAZOLE</v>
          </cell>
          <cell r="N143" t="str">
            <v>III</v>
          </cell>
          <cell r="O143" t="str">
            <v>Ligeramente Peligrosos III</v>
          </cell>
          <cell r="P143" t="str">
            <v>Fungicida</v>
          </cell>
          <cell r="Q143" t="str">
            <v>SI</v>
          </cell>
          <cell r="R143" t="str">
            <v>-</v>
          </cell>
          <cell r="S143"/>
        </row>
        <row r="144">
          <cell r="A144" t="str">
            <v>Fongarid</v>
          </cell>
          <cell r="B144" t="str">
            <v>PF036</v>
          </cell>
          <cell r="C144" t="str">
            <v>GR</v>
          </cell>
          <cell r="D144" t="str">
            <v>SI</v>
          </cell>
          <cell r="E144" t="str">
            <v>ACTIVOS REG</v>
          </cell>
          <cell r="F144" t="str">
            <v>Viernes</v>
          </cell>
          <cell r="G144" t="str">
            <v>5.0-6.0</v>
          </cell>
          <cell r="H144">
            <v>4</v>
          </cell>
          <cell r="I144" t="str">
            <v>Peronóspora</v>
          </cell>
          <cell r="J144" t="str">
            <v>Oomycetos</v>
          </cell>
          <cell r="K144">
            <v>0</v>
          </cell>
          <cell r="L144">
            <v>0</v>
          </cell>
          <cell r="M144" t="str">
            <v>Furalaxil</v>
          </cell>
          <cell r="N144" t="str">
            <v>III</v>
          </cell>
          <cell r="O144" t="str">
            <v>Ligeramente Peligrosos III</v>
          </cell>
          <cell r="P144" t="str">
            <v>Fungicida</v>
          </cell>
          <cell r="Q144" t="str">
            <v>SI</v>
          </cell>
          <cell r="R144">
            <v>2</v>
          </cell>
          <cell r="S144"/>
        </row>
        <row r="145">
          <cell r="A145" t="str">
            <v>FORESYTE 38 SC</v>
          </cell>
          <cell r="B145" t="str">
            <v>PH006</v>
          </cell>
          <cell r="C145" t="str">
            <v>CC</v>
          </cell>
          <cell r="D145" t="str">
            <v>NO</v>
          </cell>
          <cell r="E145" t="str">
            <v>ACTIVOS NO REG</v>
          </cell>
          <cell r="F145"/>
          <cell r="G145"/>
          <cell r="H145"/>
          <cell r="I145"/>
          <cell r="J145"/>
          <cell r="K145"/>
          <cell r="L145"/>
          <cell r="M145" t="str">
            <v>OXADIAZON</v>
          </cell>
          <cell r="N145" t="str">
            <v>III</v>
          </cell>
          <cell r="O145" t="str">
            <v>Ligeramente Peligrosos III</v>
          </cell>
          <cell r="P145" t="str">
            <v>Herbicida</v>
          </cell>
          <cell r="Q145" t="str">
            <v>SI</v>
          </cell>
          <cell r="R145" t="str">
            <v>-</v>
          </cell>
        </row>
        <row r="146">
          <cell r="A146" t="str">
            <v>FORMOL</v>
          </cell>
          <cell r="B146" t="str">
            <v>PF084</v>
          </cell>
          <cell r="C146" t="str">
            <v>CC</v>
          </cell>
          <cell r="D146" t="str">
            <v>NO</v>
          </cell>
          <cell r="E146" t="str">
            <v>ACTIVOS NO REG</v>
          </cell>
          <cell r="F146" t="str">
            <v>Viernes</v>
          </cell>
          <cell r="G146"/>
          <cell r="H146"/>
          <cell r="I146"/>
          <cell r="J146"/>
          <cell r="K146"/>
          <cell r="L146"/>
          <cell r="M146"/>
          <cell r="N146"/>
          <cell r="O146"/>
          <cell r="P146" t="str">
            <v>Fungicida</v>
          </cell>
          <cell r="Q146" t="str">
            <v>NO HAY</v>
          </cell>
          <cell r="R146" t="str">
            <v>-</v>
          </cell>
        </row>
        <row r="147">
          <cell r="A147" t="str">
            <v>FORUM DMM</v>
          </cell>
          <cell r="B147" t="str">
            <v>PF121</v>
          </cell>
          <cell r="C147" t="str">
            <v>CC</v>
          </cell>
          <cell r="D147" t="str">
            <v>NO</v>
          </cell>
          <cell r="E147" t="str">
            <v>ACTIVOS NO REG</v>
          </cell>
          <cell r="F147" t="str">
            <v>Viernes</v>
          </cell>
          <cell r="G147" t="str">
            <v>5.0-7.5</v>
          </cell>
          <cell r="H147">
            <v>2</v>
          </cell>
          <cell r="I147" t="str">
            <v>Peronóspora</v>
          </cell>
          <cell r="J147">
            <v>0</v>
          </cell>
          <cell r="K147">
            <v>0</v>
          </cell>
          <cell r="L147">
            <v>0</v>
          </cell>
          <cell r="M147" t="str">
            <v>Dimetomorph</v>
          </cell>
          <cell r="N147" t="str">
            <v>IV</v>
          </cell>
          <cell r="O147" t="str">
            <v>Categoría IV</v>
          </cell>
          <cell r="P147" t="str">
            <v>Fungicida</v>
          </cell>
          <cell r="Q147" t="str">
            <v>SI</v>
          </cell>
          <cell r="R147" t="str">
            <v>-</v>
          </cell>
          <cell r="S147"/>
        </row>
        <row r="148">
          <cell r="A148" t="str">
            <v>FOSETIIC</v>
          </cell>
          <cell r="B148" t="str">
            <v>PF074</v>
          </cell>
          <cell r="C148" t="str">
            <v>GR</v>
          </cell>
          <cell r="D148" t="str">
            <v>NO</v>
          </cell>
          <cell r="E148" t="str">
            <v>ACTIVOS NO REG</v>
          </cell>
          <cell r="F148" t="str">
            <v>Viernes</v>
          </cell>
          <cell r="G148"/>
          <cell r="H148"/>
          <cell r="I148" t="str">
            <v>Peronóspora</v>
          </cell>
          <cell r="J148" t="str">
            <v>Phytophthora</v>
          </cell>
          <cell r="K148" t="str">
            <v>Phytium</v>
          </cell>
          <cell r="L148">
            <v>0</v>
          </cell>
          <cell r="M148" t="str">
            <v>Fosetyl alumimio</v>
          </cell>
          <cell r="N148" t="str">
            <v>IV</v>
          </cell>
          <cell r="O148" t="str">
            <v>Categoría IV</v>
          </cell>
          <cell r="P148" t="str">
            <v>Fungicida</v>
          </cell>
          <cell r="Q148" t="str">
            <v>SI</v>
          </cell>
          <cell r="R148" t="str">
            <v>-</v>
          </cell>
          <cell r="S148"/>
        </row>
        <row r="149">
          <cell r="A149" t="str">
            <v>FOSETYL ALUMINIO 80%</v>
          </cell>
          <cell r="B149" t="str">
            <v>PF127</v>
          </cell>
          <cell r="C149" t="str">
            <v>GR</v>
          </cell>
          <cell r="D149" t="str">
            <v>NO</v>
          </cell>
          <cell r="E149" t="str">
            <v>ACTIVOS REG</v>
          </cell>
          <cell r="F149" t="str">
            <v>Viernes</v>
          </cell>
          <cell r="G149">
            <v>5.5</v>
          </cell>
          <cell r="H149">
            <v>2</v>
          </cell>
          <cell r="I149" t="str">
            <v>Peronóspora</v>
          </cell>
          <cell r="J149">
            <v>0</v>
          </cell>
          <cell r="K149">
            <v>0</v>
          </cell>
          <cell r="L149">
            <v>0</v>
          </cell>
          <cell r="M149" t="str">
            <v>Fosetyl alumimio</v>
          </cell>
          <cell r="N149" t="str">
            <v>IV</v>
          </cell>
          <cell r="O149" t="str">
            <v>Categoría IV</v>
          </cell>
          <cell r="P149" t="str">
            <v>Fungicida</v>
          </cell>
          <cell r="Q149" t="str">
            <v>SI</v>
          </cell>
          <cell r="R149" t="str">
            <v>-</v>
          </cell>
          <cell r="S149"/>
        </row>
        <row r="150">
          <cell r="A150" t="str">
            <v>FOSFATO MONOAMONICO</v>
          </cell>
          <cell r="B150" t="str">
            <v>FA021</v>
          </cell>
          <cell r="C150" t="str">
            <v>KG</v>
          </cell>
          <cell r="D150" t="str">
            <v>NO</v>
          </cell>
          <cell r="E150" t="str">
            <v>ACTIVOS NO REG</v>
          </cell>
          <cell r="F150"/>
          <cell r="G150" t="str">
            <v xml:space="preserve"> ---</v>
          </cell>
          <cell r="H150">
            <v>0</v>
          </cell>
          <cell r="I150" t="str">
            <v>Fertilización</v>
          </cell>
          <cell r="J150">
            <v>0</v>
          </cell>
          <cell r="K150">
            <v>0</v>
          </cell>
          <cell r="L150">
            <v>0</v>
          </cell>
          <cell r="M150" t="str">
            <v>P2O5</v>
          </cell>
          <cell r="N150" t="str">
            <v>IV</v>
          </cell>
          <cell r="O150" t="str">
            <v>Categoría IV</v>
          </cell>
          <cell r="P150" t="str">
            <v>Fertilizante</v>
          </cell>
          <cell r="Q150"/>
          <cell r="R150" t="str">
            <v>-</v>
          </cell>
          <cell r="S150"/>
        </row>
        <row r="151">
          <cell r="A151" t="str">
            <v>FOSFATO MONOPOTASICO</v>
          </cell>
          <cell r="B151" t="str">
            <v>FA055</v>
          </cell>
          <cell r="C151" t="str">
            <v>KG</v>
          </cell>
          <cell r="D151" t="str">
            <v>SI</v>
          </cell>
          <cell r="E151" t="str">
            <v>ELIMINADOS REG</v>
          </cell>
          <cell r="F151"/>
          <cell r="G151"/>
          <cell r="H151"/>
          <cell r="I151"/>
          <cell r="J151"/>
          <cell r="K151"/>
          <cell r="L151"/>
          <cell r="M151"/>
          <cell r="N151" t="str">
            <v>IV</v>
          </cell>
          <cell r="O151" t="str">
            <v>Categoría IV</v>
          </cell>
          <cell r="P151" t="str">
            <v>Fertilizante</v>
          </cell>
          <cell r="Q151"/>
          <cell r="R151" t="str">
            <v>-</v>
          </cell>
          <cell r="S151"/>
        </row>
        <row r="152">
          <cell r="A152" t="str">
            <v>Fulminante</v>
          </cell>
          <cell r="B152" t="str">
            <v>PI137</v>
          </cell>
          <cell r="C152" t="str">
            <v>GR</v>
          </cell>
          <cell r="D152" t="str">
            <v>SI</v>
          </cell>
          <cell r="E152" t="str">
            <v>ACTIVOS REG</v>
          </cell>
          <cell r="F152" t="str">
            <v>Martes</v>
          </cell>
          <cell r="G152">
            <v>7</v>
          </cell>
          <cell r="H152">
            <v>4</v>
          </cell>
          <cell r="I152" t="str">
            <v>Minador</v>
          </cell>
          <cell r="J152">
            <v>0</v>
          </cell>
          <cell r="K152">
            <v>0</v>
          </cell>
          <cell r="L152">
            <v>0</v>
          </cell>
          <cell r="M152" t="str">
            <v>CIROMAZINA</v>
          </cell>
          <cell r="N152" t="str">
            <v>III</v>
          </cell>
          <cell r="O152" t="str">
            <v>Ligeramente Peligrosos III</v>
          </cell>
          <cell r="P152" t="str">
            <v>Insecticida</v>
          </cell>
          <cell r="Q152" t="str">
            <v>SI</v>
          </cell>
          <cell r="R152">
            <v>0.3</v>
          </cell>
          <cell r="S152"/>
        </row>
        <row r="153">
          <cell r="A153" t="str">
            <v>FUNGAFLOR 75 PS</v>
          </cell>
          <cell r="B153" t="str">
            <v>PF067</v>
          </cell>
          <cell r="C153" t="str">
            <v>CC</v>
          </cell>
          <cell r="D153" t="str">
            <v>NO</v>
          </cell>
          <cell r="E153" t="str">
            <v>ACTIVOS NO REG</v>
          </cell>
          <cell r="F153" t="str">
            <v>Viernes</v>
          </cell>
          <cell r="G153">
            <v>5.5</v>
          </cell>
          <cell r="H153"/>
          <cell r="I153" t="str">
            <v>Post Cosecha</v>
          </cell>
          <cell r="J153" t="str">
            <v>Fusarium</v>
          </cell>
          <cell r="K153" t="str">
            <v>Colletotrichum</v>
          </cell>
          <cell r="L153" t="str">
            <v>Verticillium</v>
          </cell>
          <cell r="M153" t="str">
            <v>IMAZALIL</v>
          </cell>
          <cell r="N153" t="str">
            <v>III</v>
          </cell>
          <cell r="O153" t="str">
            <v>Ligeramente Peligrosos III</v>
          </cell>
          <cell r="P153" t="str">
            <v>Fungicida</v>
          </cell>
          <cell r="Q153" t="str">
            <v>SI</v>
          </cell>
          <cell r="R153" t="str">
            <v>-</v>
          </cell>
        </row>
        <row r="154">
          <cell r="A154" t="str">
            <v>FUNGBACTER</v>
          </cell>
          <cell r="B154" t="str">
            <v>PF075</v>
          </cell>
          <cell r="C154" t="str">
            <v>CC</v>
          </cell>
          <cell r="D154" t="str">
            <v>NO</v>
          </cell>
          <cell r="E154" t="str">
            <v>ACTIVOS NO REG</v>
          </cell>
          <cell r="F154" t="str">
            <v>Viernes</v>
          </cell>
          <cell r="G154" t="str">
            <v>5.0-6.0</v>
          </cell>
          <cell r="H154">
            <v>2</v>
          </cell>
          <cell r="I154" t="str">
            <v>Peronóspora</v>
          </cell>
          <cell r="J154" t="str">
            <v>Oidium</v>
          </cell>
          <cell r="K154" t="str">
            <v>Phytophthora</v>
          </cell>
          <cell r="L154" t="str">
            <v>Botrytis</v>
          </cell>
          <cell r="M154" t="str">
            <v>Acido Sulfínico Hidroximetano Amonio Demetil Alquil Bencil</v>
          </cell>
          <cell r="N154" t="str">
            <v>IV</v>
          </cell>
          <cell r="O154" t="str">
            <v>Categoría IV</v>
          </cell>
          <cell r="P154" t="str">
            <v>Fungicida</v>
          </cell>
          <cell r="Q154" t="str">
            <v>SI</v>
          </cell>
          <cell r="R154" t="str">
            <v>-</v>
          </cell>
          <cell r="S154"/>
        </row>
        <row r="155">
          <cell r="A155" t="str">
            <v>FUNGI GOLD</v>
          </cell>
          <cell r="B155" t="str">
            <v>FB054</v>
          </cell>
          <cell r="C155" t="str">
            <v>GR</v>
          </cell>
          <cell r="D155" t="str">
            <v>NO</v>
          </cell>
          <cell r="E155" t="str">
            <v>ACTIVOS NO REG</v>
          </cell>
          <cell r="F155" t="str">
            <v>Miercoles</v>
          </cell>
          <cell r="G155"/>
          <cell r="H155"/>
          <cell r="I155"/>
          <cell r="J155"/>
          <cell r="K155"/>
          <cell r="L155"/>
          <cell r="M155"/>
          <cell r="N155" t="str">
            <v>IV</v>
          </cell>
          <cell r="O155" t="str">
            <v>Categoría IV</v>
          </cell>
          <cell r="P155" t="str">
            <v>Bioestimulante</v>
          </cell>
          <cell r="Q155"/>
          <cell r="R155" t="str">
            <v>-</v>
          </cell>
        </row>
        <row r="156">
          <cell r="A156" t="str">
            <v>FURADAN 10G POLVO</v>
          </cell>
          <cell r="B156" t="str">
            <v>PN002</v>
          </cell>
          <cell r="C156" t="str">
            <v>GR</v>
          </cell>
          <cell r="D156" t="str">
            <v>NO</v>
          </cell>
          <cell r="E156" t="str">
            <v>ACTIVOS NO REG</v>
          </cell>
          <cell r="F156"/>
          <cell r="G156"/>
          <cell r="H156"/>
          <cell r="I156"/>
          <cell r="J156"/>
          <cell r="K156"/>
          <cell r="L156"/>
          <cell r="M156" t="str">
            <v>Carbofuran</v>
          </cell>
          <cell r="N156" t="str">
            <v>I</v>
          </cell>
          <cell r="O156" t="str">
            <v>Extremadamente Peligrosos Ia</v>
          </cell>
          <cell r="P156" t="str">
            <v>Nematicida - Insecticida</v>
          </cell>
          <cell r="Q156" t="str">
            <v>NO HAY</v>
          </cell>
          <cell r="R156" t="str">
            <v>-</v>
          </cell>
          <cell r="S156"/>
        </row>
        <row r="157">
          <cell r="A157" t="str">
            <v>FURADAN 4F 48% LÍQUIDO</v>
          </cell>
          <cell r="B157" t="str">
            <v>PN001</v>
          </cell>
          <cell r="C157" t="str">
            <v>CC</v>
          </cell>
          <cell r="D157" t="str">
            <v>NO</v>
          </cell>
          <cell r="E157" t="str">
            <v>ACTIVOS NO REG</v>
          </cell>
          <cell r="F157"/>
          <cell r="G157">
            <v>5</v>
          </cell>
          <cell r="H157">
            <v>48</v>
          </cell>
          <cell r="I157" t="str">
            <v>Nematicida</v>
          </cell>
          <cell r="J157">
            <v>0</v>
          </cell>
          <cell r="K157">
            <v>0</v>
          </cell>
          <cell r="L157">
            <v>0</v>
          </cell>
          <cell r="M157" t="str">
            <v>Carbofuran</v>
          </cell>
          <cell r="N157" t="str">
            <v>I</v>
          </cell>
          <cell r="O157" t="str">
            <v>Extremadamente Peligrosos Ia</v>
          </cell>
          <cell r="P157" t="str">
            <v>Nematicida - Insecticida</v>
          </cell>
          <cell r="Q157" t="str">
            <v>NO HAY</v>
          </cell>
          <cell r="R157" t="str">
            <v>-</v>
          </cell>
          <cell r="S157"/>
        </row>
        <row r="158">
          <cell r="A158" t="str">
            <v>GALBEN</v>
          </cell>
          <cell r="B158" t="str">
            <v>FB029</v>
          </cell>
          <cell r="C158" t="str">
            <v>KG</v>
          </cell>
          <cell r="D158" t="str">
            <v>NO</v>
          </cell>
          <cell r="E158" t="str">
            <v>ACTIVOS NO REG</v>
          </cell>
          <cell r="F158" t="str">
            <v>Miercoles</v>
          </cell>
          <cell r="G158"/>
          <cell r="H158"/>
          <cell r="I158"/>
          <cell r="J158"/>
          <cell r="K158"/>
          <cell r="L158"/>
          <cell r="M158" t="str">
            <v>MANCOZEB + BENALAXYL</v>
          </cell>
          <cell r="N158" t="str">
            <v>III</v>
          </cell>
          <cell r="O158" t="str">
            <v>Ligeramente Peligrosos III</v>
          </cell>
          <cell r="P158" t="str">
            <v>Bioestimulante</v>
          </cell>
          <cell r="Q158" t="str">
            <v>SI</v>
          </cell>
          <cell r="R158" t="str">
            <v>-</v>
          </cell>
          <cell r="S158"/>
        </row>
        <row r="159">
          <cell r="A159" t="str">
            <v>GALBEN M-8-65</v>
          </cell>
          <cell r="B159" t="str">
            <v>PF002</v>
          </cell>
          <cell r="C159" t="str">
            <v>GR</v>
          </cell>
          <cell r="D159" t="str">
            <v>NO</v>
          </cell>
          <cell r="E159" t="str">
            <v>ACTIVOS NO REG</v>
          </cell>
          <cell r="F159" t="str">
            <v>Viernes</v>
          </cell>
          <cell r="G159">
            <v>5</v>
          </cell>
          <cell r="H159"/>
          <cell r="I159" t="str">
            <v>Peronóspora</v>
          </cell>
          <cell r="J159"/>
          <cell r="K159"/>
          <cell r="L159"/>
          <cell r="M159" t="str">
            <v>Mancozeb + Benalaxyl</v>
          </cell>
          <cell r="N159" t="str">
            <v>IV</v>
          </cell>
          <cell r="O159" t="str">
            <v>Categoría IV</v>
          </cell>
          <cell r="P159" t="str">
            <v>Fungicida</v>
          </cell>
          <cell r="Q159" t="str">
            <v>SI</v>
          </cell>
          <cell r="R159" t="str">
            <v>-</v>
          </cell>
        </row>
        <row r="160">
          <cell r="A160" t="str">
            <v>GALLINAZA</v>
          </cell>
          <cell r="B160" t="str">
            <v>FA012</v>
          </cell>
          <cell r="C160" t="str">
            <v>SA</v>
          </cell>
          <cell r="D160" t="str">
            <v>NO</v>
          </cell>
          <cell r="E160" t="str">
            <v>ACTIVOS NO REG</v>
          </cell>
          <cell r="F160"/>
          <cell r="G160"/>
          <cell r="H160"/>
          <cell r="I160"/>
          <cell r="J160"/>
          <cell r="K160"/>
          <cell r="L160"/>
          <cell r="M160"/>
          <cell r="N160" t="str">
            <v>IV</v>
          </cell>
          <cell r="O160" t="str">
            <v>Categoría IV</v>
          </cell>
          <cell r="P160" t="str">
            <v>Fertilizante</v>
          </cell>
          <cell r="Q160"/>
          <cell r="R160" t="str">
            <v>-</v>
          </cell>
        </row>
        <row r="161">
          <cell r="A161" t="str">
            <v>GLIFOLAQ</v>
          </cell>
          <cell r="B161" t="str">
            <v>PH011</v>
          </cell>
          <cell r="C161" t="str">
            <v>CC</v>
          </cell>
          <cell r="D161" t="str">
            <v>NO</v>
          </cell>
          <cell r="E161" t="str">
            <v>ACTIVOS NO REG</v>
          </cell>
          <cell r="F161"/>
          <cell r="G161"/>
          <cell r="H161"/>
          <cell r="I161"/>
          <cell r="J161"/>
          <cell r="K161"/>
          <cell r="L161"/>
          <cell r="M161" t="str">
            <v>GLYPHOSATE (SAL ISOPROPILAMINA)</v>
          </cell>
          <cell r="N161" t="str">
            <v>III</v>
          </cell>
          <cell r="O161" t="str">
            <v>Ligeramente Peligrosos III</v>
          </cell>
          <cell r="P161" t="str">
            <v>Herbicida</v>
          </cell>
          <cell r="Q161" t="str">
            <v>SI</v>
          </cell>
          <cell r="R161" t="str">
            <v>-</v>
          </cell>
          <cell r="S161"/>
        </row>
        <row r="162">
          <cell r="A162" t="str">
            <v>GLIFOSATO</v>
          </cell>
          <cell r="B162" t="str">
            <v>PH020</v>
          </cell>
          <cell r="C162" t="str">
            <v>CC</v>
          </cell>
          <cell r="D162" t="str">
            <v>NO</v>
          </cell>
          <cell r="E162" t="str">
            <v>ACTIVOS NO REG</v>
          </cell>
          <cell r="F162"/>
          <cell r="G162" t="str">
            <v>4.0-5.0</v>
          </cell>
          <cell r="H162">
            <v>4</v>
          </cell>
          <cell r="I162" t="str">
            <v>Hebicida no selectivo Sistémico</v>
          </cell>
          <cell r="J162">
            <v>0</v>
          </cell>
          <cell r="K162">
            <v>0</v>
          </cell>
          <cell r="L162">
            <v>0</v>
          </cell>
          <cell r="M162" t="str">
            <v>Glifosato</v>
          </cell>
          <cell r="N162" t="str">
            <v>IV</v>
          </cell>
          <cell r="O162" t="str">
            <v>Categoría IV</v>
          </cell>
          <cell r="P162" t="str">
            <v>Herbicida</v>
          </cell>
          <cell r="Q162" t="str">
            <v>SI</v>
          </cell>
          <cell r="R162" t="str">
            <v>-</v>
          </cell>
          <cell r="S162"/>
        </row>
        <row r="163">
          <cell r="A163" t="str">
            <v>GOAL 2 EC</v>
          </cell>
          <cell r="B163" t="str">
            <v>PH016</v>
          </cell>
          <cell r="C163" t="str">
            <v>CC</v>
          </cell>
          <cell r="D163" t="str">
            <v>NO</v>
          </cell>
          <cell r="E163" t="str">
            <v>ACTIVOS NO REG</v>
          </cell>
          <cell r="F163"/>
          <cell r="G163"/>
          <cell r="H163"/>
          <cell r="I163"/>
          <cell r="J163"/>
          <cell r="K163"/>
          <cell r="L163"/>
          <cell r="M163" t="str">
            <v>OXIFLUORFEN</v>
          </cell>
          <cell r="N163" t="str">
            <v>III</v>
          </cell>
          <cell r="O163" t="str">
            <v>Ligeramente Peligrosos III</v>
          </cell>
          <cell r="P163" t="str">
            <v>Herbicida</v>
          </cell>
          <cell r="Q163" t="str">
            <v>SI</v>
          </cell>
          <cell r="R163" t="str">
            <v>-</v>
          </cell>
          <cell r="S163"/>
        </row>
        <row r="164">
          <cell r="A164" t="str">
            <v>GOLDAZIM 500</v>
          </cell>
          <cell r="B164" t="str">
            <v>PF081</v>
          </cell>
          <cell r="C164" t="str">
            <v>CC</v>
          </cell>
          <cell r="D164" t="str">
            <v>NO</v>
          </cell>
          <cell r="E164" t="str">
            <v>ACTIVOS NO REG</v>
          </cell>
          <cell r="F164" t="str">
            <v>Viernes</v>
          </cell>
          <cell r="G164">
            <v>5</v>
          </cell>
          <cell r="H164">
            <v>2</v>
          </cell>
          <cell r="I164" t="str">
            <v>Botrytis</v>
          </cell>
          <cell r="J164">
            <v>0</v>
          </cell>
          <cell r="K164">
            <v>0</v>
          </cell>
          <cell r="L164">
            <v>0</v>
          </cell>
          <cell r="M164" t="str">
            <v>CARBENDAZIM</v>
          </cell>
          <cell r="N164" t="str">
            <v>IV</v>
          </cell>
          <cell r="O164" t="str">
            <v>Categoría IV</v>
          </cell>
          <cell r="P164" t="str">
            <v>Fungicida</v>
          </cell>
          <cell r="Q164" t="str">
            <v>SI</v>
          </cell>
          <cell r="R164">
            <v>0.6</v>
          </cell>
          <cell r="S164"/>
        </row>
        <row r="165">
          <cell r="A165" t="str">
            <v>GRAMOXONE</v>
          </cell>
          <cell r="B165" t="str">
            <v>PH005</v>
          </cell>
          <cell r="C165" t="str">
            <v>CC</v>
          </cell>
          <cell r="D165" t="str">
            <v>NO</v>
          </cell>
          <cell r="E165" t="str">
            <v>ACTIVOS NO REG</v>
          </cell>
          <cell r="F165"/>
          <cell r="G165">
            <v>5</v>
          </cell>
          <cell r="H165">
            <v>12</v>
          </cell>
          <cell r="I165" t="str">
            <v>Hebicida no selectivo Contacto</v>
          </cell>
          <cell r="J165">
            <v>0</v>
          </cell>
          <cell r="K165">
            <v>0</v>
          </cell>
          <cell r="L165">
            <v>0</v>
          </cell>
          <cell r="M165" t="str">
            <v>SAL DICLORURO DE PARAQUAT</v>
          </cell>
          <cell r="N165" t="str">
            <v>II</v>
          </cell>
          <cell r="O165" t="str">
            <v>Moderadamente Peligrosos II</v>
          </cell>
          <cell r="P165" t="str">
            <v>Herbicida</v>
          </cell>
          <cell r="Q165" t="str">
            <v>SI</v>
          </cell>
          <cell r="R165" t="str">
            <v>-</v>
          </cell>
          <cell r="S165"/>
        </row>
        <row r="166">
          <cell r="A166" t="str">
            <v>GREENSTIM</v>
          </cell>
          <cell r="B166" t="str">
            <v>FI047</v>
          </cell>
          <cell r="C166" t="str">
            <v>CC</v>
          </cell>
          <cell r="D166" t="str">
            <v>NO</v>
          </cell>
          <cell r="E166" t="str">
            <v>ACTIVOS NO REG</v>
          </cell>
          <cell r="F166"/>
          <cell r="G166"/>
          <cell r="H166"/>
          <cell r="I166"/>
          <cell r="J166"/>
          <cell r="K166"/>
          <cell r="L166"/>
          <cell r="M166"/>
          <cell r="N166" t="str">
            <v>IV</v>
          </cell>
          <cell r="O166" t="str">
            <v>Categoría IV</v>
          </cell>
          <cell r="P166" t="str">
            <v>Fertilizante</v>
          </cell>
          <cell r="Q166"/>
          <cell r="R166" t="str">
            <v>-</v>
          </cell>
          <cell r="S166"/>
        </row>
        <row r="167">
          <cell r="A167" t="str">
            <v>HAKAPHOS 15-5-3</v>
          </cell>
          <cell r="B167" t="str">
            <v>FI004</v>
          </cell>
          <cell r="C167" t="str">
            <v>GR</v>
          </cell>
          <cell r="D167" t="str">
            <v>NO</v>
          </cell>
          <cell r="E167" t="str">
            <v>ACTIVOS NO REG</v>
          </cell>
          <cell r="F167"/>
          <cell r="G167"/>
          <cell r="H167"/>
          <cell r="I167"/>
          <cell r="J167"/>
          <cell r="K167"/>
          <cell r="L167"/>
          <cell r="M167"/>
          <cell r="N167" t="str">
            <v>IV</v>
          </cell>
          <cell r="O167" t="str">
            <v>Categoría IV</v>
          </cell>
          <cell r="P167" t="str">
            <v>Fertilizante</v>
          </cell>
          <cell r="Q167"/>
          <cell r="R167" t="str">
            <v>-</v>
          </cell>
          <cell r="S167"/>
        </row>
        <row r="168">
          <cell r="A168" t="str">
            <v>HAKAPHOS VERDE 15-10-15+2</v>
          </cell>
          <cell r="B168" t="str">
            <v>FI006</v>
          </cell>
          <cell r="C168" t="str">
            <v>KG</v>
          </cell>
          <cell r="D168" t="str">
            <v>NO</v>
          </cell>
          <cell r="E168" t="str">
            <v>ACTIVOS NO REG</v>
          </cell>
          <cell r="F168"/>
          <cell r="G168"/>
          <cell r="H168"/>
          <cell r="I168"/>
          <cell r="J168"/>
          <cell r="K168"/>
          <cell r="L168"/>
          <cell r="M168"/>
          <cell r="N168" t="str">
            <v>IV</v>
          </cell>
          <cell r="O168" t="str">
            <v>Categoría IV</v>
          </cell>
          <cell r="P168" t="str">
            <v>Fertilizante</v>
          </cell>
          <cell r="Q168"/>
          <cell r="R168" t="str">
            <v>-</v>
          </cell>
          <cell r="S168"/>
        </row>
        <row r="169">
          <cell r="A169" t="str">
            <v>HAKAPOS 15-5-30</v>
          </cell>
          <cell r="B169" t="str">
            <v>FB033</v>
          </cell>
          <cell r="C169" t="str">
            <v>GR</v>
          </cell>
          <cell r="D169" t="str">
            <v>NO</v>
          </cell>
          <cell r="E169" t="str">
            <v>ELIMINADOS NO REG</v>
          </cell>
          <cell r="F169" t="str">
            <v>Miercoles</v>
          </cell>
          <cell r="G169"/>
          <cell r="H169"/>
          <cell r="I169"/>
          <cell r="J169"/>
          <cell r="K169"/>
          <cell r="L169"/>
          <cell r="M169"/>
          <cell r="N169" t="str">
            <v>IV</v>
          </cell>
          <cell r="O169" t="str">
            <v>Categoría IV</v>
          </cell>
          <cell r="P169" t="str">
            <v>Bioestimulante</v>
          </cell>
          <cell r="Q169"/>
          <cell r="R169" t="str">
            <v>-</v>
          </cell>
          <cell r="S169"/>
        </row>
        <row r="170">
          <cell r="A170" t="str">
            <v>HUMIN</v>
          </cell>
          <cell r="B170" t="str">
            <v>FB010</v>
          </cell>
          <cell r="C170" t="str">
            <v>CC</v>
          </cell>
          <cell r="D170" t="str">
            <v>NO</v>
          </cell>
          <cell r="E170" t="str">
            <v>ACTIVOS NO REG</v>
          </cell>
          <cell r="F170" t="str">
            <v>Miercoles</v>
          </cell>
          <cell r="G170"/>
          <cell r="H170"/>
          <cell r="I170" t="str">
            <v>Mejora Estructura del suelo</v>
          </cell>
          <cell r="J170">
            <v>0</v>
          </cell>
          <cell r="K170">
            <v>0</v>
          </cell>
          <cell r="L170">
            <v>0</v>
          </cell>
          <cell r="M170"/>
          <cell r="N170" t="str">
            <v>IV</v>
          </cell>
          <cell r="O170" t="str">
            <v>Categoría IV</v>
          </cell>
          <cell r="P170" t="str">
            <v>Bioestimulante</v>
          </cell>
          <cell r="Q170"/>
          <cell r="R170" t="str">
            <v>-</v>
          </cell>
          <cell r="S170"/>
        </row>
        <row r="171">
          <cell r="A171" t="str">
            <v>HUMISTAR</v>
          </cell>
          <cell r="B171" t="str">
            <v>FB070</v>
          </cell>
          <cell r="C171" t="str">
            <v>CC</v>
          </cell>
          <cell r="D171" t="str">
            <v>NO</v>
          </cell>
          <cell r="E171" t="str">
            <v>ACTIVOS NO REG</v>
          </cell>
          <cell r="F171" t="str">
            <v>Miercoles</v>
          </cell>
          <cell r="G171" t="str">
            <v xml:space="preserve"> ---</v>
          </cell>
          <cell r="H171">
            <v>0</v>
          </cell>
          <cell r="I171" t="str">
            <v>Acidos Húmicos</v>
          </cell>
          <cell r="J171">
            <v>0</v>
          </cell>
          <cell r="K171">
            <v>0</v>
          </cell>
          <cell r="L171">
            <v>0</v>
          </cell>
          <cell r="M171" t="str">
            <v>Acidos Humicos</v>
          </cell>
          <cell r="N171" t="str">
            <v>IV</v>
          </cell>
          <cell r="O171" t="str">
            <v>Categoría IV</v>
          </cell>
          <cell r="P171" t="str">
            <v>Bioestimulante</v>
          </cell>
          <cell r="Q171"/>
          <cell r="R171" t="str">
            <v>-</v>
          </cell>
          <cell r="S171"/>
        </row>
        <row r="172">
          <cell r="A172" t="str">
            <v>HUMUS FERTILEX</v>
          </cell>
          <cell r="B172" t="str">
            <v>FA018</v>
          </cell>
          <cell r="C172" t="str">
            <v>UN</v>
          </cell>
          <cell r="D172" t="str">
            <v>NO</v>
          </cell>
          <cell r="E172" t="str">
            <v>ACTIVOS NO REG</v>
          </cell>
          <cell r="F172"/>
          <cell r="G172"/>
          <cell r="H172"/>
          <cell r="I172"/>
          <cell r="J172"/>
          <cell r="K172"/>
          <cell r="L172"/>
          <cell r="M172"/>
          <cell r="N172" t="str">
            <v>IV</v>
          </cell>
          <cell r="O172" t="str">
            <v>Categoría IV</v>
          </cell>
          <cell r="P172" t="str">
            <v>Fertilizante</v>
          </cell>
          <cell r="Q172"/>
          <cell r="R172" t="str">
            <v>-</v>
          </cell>
          <cell r="S172"/>
        </row>
        <row r="173">
          <cell r="A173" t="str">
            <v>IGRAN 500 SC</v>
          </cell>
          <cell r="B173" t="str">
            <v>PH013</v>
          </cell>
          <cell r="C173" t="str">
            <v>CC</v>
          </cell>
          <cell r="D173" t="str">
            <v>NO</v>
          </cell>
          <cell r="E173" t="str">
            <v>ACTIVOS NO REG</v>
          </cell>
          <cell r="F173"/>
          <cell r="G173" t="str">
            <v>6.5-7.0</v>
          </cell>
          <cell r="H173">
            <v>4</v>
          </cell>
          <cell r="I173" t="str">
            <v>Pre y post emergentes</v>
          </cell>
          <cell r="J173">
            <v>0</v>
          </cell>
          <cell r="K173">
            <v>0</v>
          </cell>
          <cell r="L173">
            <v>0</v>
          </cell>
          <cell r="M173" t="str">
            <v>Terbutrina</v>
          </cell>
          <cell r="N173" t="str">
            <v>IV</v>
          </cell>
          <cell r="O173" t="str">
            <v>Categoría IV</v>
          </cell>
          <cell r="P173" t="str">
            <v>Herbicida</v>
          </cell>
          <cell r="Q173" t="str">
            <v>SI</v>
          </cell>
          <cell r="R173" t="str">
            <v>-</v>
          </cell>
          <cell r="S173"/>
        </row>
        <row r="174">
          <cell r="A174" t="str">
            <v>IMPIDE</v>
          </cell>
          <cell r="B174" t="str">
            <v>PI079</v>
          </cell>
          <cell r="C174" t="str">
            <v>CC</v>
          </cell>
          <cell r="D174" t="str">
            <v>NO</v>
          </cell>
          <cell r="E174" t="str">
            <v>ACTIVOS NO REG</v>
          </cell>
          <cell r="F174" t="str">
            <v>Lunes</v>
          </cell>
          <cell r="G174"/>
          <cell r="H174"/>
          <cell r="I174"/>
          <cell r="J174"/>
          <cell r="K174"/>
          <cell r="L174"/>
          <cell r="M174" t="str">
            <v>SALES POTASIO ACIDOS GRASOS</v>
          </cell>
          <cell r="N174" t="str">
            <v>III</v>
          </cell>
          <cell r="O174" t="str">
            <v>Ligeramente Peligrosos III</v>
          </cell>
          <cell r="P174" t="str">
            <v>Insecticida</v>
          </cell>
          <cell r="Q174" t="str">
            <v>SI</v>
          </cell>
          <cell r="R174" t="str">
            <v>-</v>
          </cell>
          <cell r="S174"/>
        </row>
        <row r="175">
          <cell r="A175" t="str">
            <v>INDICATE-5</v>
          </cell>
          <cell r="B175" t="str">
            <v>PJ006</v>
          </cell>
          <cell r="C175" t="str">
            <v>CC</v>
          </cell>
          <cell r="D175" t="str">
            <v>NO</v>
          </cell>
          <cell r="E175" t="str">
            <v>ACTIVOS NO REG</v>
          </cell>
          <cell r="F175" t="str">
            <v>Miercoles</v>
          </cell>
          <cell r="G175"/>
          <cell r="H175"/>
          <cell r="I175" t="str">
            <v>Mejora la calidad del agua</v>
          </cell>
          <cell r="J175">
            <v>0</v>
          </cell>
          <cell r="K175">
            <v>0</v>
          </cell>
          <cell r="L175">
            <v>0</v>
          </cell>
          <cell r="M175" t="str">
            <v>ACIDO FOSFORICO-ALQUIRALIC</v>
          </cell>
          <cell r="N175" t="str">
            <v>IV</v>
          </cell>
          <cell r="O175" t="str">
            <v>Categoría IV</v>
          </cell>
          <cell r="P175" t="str">
            <v>Coadyuvante</v>
          </cell>
          <cell r="Q175" t="str">
            <v>SI</v>
          </cell>
          <cell r="R175" t="str">
            <v>-</v>
          </cell>
          <cell r="S175"/>
        </row>
        <row r="176">
          <cell r="A176" t="str">
            <v>INVENTO</v>
          </cell>
          <cell r="B176" t="str">
            <v>PF148</v>
          </cell>
          <cell r="C176" t="str">
            <v>GR</v>
          </cell>
          <cell r="D176" t="str">
            <v>SI</v>
          </cell>
          <cell r="E176" t="str">
            <v>ACTIVOS NO REG</v>
          </cell>
          <cell r="F176" t="str">
            <v>Viernes</v>
          </cell>
          <cell r="G176">
            <v>7</v>
          </cell>
          <cell r="H176">
            <v>2</v>
          </cell>
          <cell r="I176" t="str">
            <v>Peronóspora</v>
          </cell>
          <cell r="J176">
            <v>0</v>
          </cell>
          <cell r="K176">
            <v>0</v>
          </cell>
          <cell r="L176">
            <v>0</v>
          </cell>
          <cell r="M176" t="str">
            <v>Iprovalicarb, propineb</v>
          </cell>
          <cell r="N176" t="str">
            <v>IV</v>
          </cell>
          <cell r="O176" t="str">
            <v>Categoría IV</v>
          </cell>
          <cell r="P176" t="str">
            <v>Fungicida</v>
          </cell>
          <cell r="Q176" t="str">
            <v>SI</v>
          </cell>
          <cell r="R176">
            <v>1.5</v>
          </cell>
          <cell r="S176"/>
        </row>
        <row r="177">
          <cell r="A177" t="str">
            <v>Karate</v>
          </cell>
          <cell r="B177" t="str">
            <v>PI109</v>
          </cell>
          <cell r="C177" t="str">
            <v>CC</v>
          </cell>
          <cell r="D177" t="str">
            <v>NO</v>
          </cell>
          <cell r="E177" t="str">
            <v>ELIMINADOS REG</v>
          </cell>
          <cell r="F177" t="str">
            <v>Lunes</v>
          </cell>
          <cell r="G177">
            <v>5</v>
          </cell>
          <cell r="H177">
            <v>8</v>
          </cell>
          <cell r="I177" t="str">
            <v>Trips</v>
          </cell>
          <cell r="J177">
            <v>0</v>
          </cell>
          <cell r="K177">
            <v>0</v>
          </cell>
          <cell r="L177">
            <v>0</v>
          </cell>
          <cell r="M177" t="str">
            <v>Lambda-cihalotrina</v>
          </cell>
          <cell r="N177" t="str">
            <v>III</v>
          </cell>
          <cell r="O177" t="str">
            <v>Ligeramente Peligrosos III</v>
          </cell>
          <cell r="P177" t="str">
            <v>Insecticida</v>
          </cell>
          <cell r="Q177" t="str">
            <v>SI</v>
          </cell>
          <cell r="R177" t="str">
            <v>-</v>
          </cell>
          <cell r="S177"/>
        </row>
        <row r="178">
          <cell r="A178" t="str">
            <v>KARATE 2.5%</v>
          </cell>
          <cell r="B178" t="str">
            <v>PI016</v>
          </cell>
          <cell r="C178" t="str">
            <v>CC</v>
          </cell>
          <cell r="D178" t="str">
            <v>NO</v>
          </cell>
          <cell r="E178" t="str">
            <v>ACTIVOS NO REG</v>
          </cell>
          <cell r="F178" t="str">
            <v>Lunes</v>
          </cell>
          <cell r="G178">
            <v>5</v>
          </cell>
          <cell r="H178">
            <v>8</v>
          </cell>
          <cell r="I178" t="str">
            <v>Trips</v>
          </cell>
          <cell r="J178">
            <v>0</v>
          </cell>
          <cell r="K178">
            <v>0</v>
          </cell>
          <cell r="L178">
            <v>0</v>
          </cell>
          <cell r="M178" t="str">
            <v>Lambda-cihalotrina</v>
          </cell>
          <cell r="N178" t="str">
            <v>III</v>
          </cell>
          <cell r="O178" t="str">
            <v>Ligeramente Peligrosos III</v>
          </cell>
          <cell r="P178" t="str">
            <v>Insecticida</v>
          </cell>
          <cell r="Q178" t="str">
            <v>SI</v>
          </cell>
          <cell r="R178" t="str">
            <v>-</v>
          </cell>
          <cell r="S178"/>
        </row>
        <row r="179">
          <cell r="A179" t="str">
            <v>Kel Ca.</v>
          </cell>
          <cell r="B179" t="str">
            <v>FB075</v>
          </cell>
          <cell r="C179" t="str">
            <v>CC</v>
          </cell>
          <cell r="D179" t="str">
            <v>NO</v>
          </cell>
          <cell r="E179" t="str">
            <v>ACTIVOS REG</v>
          </cell>
          <cell r="F179" t="str">
            <v>Miercoles</v>
          </cell>
          <cell r="G179" t="str">
            <v xml:space="preserve"> ---</v>
          </cell>
          <cell r="H179">
            <v>0</v>
          </cell>
          <cell r="I179" t="str">
            <v>Fertilización</v>
          </cell>
          <cell r="J179">
            <v>0</v>
          </cell>
          <cell r="K179">
            <v>0</v>
          </cell>
          <cell r="L179">
            <v>0</v>
          </cell>
          <cell r="M179" t="str">
            <v>Calcio</v>
          </cell>
          <cell r="N179" t="str">
            <v>IV</v>
          </cell>
          <cell r="O179" t="str">
            <v>Categoría IV</v>
          </cell>
          <cell r="P179" t="str">
            <v>Bioestimulante</v>
          </cell>
          <cell r="Q179"/>
          <cell r="R179" t="str">
            <v>-</v>
          </cell>
          <cell r="S179"/>
        </row>
        <row r="180">
          <cell r="A180" t="str">
            <v>Kel Cu.</v>
          </cell>
          <cell r="B180" t="str">
            <v>FB081</v>
          </cell>
          <cell r="C180" t="str">
            <v>CC</v>
          </cell>
          <cell r="D180" t="str">
            <v>NO</v>
          </cell>
          <cell r="E180" t="str">
            <v>ACTIVOS REG</v>
          </cell>
          <cell r="F180" t="str">
            <v>Miercoles</v>
          </cell>
          <cell r="G180"/>
          <cell r="H180"/>
          <cell r="I180"/>
          <cell r="J180"/>
          <cell r="K180"/>
          <cell r="L180"/>
          <cell r="M180"/>
          <cell r="N180" t="str">
            <v>IV</v>
          </cell>
          <cell r="O180" t="str">
            <v>Categoría IV</v>
          </cell>
          <cell r="P180" t="str">
            <v>Bioestimulante</v>
          </cell>
          <cell r="Q180" t="str">
            <v>NO HAY</v>
          </cell>
          <cell r="R180" t="str">
            <v>-</v>
          </cell>
          <cell r="S180"/>
        </row>
        <row r="181">
          <cell r="A181" t="str">
            <v>Kel Fe.</v>
          </cell>
          <cell r="B181" t="str">
            <v>FB078</v>
          </cell>
          <cell r="C181" t="str">
            <v>CC</v>
          </cell>
          <cell r="D181" t="str">
            <v>SI</v>
          </cell>
          <cell r="E181" t="str">
            <v>ACTIVOS REG</v>
          </cell>
          <cell r="F181" t="str">
            <v>Miercoles</v>
          </cell>
          <cell r="G181" t="str">
            <v xml:space="preserve"> ---</v>
          </cell>
          <cell r="H181">
            <v>0</v>
          </cell>
          <cell r="I181" t="str">
            <v>Fertilización</v>
          </cell>
          <cell r="J181">
            <v>0</v>
          </cell>
          <cell r="K181">
            <v>0</v>
          </cell>
          <cell r="L181">
            <v>0</v>
          </cell>
          <cell r="M181" t="str">
            <v>Hierro Fe 2+, EDA</v>
          </cell>
          <cell r="N181" t="str">
            <v>IV</v>
          </cell>
          <cell r="O181" t="str">
            <v>Categoría IV</v>
          </cell>
          <cell r="P181" t="str">
            <v>Bioestimulante</v>
          </cell>
          <cell r="Q181"/>
          <cell r="R181" t="str">
            <v>-</v>
          </cell>
          <cell r="S181"/>
        </row>
        <row r="182">
          <cell r="A182" t="str">
            <v>Kel Mg.</v>
          </cell>
          <cell r="B182" t="str">
            <v>FB080</v>
          </cell>
          <cell r="C182" t="str">
            <v>CC</v>
          </cell>
          <cell r="D182" t="str">
            <v>NO</v>
          </cell>
          <cell r="E182" t="str">
            <v>ACTIVOS REG</v>
          </cell>
          <cell r="F182" t="str">
            <v>Miercoles</v>
          </cell>
          <cell r="G182" t="str">
            <v xml:space="preserve"> ---</v>
          </cell>
          <cell r="H182">
            <v>0</v>
          </cell>
          <cell r="I182" t="str">
            <v>Fertilización</v>
          </cell>
          <cell r="J182">
            <v>0</v>
          </cell>
          <cell r="K182">
            <v>0</v>
          </cell>
          <cell r="L182">
            <v>0</v>
          </cell>
          <cell r="M182" t="str">
            <v>Magnecio, Azufre</v>
          </cell>
          <cell r="N182" t="str">
            <v>IV</v>
          </cell>
          <cell r="O182" t="str">
            <v>Categoría IV</v>
          </cell>
          <cell r="P182" t="str">
            <v>Bioestimulante</v>
          </cell>
          <cell r="Q182"/>
          <cell r="R182" t="str">
            <v>-</v>
          </cell>
          <cell r="S182"/>
        </row>
        <row r="183">
          <cell r="A183" t="str">
            <v>Kel Mn.</v>
          </cell>
          <cell r="B183" t="str">
            <v>FB077</v>
          </cell>
          <cell r="C183" t="str">
            <v>CC</v>
          </cell>
          <cell r="D183" t="str">
            <v>SI</v>
          </cell>
          <cell r="E183" t="str">
            <v>ACTIVOS REG</v>
          </cell>
          <cell r="F183" t="str">
            <v>Miercoles</v>
          </cell>
          <cell r="G183" t="str">
            <v xml:space="preserve"> ---</v>
          </cell>
          <cell r="H183">
            <v>0</v>
          </cell>
          <cell r="I183" t="str">
            <v>Fertilización</v>
          </cell>
          <cell r="J183">
            <v>0</v>
          </cell>
          <cell r="K183">
            <v>0</v>
          </cell>
          <cell r="L183">
            <v>0</v>
          </cell>
          <cell r="M183" t="str">
            <v>Manganeso, Azufre</v>
          </cell>
          <cell r="N183" t="str">
            <v>IV</v>
          </cell>
          <cell r="O183" t="str">
            <v>Categoría IV</v>
          </cell>
          <cell r="P183" t="str">
            <v>Bioestimulante</v>
          </cell>
          <cell r="Q183"/>
          <cell r="R183" t="str">
            <v>-</v>
          </cell>
          <cell r="S183"/>
        </row>
        <row r="184">
          <cell r="A184" t="str">
            <v>Kel Zn.</v>
          </cell>
          <cell r="B184" t="str">
            <v>FB079</v>
          </cell>
          <cell r="C184" t="str">
            <v>GR</v>
          </cell>
          <cell r="D184" t="str">
            <v>SI</v>
          </cell>
          <cell r="E184" t="str">
            <v>ELIMINADOS NO REG</v>
          </cell>
          <cell r="F184" t="str">
            <v>Miercoles</v>
          </cell>
          <cell r="G184" t="str">
            <v xml:space="preserve"> ---</v>
          </cell>
          <cell r="H184">
            <v>0</v>
          </cell>
          <cell r="I184" t="str">
            <v>Fertilización</v>
          </cell>
          <cell r="J184">
            <v>0</v>
          </cell>
          <cell r="K184">
            <v>0</v>
          </cell>
          <cell r="L184">
            <v>0</v>
          </cell>
          <cell r="M184" t="str">
            <v>Zin, Nitrogeno NO3</v>
          </cell>
          <cell r="N184" t="str">
            <v>IV</v>
          </cell>
          <cell r="O184" t="str">
            <v>Categoría IV</v>
          </cell>
          <cell r="P184" t="str">
            <v>Bioestimulante</v>
          </cell>
          <cell r="Q184"/>
          <cell r="R184" t="str">
            <v>-</v>
          </cell>
          <cell r="S184"/>
        </row>
        <row r="185">
          <cell r="A185" t="str">
            <v>KELATEX DE MAGNESIO</v>
          </cell>
          <cell r="B185" t="str">
            <v>FA033</v>
          </cell>
          <cell r="C185" t="str">
            <v>CC</v>
          </cell>
          <cell r="D185" t="str">
            <v>NO</v>
          </cell>
          <cell r="E185" t="str">
            <v>ACTIVOS NO REG</v>
          </cell>
          <cell r="F185"/>
          <cell r="G185"/>
          <cell r="H185"/>
          <cell r="I185"/>
          <cell r="J185"/>
          <cell r="K185"/>
          <cell r="L185"/>
          <cell r="M185"/>
          <cell r="N185" t="str">
            <v>IV</v>
          </cell>
          <cell r="O185" t="str">
            <v>Categoría IV</v>
          </cell>
          <cell r="P185" t="str">
            <v>Fertilizante</v>
          </cell>
          <cell r="Q185"/>
          <cell r="R185" t="str">
            <v>-</v>
          </cell>
          <cell r="S185"/>
        </row>
        <row r="186">
          <cell r="A186" t="str">
            <v>KEMKOL</v>
          </cell>
          <cell r="B186" t="str">
            <v>PJ007</v>
          </cell>
          <cell r="C186" t="str">
            <v>CC</v>
          </cell>
          <cell r="D186" t="str">
            <v>NO</v>
          </cell>
          <cell r="E186" t="str">
            <v>ACTIVOS NO REG</v>
          </cell>
          <cell r="F186" t="str">
            <v>Miercoles</v>
          </cell>
          <cell r="G186"/>
          <cell r="H186"/>
          <cell r="I186" t="str">
            <v>Coadyuvante de Uso Agrícola</v>
          </cell>
          <cell r="J186"/>
          <cell r="K186">
            <v>0</v>
          </cell>
          <cell r="L186">
            <v>0</v>
          </cell>
          <cell r="M186"/>
          <cell r="N186" t="str">
            <v>IV</v>
          </cell>
          <cell r="O186" t="str">
            <v>Categoría IV</v>
          </cell>
          <cell r="P186" t="str">
            <v>Coadyuvante</v>
          </cell>
          <cell r="Q186" t="str">
            <v>NO HAY</v>
          </cell>
          <cell r="R186" t="str">
            <v>-</v>
          </cell>
          <cell r="S186"/>
        </row>
        <row r="187">
          <cell r="A187" t="str">
            <v>Kendo</v>
          </cell>
          <cell r="B187" t="str">
            <v>PI075</v>
          </cell>
          <cell r="C187" t="str">
            <v>CC</v>
          </cell>
          <cell r="D187" t="str">
            <v>NO</v>
          </cell>
          <cell r="E187" t="str">
            <v>ACTIVOS REG</v>
          </cell>
          <cell r="F187" t="str">
            <v>Lunes</v>
          </cell>
          <cell r="G187" t="str">
            <v>5.0-7.5</v>
          </cell>
          <cell r="H187">
            <v>4</v>
          </cell>
          <cell r="I187" t="str">
            <v>Acaros</v>
          </cell>
          <cell r="J187">
            <v>0</v>
          </cell>
          <cell r="K187">
            <v>0</v>
          </cell>
          <cell r="L187">
            <v>0</v>
          </cell>
          <cell r="M187" t="str">
            <v>Fenpiroximate</v>
          </cell>
          <cell r="N187" t="str">
            <v>III</v>
          </cell>
          <cell r="O187" t="str">
            <v>Ligeramente Peligrosos III</v>
          </cell>
          <cell r="P187" t="str">
            <v>Insecticida</v>
          </cell>
          <cell r="Q187" t="str">
            <v>SI</v>
          </cell>
          <cell r="R187" t="str">
            <v>-</v>
          </cell>
          <cell r="S187"/>
        </row>
        <row r="188">
          <cell r="A188" t="str">
            <v>KILLER</v>
          </cell>
          <cell r="B188" t="str">
            <v>PH015</v>
          </cell>
          <cell r="C188" t="str">
            <v>CC</v>
          </cell>
          <cell r="D188" t="str">
            <v>NO</v>
          </cell>
          <cell r="E188" t="str">
            <v>ACTIVOS NO REG</v>
          </cell>
          <cell r="F188"/>
          <cell r="G188"/>
          <cell r="H188"/>
          <cell r="I188"/>
          <cell r="J188"/>
          <cell r="K188"/>
          <cell r="L188"/>
          <cell r="M188" t="str">
            <v>PARAQUAT DICHLORIDE</v>
          </cell>
          <cell r="N188" t="str">
            <v>II</v>
          </cell>
          <cell r="O188" t="str">
            <v>Moderadamente Peligrosos II</v>
          </cell>
          <cell r="P188" t="str">
            <v>Herbicida</v>
          </cell>
          <cell r="Q188" t="str">
            <v>SI</v>
          </cell>
          <cell r="R188" t="str">
            <v>-</v>
          </cell>
        </row>
        <row r="189">
          <cell r="A189" t="str">
            <v>KOCIDE 101 77%</v>
          </cell>
          <cell r="B189" t="str">
            <v>PF013</v>
          </cell>
          <cell r="C189" t="str">
            <v>GR</v>
          </cell>
          <cell r="D189" t="str">
            <v>SI</v>
          </cell>
          <cell r="E189" t="str">
            <v>ACTIVOS NO REG</v>
          </cell>
          <cell r="F189" t="str">
            <v>Viernes</v>
          </cell>
          <cell r="G189">
            <v>7</v>
          </cell>
          <cell r="H189">
            <v>4</v>
          </cell>
          <cell r="I189" t="str">
            <v>Bactericida, Peronosporales</v>
          </cell>
          <cell r="J189">
            <v>0</v>
          </cell>
          <cell r="K189">
            <v>0</v>
          </cell>
          <cell r="L189">
            <v>0</v>
          </cell>
          <cell r="M189" t="str">
            <v>Hidroxido cuprico</v>
          </cell>
          <cell r="N189" t="str">
            <v>III</v>
          </cell>
          <cell r="O189" t="str">
            <v>Ligeramente Peligrosos III</v>
          </cell>
          <cell r="P189" t="str">
            <v>Fungicida</v>
          </cell>
          <cell r="Q189" t="str">
            <v>SI</v>
          </cell>
          <cell r="R189">
            <v>2</v>
          </cell>
          <cell r="S189"/>
        </row>
        <row r="190">
          <cell r="A190" t="str">
            <v>Kuantum</v>
          </cell>
          <cell r="B190" t="str">
            <v>FB085</v>
          </cell>
          <cell r="C190" t="str">
            <v>CC</v>
          </cell>
          <cell r="D190" t="str">
            <v>NO</v>
          </cell>
          <cell r="E190" t="str">
            <v>ACTIVOS REG</v>
          </cell>
          <cell r="F190" t="str">
            <v>Miercoles</v>
          </cell>
          <cell r="G190"/>
          <cell r="H190"/>
          <cell r="I190"/>
          <cell r="J190"/>
          <cell r="K190"/>
          <cell r="L190"/>
          <cell r="M190"/>
          <cell r="N190" t="str">
            <v>IV</v>
          </cell>
          <cell r="O190" t="str">
            <v>Categoría IV</v>
          </cell>
          <cell r="P190" t="str">
            <v>Bioestimulante</v>
          </cell>
          <cell r="Q190"/>
          <cell r="R190" t="str">
            <v>-</v>
          </cell>
        </row>
        <row r="191">
          <cell r="A191" t="str">
            <v>KUMULUS DF</v>
          </cell>
          <cell r="B191" t="str">
            <v>PF116</v>
          </cell>
          <cell r="C191" t="str">
            <v>GR</v>
          </cell>
          <cell r="D191" t="str">
            <v>NO</v>
          </cell>
          <cell r="E191" t="str">
            <v>ACTIVOS NO REG</v>
          </cell>
          <cell r="F191" t="str">
            <v>Viernes</v>
          </cell>
          <cell r="G191"/>
          <cell r="H191"/>
          <cell r="I191" t="str">
            <v>Oidium</v>
          </cell>
          <cell r="J191" t="str">
            <v>Acaros</v>
          </cell>
          <cell r="K191"/>
          <cell r="L191"/>
          <cell r="M191" t="str">
            <v>AZUFRE</v>
          </cell>
          <cell r="N191" t="str">
            <v>III</v>
          </cell>
          <cell r="O191" t="str">
            <v>Ligeramente Peligrosos III</v>
          </cell>
          <cell r="P191" t="str">
            <v>Fungicida</v>
          </cell>
          <cell r="Q191" t="str">
            <v>SI</v>
          </cell>
          <cell r="R191" t="str">
            <v>-</v>
          </cell>
        </row>
        <row r="192">
          <cell r="A192" t="str">
            <v>LANCHAFIN EQ</v>
          </cell>
          <cell r="B192" t="str">
            <v>PF168</v>
          </cell>
          <cell r="C192" t="str">
            <v>CC</v>
          </cell>
          <cell r="D192" t="str">
            <v>SI</v>
          </cell>
          <cell r="E192" t="str">
            <v>ACTIVOS REG</v>
          </cell>
          <cell r="F192" t="str">
            <v>Jueves</v>
          </cell>
          <cell r="G192">
            <v>5.5</v>
          </cell>
          <cell r="H192">
            <v>6</v>
          </cell>
          <cell r="I192" t="str">
            <v>Peronóspora</v>
          </cell>
          <cell r="J192" t="str">
            <v>Alternaria</v>
          </cell>
          <cell r="K192"/>
          <cell r="L192"/>
          <cell r="M192" t="str">
            <v>Propineb + cimoxanil</v>
          </cell>
          <cell r="N192" t="str">
            <v>III</v>
          </cell>
          <cell r="O192" t="str">
            <v>Ligeramente Peligrosos III</v>
          </cell>
          <cell r="P192" t="str">
            <v>Fungicida</v>
          </cell>
          <cell r="Q192" t="str">
            <v>SI</v>
          </cell>
          <cell r="R192">
            <v>2</v>
          </cell>
        </row>
        <row r="193">
          <cell r="A193" t="str">
            <v>LANCHERO</v>
          </cell>
          <cell r="B193" t="str">
            <v>PF166</v>
          </cell>
          <cell r="C193" t="str">
            <v>CC</v>
          </cell>
          <cell r="D193" t="str">
            <v>SI</v>
          </cell>
          <cell r="E193" t="str">
            <v>ACTIVOS NO REG</v>
          </cell>
          <cell r="F193" t="str">
            <v>Viernes</v>
          </cell>
          <cell r="G193">
            <v>7</v>
          </cell>
          <cell r="H193"/>
          <cell r="I193" t="str">
            <v>Peronóspora</v>
          </cell>
          <cell r="J193" t="str">
            <v>Alternaria</v>
          </cell>
          <cell r="K193" t="str">
            <v>Phytophthora</v>
          </cell>
          <cell r="L193"/>
          <cell r="M193" t="str">
            <v>METALAXIL OXICLORURO DE COBRE</v>
          </cell>
          <cell r="N193" t="str">
            <v>III</v>
          </cell>
          <cell r="O193" t="str">
            <v>Ligeramente Peligrosos III</v>
          </cell>
          <cell r="P193" t="str">
            <v>Fungicida</v>
          </cell>
          <cell r="Q193" t="str">
            <v>SI</v>
          </cell>
          <cell r="R193">
            <v>1.6</v>
          </cell>
        </row>
        <row r="194">
          <cell r="A194" t="str">
            <v>LECHE</v>
          </cell>
          <cell r="B194" t="str">
            <v>FB072</v>
          </cell>
          <cell r="C194" t="str">
            <v>LITROS</v>
          </cell>
          <cell r="D194" t="str">
            <v>NO</v>
          </cell>
          <cell r="E194" t="str">
            <v>ACTIVOS NO REG</v>
          </cell>
          <cell r="F194" t="str">
            <v>Miercoles</v>
          </cell>
          <cell r="G194"/>
          <cell r="H194"/>
          <cell r="I194"/>
          <cell r="J194"/>
          <cell r="K194"/>
          <cell r="L194"/>
          <cell r="M194"/>
          <cell r="N194" t="str">
            <v>IV</v>
          </cell>
          <cell r="O194" t="str">
            <v>Categoría IV</v>
          </cell>
          <cell r="P194" t="str">
            <v>Bioestimulante</v>
          </cell>
          <cell r="Q194"/>
          <cell r="R194" t="str">
            <v>-</v>
          </cell>
          <cell r="S194"/>
        </row>
        <row r="195">
          <cell r="A195" t="str">
            <v>LECHE EN POLVO</v>
          </cell>
          <cell r="B195" t="str">
            <v>FB090</v>
          </cell>
          <cell r="C195" t="str">
            <v>KG</v>
          </cell>
          <cell r="D195" t="str">
            <v>NO</v>
          </cell>
          <cell r="E195" t="str">
            <v>ACTIVOS NO REG</v>
          </cell>
          <cell r="F195" t="str">
            <v>Miercoles</v>
          </cell>
          <cell r="G195"/>
          <cell r="H195"/>
          <cell r="I195"/>
          <cell r="J195"/>
          <cell r="K195"/>
          <cell r="L195"/>
          <cell r="M195"/>
          <cell r="N195" t="str">
            <v>IV</v>
          </cell>
          <cell r="O195" t="str">
            <v>Categoría IV</v>
          </cell>
          <cell r="P195" t="str">
            <v>Bioestimulante</v>
          </cell>
          <cell r="Q195"/>
          <cell r="R195" t="str">
            <v>-</v>
          </cell>
          <cell r="S195"/>
        </row>
        <row r="196">
          <cell r="A196" t="str">
            <v>LIBREL BMX</v>
          </cell>
          <cell r="B196" t="str">
            <v>FI001</v>
          </cell>
          <cell r="C196" t="str">
            <v>GR</v>
          </cell>
          <cell r="D196" t="str">
            <v>NO</v>
          </cell>
          <cell r="E196" t="str">
            <v>ACTIVOS NO REG</v>
          </cell>
          <cell r="F196"/>
          <cell r="G196" t="str">
            <v xml:space="preserve"> ---</v>
          </cell>
          <cell r="H196">
            <v>0</v>
          </cell>
          <cell r="I196" t="str">
            <v>Fertilización Foliar</v>
          </cell>
          <cell r="J196">
            <v>0</v>
          </cell>
          <cell r="K196">
            <v>0</v>
          </cell>
          <cell r="L196">
            <v>0</v>
          </cell>
          <cell r="M196" t="str">
            <v>Microelementos</v>
          </cell>
          <cell r="N196" t="str">
            <v>IV</v>
          </cell>
          <cell r="O196" t="str">
            <v>Categoría IV</v>
          </cell>
          <cell r="P196" t="str">
            <v>Fertilizante</v>
          </cell>
          <cell r="Q196"/>
          <cell r="R196" t="str">
            <v>-</v>
          </cell>
          <cell r="S196"/>
        </row>
        <row r="197">
          <cell r="A197" t="str">
            <v>LINUREX (LINURON)</v>
          </cell>
          <cell r="B197" t="str">
            <v>PI113</v>
          </cell>
          <cell r="C197" t="str">
            <v>CC</v>
          </cell>
          <cell r="D197" t="str">
            <v>NO</v>
          </cell>
          <cell r="E197" t="str">
            <v>ACTIVOS NO REG</v>
          </cell>
          <cell r="F197" t="str">
            <v>Lunes</v>
          </cell>
          <cell r="G197">
            <v>7</v>
          </cell>
          <cell r="H197">
            <v>6</v>
          </cell>
          <cell r="I197" t="str">
            <v>Pre y Post emergente</v>
          </cell>
          <cell r="J197">
            <v>0</v>
          </cell>
          <cell r="K197">
            <v>0</v>
          </cell>
          <cell r="L197">
            <v>0</v>
          </cell>
          <cell r="M197" t="str">
            <v>Linurón</v>
          </cell>
          <cell r="N197" t="str">
            <v>III</v>
          </cell>
          <cell r="O197" t="str">
            <v>Ligeramente Peligrosos III</v>
          </cell>
          <cell r="P197" t="str">
            <v>Insecticida</v>
          </cell>
          <cell r="Q197" t="str">
            <v>SI</v>
          </cell>
          <cell r="R197" t="str">
            <v>-</v>
          </cell>
        </row>
        <row r="198">
          <cell r="A198" t="str">
            <v>Lorsban</v>
          </cell>
          <cell r="B198" t="str">
            <v>PI018</v>
          </cell>
          <cell r="C198" t="str">
            <v>CC</v>
          </cell>
          <cell r="D198" t="str">
            <v>SI</v>
          </cell>
          <cell r="E198" t="str">
            <v>ACTIVOS REG</v>
          </cell>
          <cell r="F198" t="str">
            <v>Lunes</v>
          </cell>
          <cell r="G198">
            <v>5</v>
          </cell>
          <cell r="H198">
            <v>8</v>
          </cell>
          <cell r="I198" t="str">
            <v>Pulgón</v>
          </cell>
          <cell r="J198" t="str">
            <v>Mosca Blanca</v>
          </cell>
          <cell r="K198">
            <v>0</v>
          </cell>
          <cell r="L198">
            <v>0</v>
          </cell>
          <cell r="M198" t="str">
            <v>Clorpirifos</v>
          </cell>
          <cell r="N198" t="str">
            <v>II</v>
          </cell>
          <cell r="O198" t="str">
            <v>Moderadamente Peligrosos II</v>
          </cell>
          <cell r="P198" t="str">
            <v>Insecticida</v>
          </cell>
          <cell r="Q198" t="str">
            <v>SI</v>
          </cell>
          <cell r="R198">
            <v>1</v>
          </cell>
          <cell r="S198"/>
        </row>
        <row r="199">
          <cell r="A199" t="str">
            <v>MACHETE 60 EC</v>
          </cell>
          <cell r="B199" t="str">
            <v>PH017</v>
          </cell>
          <cell r="C199" t="str">
            <v>CC</v>
          </cell>
          <cell r="D199" t="str">
            <v>NO</v>
          </cell>
          <cell r="E199" t="str">
            <v>ACTIVOS NO REG</v>
          </cell>
          <cell r="F199"/>
          <cell r="G199"/>
          <cell r="H199"/>
          <cell r="I199"/>
          <cell r="J199"/>
          <cell r="K199"/>
          <cell r="L199"/>
          <cell r="M199" t="str">
            <v>BUTACHLOR</v>
          </cell>
          <cell r="N199" t="str">
            <v>IV</v>
          </cell>
          <cell r="O199" t="str">
            <v>Categoría IV</v>
          </cell>
          <cell r="P199" t="str">
            <v>Herbicida</v>
          </cell>
          <cell r="Q199" t="str">
            <v>SI</v>
          </cell>
          <cell r="R199" t="str">
            <v>-</v>
          </cell>
          <cell r="S199"/>
        </row>
        <row r="200">
          <cell r="A200" t="str">
            <v>Mancozeb</v>
          </cell>
          <cell r="B200" t="str">
            <v>PF049</v>
          </cell>
          <cell r="C200" t="str">
            <v>GR</v>
          </cell>
          <cell r="D200" t="str">
            <v>SI</v>
          </cell>
          <cell r="E200" t="str">
            <v>ACTIVOS REG</v>
          </cell>
          <cell r="F200" t="str">
            <v>Jueves</v>
          </cell>
          <cell r="G200">
            <v>7</v>
          </cell>
          <cell r="H200">
            <v>4</v>
          </cell>
          <cell r="I200" t="str">
            <v>Peronóspora</v>
          </cell>
          <cell r="J200"/>
          <cell r="K200"/>
          <cell r="L200"/>
          <cell r="M200" t="str">
            <v>Mancozeb</v>
          </cell>
          <cell r="N200" t="str">
            <v>IV</v>
          </cell>
          <cell r="O200" t="str">
            <v>Categoría IV</v>
          </cell>
          <cell r="P200" t="str">
            <v>Fungicida</v>
          </cell>
          <cell r="Q200" t="str">
            <v>SI</v>
          </cell>
          <cell r="R200">
            <v>1.5</v>
          </cell>
          <cell r="S200"/>
        </row>
        <row r="201">
          <cell r="A201" t="str">
            <v>MATABABOSA 5% CEBO</v>
          </cell>
          <cell r="B201" t="str">
            <v>PI054</v>
          </cell>
          <cell r="C201" t="str">
            <v>GR</v>
          </cell>
          <cell r="D201" t="str">
            <v>SI</v>
          </cell>
          <cell r="E201" t="str">
            <v>ACTIVOS REG</v>
          </cell>
          <cell r="F201" t="str">
            <v>Lunes</v>
          </cell>
          <cell r="G201" t="str">
            <v xml:space="preserve"> ---</v>
          </cell>
          <cell r="H201">
            <v>8</v>
          </cell>
          <cell r="I201" t="str">
            <v>Molusquisida</v>
          </cell>
          <cell r="J201">
            <v>0</v>
          </cell>
          <cell r="K201">
            <v>0</v>
          </cell>
          <cell r="L201">
            <v>0</v>
          </cell>
          <cell r="M201" t="str">
            <v>Metaldehido</v>
          </cell>
          <cell r="N201" t="str">
            <v>III</v>
          </cell>
          <cell r="O201" t="str">
            <v>Ligeramente Peligrosos III</v>
          </cell>
          <cell r="P201" t="str">
            <v>Insecticida</v>
          </cell>
          <cell r="Q201" t="str">
            <v>SI</v>
          </cell>
          <cell r="R201">
            <v>1.25</v>
          </cell>
          <cell r="S201"/>
        </row>
        <row r="202">
          <cell r="A202" t="str">
            <v>MAXFERRO</v>
          </cell>
          <cell r="B202" t="str">
            <v>FA034</v>
          </cell>
          <cell r="C202" t="str">
            <v>KG</v>
          </cell>
          <cell r="D202" t="str">
            <v>NO</v>
          </cell>
          <cell r="E202" t="str">
            <v>ACTIVOS NO REG</v>
          </cell>
          <cell r="F202"/>
          <cell r="G202" t="str">
            <v xml:space="preserve"> ---</v>
          </cell>
          <cell r="H202">
            <v>0</v>
          </cell>
          <cell r="I202" t="str">
            <v>Fertilización</v>
          </cell>
          <cell r="J202">
            <v>0</v>
          </cell>
          <cell r="K202">
            <v>0</v>
          </cell>
          <cell r="L202">
            <v>0</v>
          </cell>
          <cell r="M202" t="str">
            <v>Fe</v>
          </cell>
          <cell r="N202" t="str">
            <v>IV</v>
          </cell>
          <cell r="O202" t="str">
            <v>Categoría IV</v>
          </cell>
          <cell r="P202" t="str">
            <v>Fertilizante</v>
          </cell>
          <cell r="Q202"/>
          <cell r="R202">
            <v>0.05</v>
          </cell>
          <cell r="S202"/>
        </row>
        <row r="203">
          <cell r="A203" t="str">
            <v>MELAZA</v>
          </cell>
          <cell r="B203" t="str">
            <v>FB009</v>
          </cell>
          <cell r="C203" t="str">
            <v>CC</v>
          </cell>
          <cell r="D203" t="str">
            <v>NO</v>
          </cell>
          <cell r="E203" t="str">
            <v>ACTIVOS NO REG</v>
          </cell>
          <cell r="F203" t="str">
            <v>Miercoles</v>
          </cell>
          <cell r="G203" t="str">
            <v xml:space="preserve"> ---</v>
          </cell>
          <cell r="H203">
            <v>0</v>
          </cell>
          <cell r="I203" t="str">
            <v>Bioestimulante</v>
          </cell>
          <cell r="J203">
            <v>0</v>
          </cell>
          <cell r="K203">
            <v>0</v>
          </cell>
          <cell r="L203">
            <v>0</v>
          </cell>
          <cell r="M203" t="str">
            <v>Melaza</v>
          </cell>
          <cell r="N203" t="str">
            <v>IV</v>
          </cell>
          <cell r="O203" t="str">
            <v>Categoría IV</v>
          </cell>
          <cell r="P203" t="str">
            <v>Bioestimulante</v>
          </cell>
          <cell r="Q203" t="str">
            <v>NO HAY</v>
          </cell>
          <cell r="R203" t="str">
            <v>-</v>
          </cell>
          <cell r="S203"/>
        </row>
        <row r="204">
          <cell r="A204" t="str">
            <v>MELTATOX 40%</v>
          </cell>
          <cell r="B204" t="str">
            <v>PF014</v>
          </cell>
          <cell r="C204" t="str">
            <v>CC</v>
          </cell>
          <cell r="D204" t="str">
            <v>NO</v>
          </cell>
          <cell r="E204" t="str">
            <v>ACTIVOS NO REG</v>
          </cell>
          <cell r="F204" t="str">
            <v>Viernes</v>
          </cell>
          <cell r="G204">
            <v>7</v>
          </cell>
          <cell r="H204">
            <v>2</v>
          </cell>
          <cell r="I204" t="str">
            <v>Oidio</v>
          </cell>
          <cell r="J204" t="str">
            <v>Roya</v>
          </cell>
          <cell r="K204">
            <v>0</v>
          </cell>
          <cell r="L204">
            <v>0</v>
          </cell>
          <cell r="M204" t="str">
            <v>Dodemorph-acetate</v>
          </cell>
          <cell r="N204" t="str">
            <v>IV</v>
          </cell>
          <cell r="O204" t="str">
            <v>Categoría IV</v>
          </cell>
          <cell r="P204" t="str">
            <v>Fungicida</v>
          </cell>
          <cell r="Q204"/>
          <cell r="R204" t="str">
            <v>-</v>
          </cell>
          <cell r="S204"/>
        </row>
        <row r="205">
          <cell r="A205" t="str">
            <v>Mertect</v>
          </cell>
          <cell r="B205" t="str">
            <v>PF096</v>
          </cell>
          <cell r="C205" t="str">
            <v>CC</v>
          </cell>
          <cell r="D205" t="str">
            <v>NO</v>
          </cell>
          <cell r="E205" t="str">
            <v>ACTIVOS REG</v>
          </cell>
          <cell r="F205" t="str">
            <v>Viernes</v>
          </cell>
          <cell r="G205">
            <v>5</v>
          </cell>
          <cell r="H205">
            <v>4</v>
          </cell>
          <cell r="I205" t="str">
            <v>Botrytis</v>
          </cell>
          <cell r="J205" t="str">
            <v>Oidio</v>
          </cell>
          <cell r="K205">
            <v>0</v>
          </cell>
          <cell r="L205">
            <v>0</v>
          </cell>
          <cell r="M205" t="str">
            <v>Tiabenbazole</v>
          </cell>
          <cell r="N205" t="str">
            <v>IV</v>
          </cell>
          <cell r="O205" t="str">
            <v>Categoría IV</v>
          </cell>
          <cell r="P205" t="str">
            <v>Fungicida</v>
          </cell>
          <cell r="Q205" t="str">
            <v>SI</v>
          </cell>
          <cell r="R205" t="str">
            <v>-</v>
          </cell>
          <cell r="S205"/>
        </row>
        <row r="206">
          <cell r="A206" t="str">
            <v>Mesurol</v>
          </cell>
          <cell r="B206" t="str">
            <v>PI076</v>
          </cell>
          <cell r="C206" t="str">
            <v>CC</v>
          </cell>
          <cell r="D206" t="str">
            <v>SI</v>
          </cell>
          <cell r="E206" t="str">
            <v>ACTIVOS REG</v>
          </cell>
          <cell r="F206" t="str">
            <v>Lunes</v>
          </cell>
          <cell r="G206">
            <v>7</v>
          </cell>
          <cell r="H206">
            <v>24</v>
          </cell>
          <cell r="I206" t="str">
            <v>Trips</v>
          </cell>
          <cell r="J206">
            <v>0</v>
          </cell>
          <cell r="K206">
            <v>0</v>
          </cell>
          <cell r="L206">
            <v>0</v>
          </cell>
          <cell r="M206" t="str">
            <v>Metiocarb</v>
          </cell>
          <cell r="N206" t="str">
            <v>II</v>
          </cell>
          <cell r="O206" t="str">
            <v>Moderadamente Peligrosos II</v>
          </cell>
          <cell r="P206" t="str">
            <v>Insecticida</v>
          </cell>
          <cell r="Q206" t="str">
            <v>SI</v>
          </cell>
          <cell r="R206">
            <v>1</v>
          </cell>
        </row>
        <row r="207">
          <cell r="A207" t="str">
            <v>MESUROL POLVO</v>
          </cell>
          <cell r="B207" t="str">
            <v>PI021</v>
          </cell>
          <cell r="C207" t="str">
            <v>GR</v>
          </cell>
          <cell r="D207" t="str">
            <v>NO</v>
          </cell>
          <cell r="E207" t="str">
            <v>ACTIVOS NO REG</v>
          </cell>
          <cell r="F207" t="str">
            <v>Lunes</v>
          </cell>
          <cell r="G207">
            <v>7</v>
          </cell>
          <cell r="H207">
            <v>24</v>
          </cell>
          <cell r="I207" t="str">
            <v>Trips</v>
          </cell>
          <cell r="J207">
            <v>0</v>
          </cell>
          <cell r="K207">
            <v>0</v>
          </cell>
          <cell r="L207">
            <v>0</v>
          </cell>
          <cell r="M207" t="str">
            <v>Metiocarb</v>
          </cell>
          <cell r="N207" t="str">
            <v>II</v>
          </cell>
          <cell r="O207" t="str">
            <v>Moderadamente Peligrosos II</v>
          </cell>
          <cell r="P207" t="str">
            <v>Insecticida</v>
          </cell>
          <cell r="Q207" t="str">
            <v>SI</v>
          </cell>
          <cell r="R207" t="str">
            <v>-</v>
          </cell>
        </row>
        <row r="208">
          <cell r="A208" t="str">
            <v>Metalozato de B</v>
          </cell>
          <cell r="B208" t="str">
            <v>FB094</v>
          </cell>
          <cell r="C208" t="str">
            <v>CC</v>
          </cell>
          <cell r="D208" t="str">
            <v>NO</v>
          </cell>
          <cell r="E208" t="str">
            <v>ELIMINADOS REG</v>
          </cell>
          <cell r="F208" t="str">
            <v>Miercoles</v>
          </cell>
          <cell r="G208"/>
          <cell r="H208"/>
          <cell r="I208"/>
          <cell r="J208"/>
          <cell r="K208"/>
          <cell r="L208"/>
          <cell r="M208"/>
          <cell r="N208" t="str">
            <v>IV</v>
          </cell>
          <cell r="O208" t="str">
            <v>Categoría IV</v>
          </cell>
          <cell r="P208" t="str">
            <v>Bioestimulante</v>
          </cell>
          <cell r="Q208"/>
          <cell r="R208" t="str">
            <v>-</v>
          </cell>
          <cell r="S208"/>
        </row>
        <row r="209">
          <cell r="A209" t="str">
            <v>Metalozato de Ca</v>
          </cell>
          <cell r="B209" t="str">
            <v>FB093</v>
          </cell>
          <cell r="C209" t="str">
            <v>CC</v>
          </cell>
          <cell r="D209" t="str">
            <v>SI</v>
          </cell>
          <cell r="E209" t="str">
            <v>ACTIVOS REG</v>
          </cell>
          <cell r="F209" t="str">
            <v>Miercoles</v>
          </cell>
          <cell r="G209"/>
          <cell r="H209"/>
          <cell r="I209"/>
          <cell r="J209"/>
          <cell r="K209"/>
          <cell r="L209"/>
          <cell r="M209" t="str">
            <v>Quelatado de aminoacido de calcio</v>
          </cell>
          <cell r="N209" t="str">
            <v>IV</v>
          </cell>
          <cell r="O209" t="str">
            <v>Categoría IV</v>
          </cell>
          <cell r="P209" t="str">
            <v>Bioestimulante</v>
          </cell>
          <cell r="Q209" t="str">
            <v>NO HAY</v>
          </cell>
          <cell r="R209">
            <v>1.5</v>
          </cell>
          <cell r="S209"/>
        </row>
        <row r="210">
          <cell r="A210" t="str">
            <v>Metalozato K</v>
          </cell>
          <cell r="B210" t="str">
            <v>FB096</v>
          </cell>
          <cell r="C210" t="str">
            <v>CC</v>
          </cell>
          <cell r="D210" t="str">
            <v>SI</v>
          </cell>
          <cell r="E210" t="str">
            <v>ACTIVOS REG</v>
          </cell>
          <cell r="F210" t="str">
            <v>Miercoles</v>
          </cell>
          <cell r="G210"/>
          <cell r="H210"/>
          <cell r="I210"/>
          <cell r="J210"/>
          <cell r="K210"/>
          <cell r="L210"/>
          <cell r="M210"/>
          <cell r="N210" t="str">
            <v>IV</v>
          </cell>
          <cell r="O210" t="str">
            <v>Categoría IV</v>
          </cell>
          <cell r="P210" t="str">
            <v>Bioestimulante</v>
          </cell>
          <cell r="Q210"/>
          <cell r="R210">
            <v>1</v>
          </cell>
          <cell r="S210"/>
        </row>
        <row r="211">
          <cell r="A211" t="str">
            <v>Metapac</v>
          </cell>
          <cell r="B211" t="str">
            <v>PI007</v>
          </cell>
          <cell r="C211" t="str">
            <v>CC</v>
          </cell>
          <cell r="D211" t="str">
            <v>SI</v>
          </cell>
          <cell r="E211" t="str">
            <v>ACTIVOS REG</v>
          </cell>
          <cell r="F211" t="str">
            <v>Lunes</v>
          </cell>
          <cell r="G211"/>
          <cell r="H211"/>
          <cell r="I211"/>
          <cell r="J211"/>
          <cell r="K211"/>
          <cell r="L211"/>
          <cell r="M211" t="str">
            <v>Metomil</v>
          </cell>
          <cell r="N211" t="str">
            <v>I</v>
          </cell>
          <cell r="O211" t="str">
            <v>Altamente Peligrosos Ib</v>
          </cell>
          <cell r="P211" t="str">
            <v>Insecticida</v>
          </cell>
          <cell r="Q211" t="str">
            <v>Restringidos</v>
          </cell>
          <cell r="R211">
            <v>0.28999999999999998</v>
          </cell>
          <cell r="S211"/>
        </row>
        <row r="212">
          <cell r="A212" t="str">
            <v>Metavin</v>
          </cell>
          <cell r="B212" t="str">
            <v>PI023</v>
          </cell>
          <cell r="C212" t="str">
            <v>GR</v>
          </cell>
          <cell r="D212" t="str">
            <v>NO</v>
          </cell>
          <cell r="E212" t="str">
            <v>ACTIVOS REG</v>
          </cell>
          <cell r="F212" t="str">
            <v>Lunes</v>
          </cell>
          <cell r="G212">
            <v>6</v>
          </cell>
          <cell r="H212">
            <v>24</v>
          </cell>
          <cell r="I212" t="str">
            <v>Diabrotica</v>
          </cell>
          <cell r="J212" t="str">
            <v>Trozador</v>
          </cell>
          <cell r="K212">
            <v>0</v>
          </cell>
          <cell r="L212">
            <v>0</v>
          </cell>
          <cell r="M212" t="str">
            <v>Metomil</v>
          </cell>
          <cell r="N212" t="str">
            <v>I</v>
          </cell>
          <cell r="O212" t="str">
            <v>Altamente Peligrosos Ib</v>
          </cell>
          <cell r="P212" t="str">
            <v>Insecticida</v>
          </cell>
          <cell r="Q212" t="str">
            <v>Restringidos</v>
          </cell>
          <cell r="R212" t="str">
            <v>-</v>
          </cell>
          <cell r="S212"/>
        </row>
        <row r="213">
          <cell r="A213" t="str">
            <v>METAZAN MZ 72</v>
          </cell>
          <cell r="B213" t="str">
            <v>PF069</v>
          </cell>
          <cell r="C213" t="str">
            <v>GR</v>
          </cell>
          <cell r="D213" t="str">
            <v>NO</v>
          </cell>
          <cell r="E213" t="str">
            <v>ELIMINADOS NO REG</v>
          </cell>
          <cell r="F213" t="str">
            <v>Viernes</v>
          </cell>
          <cell r="G213">
            <v>5.5</v>
          </cell>
          <cell r="H213">
            <v>4</v>
          </cell>
          <cell r="I213" t="str">
            <v>Peronóspora</v>
          </cell>
          <cell r="J213">
            <v>0</v>
          </cell>
          <cell r="K213">
            <v>0</v>
          </cell>
          <cell r="L213">
            <v>0</v>
          </cell>
          <cell r="M213" t="str">
            <v>Metalaxil, Mancozeb</v>
          </cell>
          <cell r="N213" t="str">
            <v>III</v>
          </cell>
          <cell r="O213" t="str">
            <v>Ligeramente Peligrosos III</v>
          </cell>
          <cell r="P213" t="str">
            <v>Fungicida</v>
          </cell>
          <cell r="Q213" t="str">
            <v>SI</v>
          </cell>
          <cell r="R213" t="str">
            <v>-</v>
          </cell>
          <cell r="S213"/>
        </row>
        <row r="214">
          <cell r="A214" t="str">
            <v>METHASYSTOX</v>
          </cell>
          <cell r="B214" t="str">
            <v>PI107</v>
          </cell>
          <cell r="C214" t="str">
            <v>CC</v>
          </cell>
          <cell r="D214" t="str">
            <v>NO</v>
          </cell>
          <cell r="E214" t="str">
            <v>ACTIVOS NO REG</v>
          </cell>
          <cell r="F214" t="str">
            <v>Lunes</v>
          </cell>
          <cell r="G214"/>
          <cell r="H214"/>
          <cell r="I214"/>
          <cell r="J214"/>
          <cell r="K214"/>
          <cell r="L214"/>
          <cell r="M214"/>
          <cell r="N214"/>
          <cell r="O214"/>
          <cell r="P214" t="str">
            <v>Insecticida</v>
          </cell>
          <cell r="Q214" t="str">
            <v>NO HAY</v>
          </cell>
          <cell r="R214" t="str">
            <v>-</v>
          </cell>
        </row>
        <row r="215">
          <cell r="A215" t="str">
            <v>MILDEX</v>
          </cell>
          <cell r="B215" t="str">
            <v>PF124</v>
          </cell>
          <cell r="C215" t="str">
            <v>GR</v>
          </cell>
          <cell r="D215" t="str">
            <v>SI</v>
          </cell>
          <cell r="E215" t="str">
            <v>ACTIVOS NO REG</v>
          </cell>
          <cell r="F215" t="str">
            <v>Viernes</v>
          </cell>
          <cell r="G215">
            <v>6</v>
          </cell>
          <cell r="H215">
            <v>2</v>
          </cell>
          <cell r="I215" t="str">
            <v>Peronóspora</v>
          </cell>
          <cell r="J215">
            <v>0</v>
          </cell>
          <cell r="K215">
            <v>0</v>
          </cell>
          <cell r="L215">
            <v>0</v>
          </cell>
          <cell r="M215" t="str">
            <v>Fenamidone &amp; fosetyl aluminio</v>
          </cell>
          <cell r="N215" t="str">
            <v>IV</v>
          </cell>
          <cell r="O215" t="str">
            <v>Categoría IV</v>
          </cell>
          <cell r="P215" t="str">
            <v>Fungicida</v>
          </cell>
          <cell r="Q215" t="str">
            <v>SI</v>
          </cell>
          <cell r="R215">
            <v>0.8</v>
          </cell>
        </row>
        <row r="216">
          <cell r="A216" t="str">
            <v>MILOR</v>
          </cell>
          <cell r="B216" t="str">
            <v>PF156</v>
          </cell>
          <cell r="C216" t="str">
            <v>GR</v>
          </cell>
          <cell r="D216" t="str">
            <v>NO</v>
          </cell>
          <cell r="E216" t="str">
            <v>ACTIVOS REG</v>
          </cell>
          <cell r="F216" t="str">
            <v>Viernes</v>
          </cell>
          <cell r="G216"/>
          <cell r="H216"/>
          <cell r="I216"/>
          <cell r="J216"/>
          <cell r="K216"/>
          <cell r="L216"/>
          <cell r="M216" t="str">
            <v>Metalaxil, Mancozeb</v>
          </cell>
          <cell r="N216" t="str">
            <v>III</v>
          </cell>
          <cell r="O216" t="str">
            <v>Ligeramente Peligrosos III</v>
          </cell>
          <cell r="P216" t="str">
            <v>Fungicida</v>
          </cell>
          <cell r="Q216" t="str">
            <v>SI</v>
          </cell>
          <cell r="R216" t="str">
            <v>-</v>
          </cell>
        </row>
        <row r="217">
          <cell r="A217" t="str">
            <v>MIRAGE 450 EC</v>
          </cell>
          <cell r="B217" t="str">
            <v>PF100</v>
          </cell>
          <cell r="C217" t="str">
            <v>CC</v>
          </cell>
          <cell r="D217" t="str">
            <v>NO</v>
          </cell>
          <cell r="E217" t="str">
            <v>ACTIVOS NO REG</v>
          </cell>
          <cell r="F217" t="str">
            <v>Viernes</v>
          </cell>
          <cell r="G217"/>
          <cell r="H217"/>
          <cell r="I217" t="str">
            <v>Alternaria</v>
          </cell>
          <cell r="J217" t="str">
            <v>Botrytis</v>
          </cell>
          <cell r="K217" t="str">
            <v>Oidium</v>
          </cell>
          <cell r="L217" t="str">
            <v>Fusarium</v>
          </cell>
          <cell r="M217" t="str">
            <v>PROCLORAZ</v>
          </cell>
          <cell r="N217" t="str">
            <v>III</v>
          </cell>
          <cell r="O217" t="str">
            <v>Ligeramente Peligrosos III</v>
          </cell>
          <cell r="P217" t="str">
            <v>Fungicida</v>
          </cell>
          <cell r="Q217" t="str">
            <v>SI</v>
          </cell>
          <cell r="R217" t="str">
            <v>-</v>
          </cell>
        </row>
        <row r="218">
          <cell r="A218" t="str">
            <v>MITAC 20 EC</v>
          </cell>
          <cell r="B218" t="str">
            <v>PI043</v>
          </cell>
          <cell r="C218" t="str">
            <v>CC</v>
          </cell>
          <cell r="D218" t="str">
            <v>NO</v>
          </cell>
          <cell r="E218" t="str">
            <v>ACTIVOS NO REG</v>
          </cell>
          <cell r="F218" t="str">
            <v>Lunes</v>
          </cell>
          <cell r="G218" t="str">
            <v>4.5-7.5</v>
          </cell>
          <cell r="H218">
            <v>8</v>
          </cell>
          <cell r="I218" t="str">
            <v>Acaros</v>
          </cell>
          <cell r="J218">
            <v>0</v>
          </cell>
          <cell r="K218">
            <v>0</v>
          </cell>
          <cell r="L218">
            <v>0</v>
          </cell>
          <cell r="M218" t="str">
            <v>Amitraz</v>
          </cell>
          <cell r="N218" t="str">
            <v>III</v>
          </cell>
          <cell r="O218" t="str">
            <v>Ligeramente Peligrosos III</v>
          </cell>
          <cell r="P218" t="str">
            <v>Insecticida</v>
          </cell>
          <cell r="Q218" t="str">
            <v>SI</v>
          </cell>
          <cell r="R218" t="str">
            <v>-</v>
          </cell>
        </row>
        <row r="219">
          <cell r="A219" t="str">
            <v>MITECLEAN 10% SC</v>
          </cell>
          <cell r="B219" t="str">
            <v>PI071</v>
          </cell>
          <cell r="C219" t="str">
            <v>CC</v>
          </cell>
          <cell r="D219" t="str">
            <v>NO</v>
          </cell>
          <cell r="E219" t="str">
            <v>ACTIVOS NO REG</v>
          </cell>
          <cell r="F219" t="str">
            <v>Lunes</v>
          </cell>
          <cell r="G219" t="str">
            <v>4.5-7.5</v>
          </cell>
          <cell r="H219">
            <v>8</v>
          </cell>
          <cell r="I219" t="str">
            <v>Acaros</v>
          </cell>
          <cell r="J219">
            <v>0</v>
          </cell>
          <cell r="K219">
            <v>0</v>
          </cell>
          <cell r="L219">
            <v>0</v>
          </cell>
          <cell r="M219" t="str">
            <v>Pirimidifen</v>
          </cell>
          <cell r="N219" t="str">
            <v>III</v>
          </cell>
          <cell r="O219" t="str">
            <v>Ligeramente Peligrosos III</v>
          </cell>
          <cell r="P219" t="str">
            <v>Insecticida</v>
          </cell>
          <cell r="Q219" t="str">
            <v>SI</v>
          </cell>
          <cell r="R219" t="str">
            <v>-</v>
          </cell>
          <cell r="S219"/>
        </row>
        <row r="220">
          <cell r="A220" t="str">
            <v>MITIGAN 25 CE</v>
          </cell>
          <cell r="B220" t="str">
            <v>PI066</v>
          </cell>
          <cell r="C220" t="str">
            <v>CC</v>
          </cell>
          <cell r="D220" t="str">
            <v>NO</v>
          </cell>
          <cell r="E220" t="str">
            <v>ACTIVOS NO REG</v>
          </cell>
          <cell r="F220" t="str">
            <v>Lunes</v>
          </cell>
          <cell r="G220"/>
          <cell r="H220"/>
          <cell r="I220"/>
          <cell r="J220"/>
          <cell r="K220"/>
          <cell r="L220"/>
          <cell r="M220" t="str">
            <v>DICOFOL</v>
          </cell>
          <cell r="N220" t="str">
            <v>III</v>
          </cell>
          <cell r="O220" t="str">
            <v>Ligeramente Peligrosos III</v>
          </cell>
          <cell r="P220" t="str">
            <v>Insecticida</v>
          </cell>
          <cell r="Q220" t="str">
            <v>SI</v>
          </cell>
          <cell r="R220" t="str">
            <v>-</v>
          </cell>
          <cell r="S220"/>
        </row>
        <row r="221">
          <cell r="A221" t="str">
            <v>MOCAP GEL</v>
          </cell>
          <cell r="B221" t="str">
            <v>PN013</v>
          </cell>
          <cell r="C221" t="str">
            <v>CC</v>
          </cell>
          <cell r="D221" t="str">
            <v>NO</v>
          </cell>
          <cell r="E221" t="str">
            <v>ELIMINADOS NO REG</v>
          </cell>
          <cell r="F221"/>
          <cell r="G221"/>
          <cell r="H221"/>
          <cell r="I221"/>
          <cell r="J221"/>
          <cell r="K221"/>
          <cell r="L221"/>
          <cell r="M221" t="str">
            <v>ETHOPROP</v>
          </cell>
          <cell r="N221" t="str">
            <v>II</v>
          </cell>
          <cell r="O221" t="str">
            <v>Moderadamente Peligrosos II</v>
          </cell>
          <cell r="P221" t="str">
            <v>Nematicida - Insecticida</v>
          </cell>
          <cell r="Q221" t="str">
            <v>NO HAY</v>
          </cell>
          <cell r="R221" t="str">
            <v>-</v>
          </cell>
          <cell r="S221"/>
        </row>
        <row r="222">
          <cell r="A222" t="str">
            <v>MOCAP POLVO</v>
          </cell>
          <cell r="B222" t="str">
            <v>PN004</v>
          </cell>
          <cell r="C222" t="str">
            <v>GR</v>
          </cell>
          <cell r="D222" t="str">
            <v>NO</v>
          </cell>
          <cell r="E222" t="str">
            <v>ACTIVOS NO REG</v>
          </cell>
          <cell r="F222"/>
          <cell r="G222"/>
          <cell r="H222"/>
          <cell r="I222"/>
          <cell r="J222"/>
          <cell r="K222"/>
          <cell r="L222"/>
          <cell r="M222" t="str">
            <v>ETHOPROP</v>
          </cell>
          <cell r="N222" t="str">
            <v>II</v>
          </cell>
          <cell r="O222" t="str">
            <v>Moderadamente Peligrosos II</v>
          </cell>
          <cell r="P222" t="str">
            <v>Nematicida - Insecticida</v>
          </cell>
          <cell r="Q222" t="str">
            <v>NO HAY</v>
          </cell>
          <cell r="R222" t="str">
            <v>-</v>
          </cell>
          <cell r="S222"/>
        </row>
        <row r="223">
          <cell r="A223" t="str">
            <v>Molibdato de Amonio</v>
          </cell>
          <cell r="B223" t="str">
            <v>FI008</v>
          </cell>
          <cell r="C223" t="str">
            <v>GR</v>
          </cell>
          <cell r="D223" t="str">
            <v>SI</v>
          </cell>
          <cell r="E223" t="str">
            <v>ACTIVOS REG</v>
          </cell>
          <cell r="F223"/>
          <cell r="G223" t="str">
            <v xml:space="preserve"> ---</v>
          </cell>
          <cell r="H223">
            <v>0</v>
          </cell>
          <cell r="I223" t="str">
            <v>Fertilización</v>
          </cell>
          <cell r="J223">
            <v>0</v>
          </cell>
          <cell r="K223">
            <v>0</v>
          </cell>
          <cell r="L223">
            <v>0</v>
          </cell>
          <cell r="M223" t="str">
            <v>Mo</v>
          </cell>
          <cell r="N223" t="str">
            <v>IV</v>
          </cell>
          <cell r="O223" t="str">
            <v>Categoría IV</v>
          </cell>
          <cell r="P223" t="str">
            <v>Fertilizante</v>
          </cell>
          <cell r="Q223"/>
          <cell r="R223" t="str">
            <v>-</v>
          </cell>
          <cell r="S223"/>
        </row>
        <row r="224">
          <cell r="A224" t="str">
            <v>Muralla</v>
          </cell>
          <cell r="B224" t="str">
            <v>PI123</v>
          </cell>
          <cell r="C224" t="str">
            <v>CC</v>
          </cell>
          <cell r="D224" t="str">
            <v>NO</v>
          </cell>
          <cell r="E224" t="str">
            <v>ACTIVOS REG</v>
          </cell>
          <cell r="F224" t="str">
            <v>Lunes</v>
          </cell>
          <cell r="G224">
            <v>6</v>
          </cell>
          <cell r="H224">
            <v>4</v>
          </cell>
          <cell r="I224" t="str">
            <v>Mosca Blanca</v>
          </cell>
          <cell r="J224">
            <v>0</v>
          </cell>
          <cell r="K224">
            <v>0</v>
          </cell>
          <cell r="L224">
            <v>0</v>
          </cell>
          <cell r="M224" t="str">
            <v>Imidacloprid &amp; Cyflutrin</v>
          </cell>
          <cell r="N224" t="str">
            <v>IV</v>
          </cell>
          <cell r="O224" t="str">
            <v>Categoría IV</v>
          </cell>
          <cell r="P224" t="str">
            <v>Insecticida</v>
          </cell>
          <cell r="Q224" t="str">
            <v>SI</v>
          </cell>
          <cell r="R224" t="str">
            <v>-</v>
          </cell>
          <cell r="S224"/>
        </row>
        <row r="225">
          <cell r="A225" t="str">
            <v>MYCOBAC</v>
          </cell>
          <cell r="B225" t="str">
            <v>PF098</v>
          </cell>
          <cell r="C225" t="str">
            <v>GR</v>
          </cell>
          <cell r="D225" t="str">
            <v>NO</v>
          </cell>
          <cell r="E225" t="str">
            <v>ACTIVOS NO REG</v>
          </cell>
          <cell r="F225" t="str">
            <v>Viernes</v>
          </cell>
          <cell r="G225" t="str">
            <v>5.5-7.0</v>
          </cell>
          <cell r="H225"/>
          <cell r="I225" t="str">
            <v>Rhizoctonia</v>
          </cell>
          <cell r="J225" t="str">
            <v>Phytium</v>
          </cell>
          <cell r="K225" t="str">
            <v>Fusarium</v>
          </cell>
          <cell r="L225">
            <v>0</v>
          </cell>
          <cell r="M225"/>
          <cell r="N225"/>
          <cell r="O225"/>
          <cell r="P225" t="str">
            <v>Fungicida</v>
          </cell>
          <cell r="Q225" t="str">
            <v>NO HAY</v>
          </cell>
          <cell r="R225" t="str">
            <v>-</v>
          </cell>
          <cell r="S225"/>
        </row>
        <row r="226">
          <cell r="A226" t="str">
            <v>N. Calcio</v>
          </cell>
          <cell r="B226" t="str">
            <v>FA007</v>
          </cell>
          <cell r="C226" t="str">
            <v>KG</v>
          </cell>
          <cell r="D226" t="str">
            <v>SI</v>
          </cell>
          <cell r="E226" t="str">
            <v>ACTIVOS REG</v>
          </cell>
          <cell r="F226"/>
          <cell r="G226" t="str">
            <v xml:space="preserve"> ---</v>
          </cell>
          <cell r="H226">
            <v>0</v>
          </cell>
          <cell r="I226" t="str">
            <v>Fertilización</v>
          </cell>
          <cell r="J226">
            <v>0</v>
          </cell>
          <cell r="K226">
            <v>0</v>
          </cell>
          <cell r="L226">
            <v>0</v>
          </cell>
          <cell r="M226" t="str">
            <v>N - Ca</v>
          </cell>
          <cell r="N226" t="str">
            <v>IV</v>
          </cell>
          <cell r="O226" t="str">
            <v>Categoría IV</v>
          </cell>
          <cell r="P226" t="str">
            <v>Fertilizante</v>
          </cell>
          <cell r="Q226"/>
          <cell r="R226" t="str">
            <v>-</v>
          </cell>
          <cell r="S226"/>
        </row>
        <row r="227">
          <cell r="A227" t="str">
            <v>N. Potasio</v>
          </cell>
          <cell r="B227" t="str">
            <v>FA004</v>
          </cell>
          <cell r="C227" t="str">
            <v>KG</v>
          </cell>
          <cell r="D227" t="str">
            <v>SI</v>
          </cell>
          <cell r="E227" t="str">
            <v>ACTIVOS REG</v>
          </cell>
          <cell r="F227"/>
          <cell r="G227" t="str">
            <v xml:space="preserve"> ---</v>
          </cell>
          <cell r="H227">
            <v>0</v>
          </cell>
          <cell r="I227" t="str">
            <v>Fertilización</v>
          </cell>
          <cell r="J227">
            <v>0</v>
          </cell>
          <cell r="K227">
            <v>0</v>
          </cell>
          <cell r="L227">
            <v>0</v>
          </cell>
          <cell r="M227" t="str">
            <v>N - K</v>
          </cell>
          <cell r="N227" t="str">
            <v>IV</v>
          </cell>
          <cell r="O227" t="str">
            <v>Categoría IV</v>
          </cell>
          <cell r="P227" t="str">
            <v>Fertilizante</v>
          </cell>
          <cell r="Q227"/>
          <cell r="R227" t="str">
            <v>-</v>
          </cell>
          <cell r="S227"/>
        </row>
        <row r="228">
          <cell r="A228" t="str">
            <v>NAKAR 20 EC</v>
          </cell>
          <cell r="B228" t="str">
            <v>PI114</v>
          </cell>
          <cell r="C228" t="str">
            <v>CC</v>
          </cell>
          <cell r="D228" t="str">
            <v>NO</v>
          </cell>
          <cell r="E228" t="str">
            <v>ACTIVOS NO REG</v>
          </cell>
          <cell r="F228" t="str">
            <v>Lunes</v>
          </cell>
          <cell r="G228"/>
          <cell r="H228"/>
          <cell r="I228"/>
          <cell r="J228"/>
          <cell r="K228"/>
          <cell r="L228"/>
          <cell r="M228" t="str">
            <v>BENFURACARB</v>
          </cell>
          <cell r="N228" t="str">
            <v>III</v>
          </cell>
          <cell r="O228" t="str">
            <v>Ligeramente Peligrosos III</v>
          </cell>
          <cell r="P228" t="str">
            <v>Insecticida</v>
          </cell>
          <cell r="Q228" t="str">
            <v>SI</v>
          </cell>
          <cell r="R228" t="str">
            <v>-</v>
          </cell>
          <cell r="S228"/>
        </row>
        <row r="229">
          <cell r="A229" t="str">
            <v>NATURAMIN CALCIO</v>
          </cell>
          <cell r="B229" t="str">
            <v>FB060</v>
          </cell>
          <cell r="C229" t="str">
            <v>CC</v>
          </cell>
          <cell r="D229" t="str">
            <v>NO</v>
          </cell>
          <cell r="E229" t="str">
            <v>ACTIVOS REG</v>
          </cell>
          <cell r="F229" t="str">
            <v>Miercoles</v>
          </cell>
          <cell r="G229" t="str">
            <v xml:space="preserve"> ---</v>
          </cell>
          <cell r="H229">
            <v>0</v>
          </cell>
          <cell r="I229" t="str">
            <v>Fertilización Foliar</v>
          </cell>
          <cell r="J229">
            <v>0</v>
          </cell>
          <cell r="K229">
            <v>0</v>
          </cell>
          <cell r="L229">
            <v>0</v>
          </cell>
          <cell r="M229" t="str">
            <v>Aminoacidos, N, Ca, MaterioOrgánica</v>
          </cell>
          <cell r="N229" t="str">
            <v>IV</v>
          </cell>
          <cell r="O229" t="str">
            <v>Categoría IV</v>
          </cell>
          <cell r="P229" t="str">
            <v>Bioestimulante</v>
          </cell>
          <cell r="Q229"/>
          <cell r="R229" t="str">
            <v>-</v>
          </cell>
        </row>
        <row r="230">
          <cell r="A230" t="str">
            <v>NATURAMIN PLUS</v>
          </cell>
          <cell r="B230" t="str">
            <v>FB055</v>
          </cell>
          <cell r="C230" t="str">
            <v>CC</v>
          </cell>
          <cell r="D230" t="str">
            <v>NO</v>
          </cell>
          <cell r="E230" t="str">
            <v>ACTIVOS NO REG</v>
          </cell>
          <cell r="F230" t="str">
            <v>Miercoles</v>
          </cell>
          <cell r="G230" t="str">
            <v xml:space="preserve"> ---</v>
          </cell>
          <cell r="H230">
            <v>0</v>
          </cell>
          <cell r="I230" t="str">
            <v>Bioestimulante</v>
          </cell>
          <cell r="J230">
            <v>0</v>
          </cell>
          <cell r="K230">
            <v>0</v>
          </cell>
          <cell r="L230">
            <v>0</v>
          </cell>
          <cell r="M230" t="str">
            <v>Aminoácidos, Péptidos, N, P, K, B, Cu, Fe, Mn, Mo, Zn, Materia Orgánica</v>
          </cell>
          <cell r="N230" t="str">
            <v>IV</v>
          </cell>
          <cell r="O230" t="str">
            <v>Categoría IV</v>
          </cell>
          <cell r="P230" t="str">
            <v>Bioestimulante</v>
          </cell>
          <cell r="Q230"/>
          <cell r="R230" t="str">
            <v>-</v>
          </cell>
          <cell r="S230"/>
        </row>
        <row r="231">
          <cell r="A231" t="str">
            <v>NATURCOMPLET-G</v>
          </cell>
          <cell r="B231" t="str">
            <v>FA044</v>
          </cell>
          <cell r="C231" t="str">
            <v>GR</v>
          </cell>
          <cell r="D231" t="str">
            <v>NO</v>
          </cell>
          <cell r="E231" t="str">
            <v>ACTIVOS NO REG</v>
          </cell>
          <cell r="F231"/>
          <cell r="G231" t="str">
            <v xml:space="preserve"> ---</v>
          </cell>
          <cell r="H231">
            <v>0</v>
          </cell>
          <cell r="I231" t="str">
            <v>Abonado</v>
          </cell>
          <cell r="J231">
            <v>0</v>
          </cell>
          <cell r="K231">
            <v>0</v>
          </cell>
          <cell r="L231">
            <v>0</v>
          </cell>
          <cell r="M231" t="str">
            <v>N, K, Materia Orgánica, Fe, Acidos Húmicos y Fúlvicos</v>
          </cell>
          <cell r="N231" t="str">
            <v>IV</v>
          </cell>
          <cell r="O231" t="str">
            <v>Categoría IV</v>
          </cell>
          <cell r="P231" t="str">
            <v>Fertilizante</v>
          </cell>
          <cell r="Q231"/>
          <cell r="R231" t="str">
            <v>-</v>
          </cell>
          <cell r="S231"/>
        </row>
        <row r="232">
          <cell r="A232" t="str">
            <v>NATURFOS</v>
          </cell>
          <cell r="B232" t="str">
            <v>FB059</v>
          </cell>
          <cell r="C232" t="str">
            <v>CC</v>
          </cell>
          <cell r="D232" t="str">
            <v>NO</v>
          </cell>
          <cell r="E232" t="str">
            <v>ACTIVOS NO REG</v>
          </cell>
          <cell r="F232" t="str">
            <v>Miercoles</v>
          </cell>
          <cell r="G232" t="str">
            <v>5 a 9</v>
          </cell>
          <cell r="H232">
            <v>0</v>
          </cell>
          <cell r="I232" t="str">
            <v>Fitoalexinas, peronospora</v>
          </cell>
          <cell r="J232">
            <v>0</v>
          </cell>
          <cell r="K232">
            <v>0</v>
          </cell>
          <cell r="L232">
            <v>0</v>
          </cell>
          <cell r="M232" t="str">
            <v>P2O5, K2o</v>
          </cell>
          <cell r="N232" t="str">
            <v>IV</v>
          </cell>
          <cell r="O232" t="str">
            <v>Categoría IV</v>
          </cell>
          <cell r="P232" t="str">
            <v>Bioestimulante</v>
          </cell>
          <cell r="Q232"/>
          <cell r="R232" t="str">
            <v>-</v>
          </cell>
        </row>
        <row r="233">
          <cell r="A233" t="str">
            <v>NATURFRUIR BASIC</v>
          </cell>
          <cell r="B233" t="str">
            <v>FB056</v>
          </cell>
          <cell r="C233" t="str">
            <v>CC</v>
          </cell>
          <cell r="D233" t="str">
            <v>NO</v>
          </cell>
          <cell r="E233" t="str">
            <v>ACTIVOS NO REG</v>
          </cell>
          <cell r="F233" t="str">
            <v>Miercoles</v>
          </cell>
          <cell r="G233"/>
          <cell r="H233"/>
          <cell r="I233"/>
          <cell r="J233"/>
          <cell r="K233"/>
          <cell r="L233"/>
          <cell r="M233"/>
          <cell r="N233" t="str">
            <v>IV</v>
          </cell>
          <cell r="O233" t="str">
            <v>Categoría IV</v>
          </cell>
          <cell r="P233" t="str">
            <v>Bioestimulante</v>
          </cell>
          <cell r="Q233"/>
          <cell r="R233" t="str">
            <v>-</v>
          </cell>
          <cell r="S233"/>
        </row>
        <row r="234">
          <cell r="A234" t="str">
            <v>NATURMANGANESO</v>
          </cell>
          <cell r="B234" t="str">
            <v>FB067</v>
          </cell>
          <cell r="C234" t="str">
            <v>GR</v>
          </cell>
          <cell r="D234" t="str">
            <v>NO</v>
          </cell>
          <cell r="E234" t="str">
            <v>ACTIVOS NO REG</v>
          </cell>
          <cell r="F234" t="str">
            <v>Miercoles</v>
          </cell>
          <cell r="G234"/>
          <cell r="H234"/>
          <cell r="I234"/>
          <cell r="J234"/>
          <cell r="K234"/>
          <cell r="L234"/>
          <cell r="M234"/>
          <cell r="N234" t="str">
            <v>IV</v>
          </cell>
          <cell r="O234" t="str">
            <v>Categoría IV</v>
          </cell>
          <cell r="P234" t="str">
            <v>Bioestimulante</v>
          </cell>
          <cell r="Q234"/>
          <cell r="R234" t="str">
            <v>-</v>
          </cell>
          <cell r="S234"/>
        </row>
        <row r="235">
          <cell r="A235" t="str">
            <v>Naturmix L</v>
          </cell>
          <cell r="B235" t="str">
            <v>FB062</v>
          </cell>
          <cell r="C235" t="str">
            <v>CC</v>
          </cell>
          <cell r="D235" t="str">
            <v>NO</v>
          </cell>
          <cell r="E235" t="str">
            <v>ACTIVOS REG</v>
          </cell>
          <cell r="F235" t="str">
            <v>Miercoles</v>
          </cell>
          <cell r="G235" t="str">
            <v>5 a 9</v>
          </cell>
          <cell r="H235">
            <v>0</v>
          </cell>
          <cell r="I235" t="str">
            <v>Fertilización Foliar</v>
          </cell>
          <cell r="J235">
            <v>0</v>
          </cell>
          <cell r="K235">
            <v>0</v>
          </cell>
          <cell r="L235">
            <v>0</v>
          </cell>
          <cell r="M235" t="str">
            <v>N, SO3 y Microelementos</v>
          </cell>
          <cell r="N235" t="str">
            <v>IV</v>
          </cell>
          <cell r="O235" t="str">
            <v>Categoría IV</v>
          </cell>
          <cell r="P235" t="str">
            <v>Bioestimulante</v>
          </cell>
          <cell r="Q235"/>
          <cell r="R235" t="str">
            <v>-</v>
          </cell>
          <cell r="S235"/>
        </row>
        <row r="236">
          <cell r="A236" t="str">
            <v>NATURMIX MG</v>
          </cell>
          <cell r="B236" t="str">
            <v>FB069</v>
          </cell>
          <cell r="C236" t="str">
            <v>CC</v>
          </cell>
          <cell r="D236" t="str">
            <v>NO</v>
          </cell>
          <cell r="E236" t="str">
            <v>ACTIVOS NO REG</v>
          </cell>
          <cell r="F236" t="str">
            <v>Miercoles</v>
          </cell>
          <cell r="G236"/>
          <cell r="H236"/>
          <cell r="I236"/>
          <cell r="J236"/>
          <cell r="K236"/>
          <cell r="L236"/>
          <cell r="M236"/>
          <cell r="N236" t="str">
            <v>IV</v>
          </cell>
          <cell r="O236" t="str">
            <v>Categoría IV</v>
          </cell>
          <cell r="P236" t="str">
            <v>Bioestimulante</v>
          </cell>
          <cell r="Q236"/>
          <cell r="R236" t="str">
            <v>-</v>
          </cell>
          <cell r="S236"/>
        </row>
        <row r="237">
          <cell r="A237" t="str">
            <v>NATURQUEL FE</v>
          </cell>
          <cell r="B237" t="str">
            <v>FA043</v>
          </cell>
          <cell r="C237" t="str">
            <v>GR</v>
          </cell>
          <cell r="D237" t="str">
            <v>NO</v>
          </cell>
          <cell r="E237" t="str">
            <v>ACTIVOS NO REG</v>
          </cell>
          <cell r="F237"/>
          <cell r="G237" t="str">
            <v xml:space="preserve"> ---</v>
          </cell>
          <cell r="H237">
            <v>0</v>
          </cell>
          <cell r="I237" t="str">
            <v>Fertilización</v>
          </cell>
          <cell r="J237">
            <v>0</v>
          </cell>
          <cell r="K237">
            <v>0</v>
          </cell>
          <cell r="L237">
            <v>0</v>
          </cell>
          <cell r="M237" t="str">
            <v>Fe</v>
          </cell>
          <cell r="N237" t="str">
            <v>IV</v>
          </cell>
          <cell r="O237" t="str">
            <v>Categoría IV</v>
          </cell>
          <cell r="P237" t="str">
            <v>Fertilizante</v>
          </cell>
          <cell r="Q237"/>
          <cell r="R237" t="str">
            <v>-</v>
          </cell>
          <cell r="S237"/>
        </row>
        <row r="238">
          <cell r="A238" t="str">
            <v>NATURQUEL MG</v>
          </cell>
          <cell r="B238" t="str">
            <v>FB061</v>
          </cell>
          <cell r="C238" t="str">
            <v>CC</v>
          </cell>
          <cell r="D238" t="str">
            <v>NO</v>
          </cell>
          <cell r="E238" t="str">
            <v>ACTIVOS NO REG</v>
          </cell>
          <cell r="F238" t="str">
            <v>Miercoles</v>
          </cell>
          <cell r="G238"/>
          <cell r="H238"/>
          <cell r="I238"/>
          <cell r="J238"/>
          <cell r="K238"/>
          <cell r="L238"/>
          <cell r="M238"/>
          <cell r="N238" t="str">
            <v>IV</v>
          </cell>
          <cell r="O238" t="str">
            <v>Categoría IV</v>
          </cell>
          <cell r="P238" t="str">
            <v>Bioestimulante</v>
          </cell>
          <cell r="Q238"/>
          <cell r="R238" t="str">
            <v>-</v>
          </cell>
          <cell r="S238"/>
        </row>
        <row r="239">
          <cell r="A239" t="str">
            <v>NATURQUELZN/MN</v>
          </cell>
          <cell r="B239" t="str">
            <v>FB068</v>
          </cell>
          <cell r="C239" t="str">
            <v>CC</v>
          </cell>
          <cell r="D239" t="str">
            <v>NO</v>
          </cell>
          <cell r="E239" t="str">
            <v>ACTIVOS NO REG</v>
          </cell>
          <cell r="F239" t="str">
            <v>Miercoles</v>
          </cell>
          <cell r="G239" t="str">
            <v>5 a 9</v>
          </cell>
          <cell r="H239">
            <v>0</v>
          </cell>
          <cell r="I239" t="str">
            <v>Fertilización Foliar</v>
          </cell>
          <cell r="J239">
            <v>0</v>
          </cell>
          <cell r="K239">
            <v>0</v>
          </cell>
          <cell r="L239">
            <v>0</v>
          </cell>
          <cell r="M239" t="str">
            <v>Mn, Zn</v>
          </cell>
          <cell r="N239" t="str">
            <v>IV</v>
          </cell>
          <cell r="O239" t="str">
            <v>Categoría IV</v>
          </cell>
          <cell r="P239" t="str">
            <v>Bioestimulante</v>
          </cell>
          <cell r="Q239"/>
          <cell r="R239" t="str">
            <v>-</v>
          </cell>
          <cell r="S239"/>
        </row>
        <row r="240">
          <cell r="A240" t="str">
            <v>NATURVIGOR</v>
          </cell>
          <cell r="B240" t="str">
            <v>FA037</v>
          </cell>
          <cell r="C240" t="str">
            <v>GR</v>
          </cell>
          <cell r="D240" t="str">
            <v>NO</v>
          </cell>
          <cell r="E240" t="str">
            <v>ACTIVOS NO REG</v>
          </cell>
          <cell r="F240"/>
          <cell r="G240"/>
          <cell r="H240"/>
          <cell r="I240"/>
          <cell r="J240"/>
          <cell r="K240"/>
          <cell r="L240"/>
          <cell r="M240"/>
          <cell r="N240" t="str">
            <v>IV</v>
          </cell>
          <cell r="O240" t="str">
            <v>Categoría IV</v>
          </cell>
          <cell r="P240" t="str">
            <v>Fertilizante</v>
          </cell>
          <cell r="Q240"/>
          <cell r="R240" t="str">
            <v>-</v>
          </cell>
          <cell r="S240"/>
        </row>
        <row r="241">
          <cell r="A241" t="str">
            <v>NATURVITAL PLUS</v>
          </cell>
          <cell r="B241" t="str">
            <v>FB057</v>
          </cell>
          <cell r="C241" t="str">
            <v>CC</v>
          </cell>
          <cell r="D241" t="str">
            <v>NO</v>
          </cell>
          <cell r="E241" t="str">
            <v>ACTIVOS NO REG</v>
          </cell>
          <cell r="F241" t="str">
            <v>Miercoles</v>
          </cell>
          <cell r="G241"/>
          <cell r="H241"/>
          <cell r="I241"/>
          <cell r="J241"/>
          <cell r="K241"/>
          <cell r="L241"/>
          <cell r="M241"/>
          <cell r="N241" t="str">
            <v>IV</v>
          </cell>
          <cell r="O241" t="str">
            <v>Categoría IV</v>
          </cell>
          <cell r="P241" t="str">
            <v>Bioestimulante</v>
          </cell>
          <cell r="Q241"/>
          <cell r="R241" t="str">
            <v>-</v>
          </cell>
          <cell r="S241"/>
        </row>
        <row r="242">
          <cell r="A242" t="str">
            <v>NEEM KNOCK</v>
          </cell>
          <cell r="B242" t="str">
            <v>PI081</v>
          </cell>
          <cell r="C242" t="str">
            <v>CC</v>
          </cell>
          <cell r="D242" t="str">
            <v>NO</v>
          </cell>
          <cell r="E242" t="str">
            <v>ACTIVOS NO REG</v>
          </cell>
          <cell r="F242" t="str">
            <v>Lunes</v>
          </cell>
          <cell r="G242"/>
          <cell r="H242"/>
          <cell r="I242"/>
          <cell r="J242"/>
          <cell r="K242"/>
          <cell r="L242"/>
          <cell r="M242" t="str">
            <v>AZADIRACHTINA</v>
          </cell>
          <cell r="N242" t="str">
            <v>IV</v>
          </cell>
          <cell r="O242" t="str">
            <v>Categoría IV</v>
          </cell>
          <cell r="P242" t="str">
            <v>Insecticida</v>
          </cell>
          <cell r="Q242" t="str">
            <v>SI</v>
          </cell>
          <cell r="R242" t="str">
            <v>-</v>
          </cell>
          <cell r="S242"/>
        </row>
        <row r="243">
          <cell r="A243" t="str">
            <v>New BT 2x</v>
          </cell>
          <cell r="B243" t="str">
            <v>PI130</v>
          </cell>
          <cell r="C243" t="str">
            <v>GR</v>
          </cell>
          <cell r="D243" t="str">
            <v>NO</v>
          </cell>
          <cell r="E243" t="str">
            <v>ACTIVOS REG</v>
          </cell>
          <cell r="F243" t="str">
            <v>Lunes</v>
          </cell>
          <cell r="G243">
            <v>5</v>
          </cell>
          <cell r="H243">
            <v>0</v>
          </cell>
          <cell r="I243" t="str">
            <v>Larvas de lepidópteros</v>
          </cell>
          <cell r="J243">
            <v>0</v>
          </cell>
          <cell r="K243">
            <v>0</v>
          </cell>
          <cell r="L243">
            <v>0</v>
          </cell>
          <cell r="M243" t="str">
            <v>BACILLUS THURINGIENSIS</v>
          </cell>
          <cell r="N243" t="str">
            <v>IV</v>
          </cell>
          <cell r="O243" t="str">
            <v>Categoría IV</v>
          </cell>
          <cell r="P243" t="str">
            <v>Insecticida</v>
          </cell>
          <cell r="Q243" t="str">
            <v>SI</v>
          </cell>
          <cell r="R243" t="str">
            <v>-</v>
          </cell>
          <cell r="S243"/>
        </row>
        <row r="244">
          <cell r="A244" t="str">
            <v>NIMROD</v>
          </cell>
          <cell r="B244" t="str">
            <v>PF043</v>
          </cell>
          <cell r="C244" t="str">
            <v>CC</v>
          </cell>
          <cell r="D244" t="str">
            <v>NO</v>
          </cell>
          <cell r="E244" t="str">
            <v>ACTIVOS NO REG</v>
          </cell>
          <cell r="F244" t="str">
            <v>Viernes</v>
          </cell>
          <cell r="G244" t="str">
            <v xml:space="preserve"> ---</v>
          </cell>
          <cell r="H244">
            <v>6</v>
          </cell>
          <cell r="I244" t="str">
            <v>Oidio</v>
          </cell>
          <cell r="J244">
            <v>0</v>
          </cell>
          <cell r="K244">
            <v>0</v>
          </cell>
          <cell r="L244">
            <v>0</v>
          </cell>
          <cell r="M244" t="str">
            <v>Bupiramato</v>
          </cell>
          <cell r="N244" t="str">
            <v>IV</v>
          </cell>
          <cell r="O244" t="str">
            <v>Categoría IV</v>
          </cell>
          <cell r="P244" t="str">
            <v>Fungicida</v>
          </cell>
          <cell r="Q244" t="str">
            <v>SI</v>
          </cell>
          <cell r="R244">
            <v>1.5</v>
          </cell>
          <cell r="S244"/>
        </row>
        <row r="245">
          <cell r="A245" t="str">
            <v>Ninja</v>
          </cell>
          <cell r="B245" t="str">
            <v>PI131</v>
          </cell>
          <cell r="C245" t="str">
            <v>CC</v>
          </cell>
          <cell r="D245" t="str">
            <v>NO</v>
          </cell>
          <cell r="E245" t="str">
            <v>ACTIVOS REG</v>
          </cell>
          <cell r="F245" t="str">
            <v>Lunes</v>
          </cell>
          <cell r="G245">
            <v>5</v>
          </cell>
          <cell r="H245">
            <v>8</v>
          </cell>
          <cell r="I245" t="str">
            <v>Trips</v>
          </cell>
          <cell r="J245"/>
          <cell r="K245"/>
          <cell r="L245"/>
          <cell r="M245" t="str">
            <v>Lambda-cihalotrina</v>
          </cell>
          <cell r="N245" t="str">
            <v>III</v>
          </cell>
          <cell r="O245" t="str">
            <v>Ligeramente Peligrosos III</v>
          </cell>
          <cell r="P245" t="str">
            <v>Insecticida</v>
          </cell>
          <cell r="Q245" t="str">
            <v>SI</v>
          </cell>
          <cell r="R245" t="str">
            <v>-</v>
          </cell>
        </row>
        <row r="246">
          <cell r="A246" t="str">
            <v>NISSORUM</v>
          </cell>
          <cell r="B246" t="str">
            <v>PI025</v>
          </cell>
          <cell r="C246" t="str">
            <v>GR</v>
          </cell>
          <cell r="D246" t="str">
            <v>NO</v>
          </cell>
          <cell r="E246" t="str">
            <v>ACTIVOS NO REG</v>
          </cell>
          <cell r="F246" t="str">
            <v>Lunes</v>
          </cell>
          <cell r="G246">
            <v>6</v>
          </cell>
          <cell r="H246">
            <v>4</v>
          </cell>
          <cell r="I246" t="str">
            <v>Acaros</v>
          </cell>
          <cell r="J246">
            <v>0</v>
          </cell>
          <cell r="K246">
            <v>0</v>
          </cell>
          <cell r="L246">
            <v>0</v>
          </cell>
          <cell r="M246" t="str">
            <v>Hexitiazox</v>
          </cell>
          <cell r="N246" t="str">
            <v>IV</v>
          </cell>
          <cell r="O246" t="str">
            <v>Categoría IV</v>
          </cell>
          <cell r="P246" t="str">
            <v>Insecticida</v>
          </cell>
          <cell r="Q246" t="str">
            <v>NO HAY</v>
          </cell>
          <cell r="R246" t="str">
            <v>-</v>
          </cell>
          <cell r="S246"/>
        </row>
        <row r="247">
          <cell r="A247" t="str">
            <v>Nit 30-10-10</v>
          </cell>
          <cell r="B247" t="str">
            <v>FI013</v>
          </cell>
          <cell r="C247" t="str">
            <v>GR</v>
          </cell>
          <cell r="D247" t="str">
            <v>NO</v>
          </cell>
          <cell r="E247" t="str">
            <v>ACTIVOS REG</v>
          </cell>
          <cell r="F247"/>
          <cell r="G247" t="str">
            <v xml:space="preserve"> ---</v>
          </cell>
          <cell r="H247">
            <v>0</v>
          </cell>
          <cell r="I247" t="str">
            <v>Fertilización Foliar</v>
          </cell>
          <cell r="J247">
            <v>0</v>
          </cell>
          <cell r="K247">
            <v>0</v>
          </cell>
          <cell r="L247">
            <v>0</v>
          </cell>
          <cell r="M247" t="str">
            <v>N, P, K</v>
          </cell>
          <cell r="N247" t="str">
            <v>IV</v>
          </cell>
          <cell r="O247" t="str">
            <v>Categoría IV</v>
          </cell>
          <cell r="P247" t="str">
            <v>Fertilizante</v>
          </cell>
          <cell r="Q247"/>
          <cell r="R247" t="str">
            <v>-</v>
          </cell>
          <cell r="S247"/>
        </row>
        <row r="248">
          <cell r="A248" t="str">
            <v>Nitrato de Amonio</v>
          </cell>
          <cell r="B248" t="str">
            <v>FA003</v>
          </cell>
          <cell r="C248" t="str">
            <v>KG</v>
          </cell>
          <cell r="D248" t="str">
            <v>SI</v>
          </cell>
          <cell r="E248" t="str">
            <v>ACTIVOS REG</v>
          </cell>
          <cell r="F248"/>
          <cell r="G248" t="str">
            <v xml:space="preserve"> ---</v>
          </cell>
          <cell r="H248">
            <v>0</v>
          </cell>
          <cell r="I248" t="str">
            <v>Fertilización</v>
          </cell>
          <cell r="J248">
            <v>0</v>
          </cell>
          <cell r="K248">
            <v>0</v>
          </cell>
          <cell r="L248">
            <v>0</v>
          </cell>
          <cell r="M248" t="str">
            <v>N</v>
          </cell>
          <cell r="N248" t="str">
            <v>IV</v>
          </cell>
          <cell r="O248" t="str">
            <v>Categoría IV</v>
          </cell>
          <cell r="P248" t="str">
            <v>Fertilizante</v>
          </cell>
          <cell r="Q248"/>
          <cell r="R248" t="str">
            <v>-</v>
          </cell>
        </row>
        <row r="249">
          <cell r="A249" t="str">
            <v>NITRATO DE MAGNESIO</v>
          </cell>
          <cell r="B249" t="str">
            <v>FA030</v>
          </cell>
          <cell r="C249" t="str">
            <v>KG</v>
          </cell>
          <cell r="D249" t="str">
            <v>SI</v>
          </cell>
          <cell r="E249" t="str">
            <v>ACTIVOS NO REG</v>
          </cell>
          <cell r="F249"/>
          <cell r="G249"/>
          <cell r="H249"/>
          <cell r="I249"/>
          <cell r="J249"/>
          <cell r="K249"/>
          <cell r="L249"/>
          <cell r="M249"/>
          <cell r="N249" t="str">
            <v>IV</v>
          </cell>
          <cell r="O249" t="str">
            <v>Categoría IV</v>
          </cell>
          <cell r="P249" t="str">
            <v>Fertilizante</v>
          </cell>
          <cell r="Q249"/>
          <cell r="R249" t="str">
            <v>-</v>
          </cell>
          <cell r="S249"/>
        </row>
        <row r="250">
          <cell r="A250" t="str">
            <v>NITROFOSKA 20-19-19</v>
          </cell>
          <cell r="B250" t="str">
            <v>FI029</v>
          </cell>
          <cell r="C250" t="str">
            <v>GR</v>
          </cell>
          <cell r="D250" t="str">
            <v>NO</v>
          </cell>
          <cell r="E250" t="str">
            <v>ACTIVOS NO REG</v>
          </cell>
          <cell r="F250"/>
          <cell r="G250"/>
          <cell r="H250"/>
          <cell r="I250"/>
          <cell r="J250"/>
          <cell r="K250"/>
          <cell r="L250"/>
          <cell r="M250"/>
          <cell r="N250" t="str">
            <v>IV</v>
          </cell>
          <cell r="O250" t="str">
            <v>Categoría IV</v>
          </cell>
          <cell r="P250" t="str">
            <v>Fertilizante</v>
          </cell>
          <cell r="Q250"/>
          <cell r="R250" t="str">
            <v>-</v>
          </cell>
          <cell r="S250"/>
        </row>
        <row r="251">
          <cell r="A251" t="str">
            <v>Nitrofoska foliar 8-12-24</v>
          </cell>
          <cell r="B251" t="str">
            <v>FI028</v>
          </cell>
          <cell r="C251" t="str">
            <v>GR</v>
          </cell>
          <cell r="D251" t="str">
            <v>SI</v>
          </cell>
          <cell r="E251" t="str">
            <v>ACTIVOS REG</v>
          </cell>
          <cell r="F251"/>
          <cell r="G251" t="str">
            <v xml:space="preserve"> ---</v>
          </cell>
          <cell r="H251" t="str">
            <v xml:space="preserve"> ---</v>
          </cell>
          <cell r="I251" t="str">
            <v>Fertilización Foliar</v>
          </cell>
          <cell r="J251">
            <v>0</v>
          </cell>
          <cell r="K251">
            <v>0</v>
          </cell>
          <cell r="L251">
            <v>0</v>
          </cell>
          <cell r="M251" t="str">
            <v>N, P, K</v>
          </cell>
          <cell r="N251" t="str">
            <v>IV</v>
          </cell>
          <cell r="O251" t="str">
            <v>Categoría IV</v>
          </cell>
          <cell r="P251" t="str">
            <v>Fertilizante</v>
          </cell>
          <cell r="Q251"/>
          <cell r="R251">
            <v>1</v>
          </cell>
          <cell r="S251"/>
        </row>
        <row r="252">
          <cell r="A252" t="str">
            <v>Nitrofoska Azúl 12-12-17+2</v>
          </cell>
          <cell r="B252" t="str">
            <v>FA051</v>
          </cell>
          <cell r="C252" t="str">
            <v>KG</v>
          </cell>
          <cell r="D252" t="str">
            <v>SI</v>
          </cell>
          <cell r="E252" t="str">
            <v>ACTIVOS REG</v>
          </cell>
          <cell r="F252"/>
          <cell r="G252"/>
          <cell r="H252"/>
          <cell r="I252"/>
          <cell r="J252"/>
          <cell r="K252"/>
          <cell r="L252"/>
          <cell r="M252"/>
          <cell r="N252" t="str">
            <v>IV</v>
          </cell>
          <cell r="O252" t="str">
            <v>Categoría IV</v>
          </cell>
          <cell r="P252" t="str">
            <v>Fertilizante</v>
          </cell>
          <cell r="Q252"/>
          <cell r="R252" t="str">
            <v>-</v>
          </cell>
        </row>
        <row r="253">
          <cell r="A253" t="str">
            <v>Nitrofoska Azúl 12-12-17+2</v>
          </cell>
          <cell r="B253" t="str">
            <v>FA051</v>
          </cell>
          <cell r="C253" t="str">
            <v>KG</v>
          </cell>
          <cell r="D253" t="str">
            <v>SI</v>
          </cell>
          <cell r="E253" t="str">
            <v>ELIMINADOS REG</v>
          </cell>
          <cell r="F253"/>
          <cell r="G253"/>
          <cell r="H253"/>
          <cell r="I253"/>
          <cell r="J253"/>
          <cell r="K253"/>
          <cell r="L253"/>
          <cell r="M253"/>
          <cell r="N253" t="str">
            <v>IV</v>
          </cell>
          <cell r="O253" t="str">
            <v>Categoría IV</v>
          </cell>
          <cell r="P253" t="str">
            <v>Fertilizante</v>
          </cell>
          <cell r="Q253"/>
          <cell r="R253" t="str">
            <v>-</v>
          </cell>
          <cell r="S253"/>
        </row>
        <row r="254">
          <cell r="A254" t="str">
            <v>NITROFOSKA LIQUIDO 10-4-7</v>
          </cell>
          <cell r="B254" t="str">
            <v>FI011</v>
          </cell>
          <cell r="C254" t="str">
            <v>CC</v>
          </cell>
          <cell r="D254" t="str">
            <v>NO</v>
          </cell>
          <cell r="E254" t="str">
            <v>ACTIVOS NO REG</v>
          </cell>
          <cell r="F254"/>
          <cell r="G254" t="str">
            <v xml:space="preserve"> ---</v>
          </cell>
          <cell r="H254">
            <v>0</v>
          </cell>
          <cell r="I254" t="str">
            <v>Fertilización Foliar</v>
          </cell>
          <cell r="J254">
            <v>0</v>
          </cell>
          <cell r="K254">
            <v>0</v>
          </cell>
          <cell r="L254">
            <v>0</v>
          </cell>
          <cell r="M254" t="str">
            <v>N, P, K</v>
          </cell>
          <cell r="N254" t="str">
            <v>IV</v>
          </cell>
          <cell r="O254" t="str">
            <v>Categoría IV</v>
          </cell>
          <cell r="P254" t="str">
            <v>Fertilizante</v>
          </cell>
          <cell r="Q254"/>
          <cell r="R254" t="str">
            <v>-</v>
          </cell>
        </row>
        <row r="255">
          <cell r="A255" t="str">
            <v>NOVAK M 70%</v>
          </cell>
          <cell r="B255" t="str">
            <v>PF066</v>
          </cell>
          <cell r="C255" t="str">
            <v>GR</v>
          </cell>
          <cell r="D255" t="str">
            <v>SI</v>
          </cell>
          <cell r="E255" t="str">
            <v>ACTIVOS REG</v>
          </cell>
          <cell r="F255" t="str">
            <v>Viernes</v>
          </cell>
          <cell r="G255">
            <v>5.5</v>
          </cell>
          <cell r="H255">
            <v>2</v>
          </cell>
          <cell r="I255" t="str">
            <v>Botrytis</v>
          </cell>
          <cell r="J255" t="str">
            <v>Oidium</v>
          </cell>
          <cell r="K255">
            <v>0</v>
          </cell>
          <cell r="L255">
            <v>0</v>
          </cell>
          <cell r="M255" t="str">
            <v>Metil tiofanato</v>
          </cell>
          <cell r="N255" t="str">
            <v>IV</v>
          </cell>
          <cell r="O255" t="str">
            <v>Categoría IV</v>
          </cell>
          <cell r="P255" t="str">
            <v>Fungicida</v>
          </cell>
          <cell r="Q255" t="str">
            <v>SI</v>
          </cell>
          <cell r="R255">
            <v>0.8</v>
          </cell>
          <cell r="S255"/>
        </row>
        <row r="256">
          <cell r="A256" t="str">
            <v>Nufilm</v>
          </cell>
          <cell r="B256" t="str">
            <v>PJ009</v>
          </cell>
          <cell r="C256" t="str">
            <v>CC</v>
          </cell>
          <cell r="D256" t="str">
            <v>NO</v>
          </cell>
          <cell r="E256" t="str">
            <v>ACTIVOS REG</v>
          </cell>
          <cell r="F256" t="str">
            <v>Miercoles</v>
          </cell>
          <cell r="G256" t="str">
            <v xml:space="preserve"> ---</v>
          </cell>
          <cell r="H256">
            <v>2</v>
          </cell>
          <cell r="I256" t="str">
            <v>Fijadores, dispersantes</v>
          </cell>
          <cell r="J256">
            <v>0</v>
          </cell>
          <cell r="K256">
            <v>0</v>
          </cell>
          <cell r="L256">
            <v>0</v>
          </cell>
          <cell r="M256" t="str">
            <v>Pinolene (Poli - 1 - p - Menteno)</v>
          </cell>
          <cell r="N256" t="str">
            <v>IV</v>
          </cell>
          <cell r="O256" t="str">
            <v>Categoría IV</v>
          </cell>
          <cell r="P256" t="str">
            <v>Coadyuvante</v>
          </cell>
          <cell r="Q256" t="str">
            <v>SI</v>
          </cell>
          <cell r="R256" t="str">
            <v>-</v>
          </cell>
          <cell r="S256"/>
        </row>
        <row r="257">
          <cell r="A257" t="str">
            <v>NUTRAMIN CALCIO</v>
          </cell>
          <cell r="B257" t="str">
            <v>FA017</v>
          </cell>
          <cell r="C257" t="str">
            <v>KG</v>
          </cell>
          <cell r="D257" t="str">
            <v>NO</v>
          </cell>
          <cell r="E257" t="str">
            <v>ACTIVOS NO REG</v>
          </cell>
          <cell r="F257"/>
          <cell r="G257"/>
          <cell r="H257"/>
          <cell r="I257"/>
          <cell r="J257"/>
          <cell r="K257"/>
          <cell r="L257"/>
          <cell r="M257"/>
          <cell r="N257" t="str">
            <v>IV</v>
          </cell>
          <cell r="O257" t="str">
            <v>Categoría IV</v>
          </cell>
          <cell r="P257" t="str">
            <v>Fertilizante</v>
          </cell>
          <cell r="Q257"/>
          <cell r="R257" t="str">
            <v>-</v>
          </cell>
        </row>
        <row r="258">
          <cell r="A258" t="str">
            <v>NUTRAMIN MAGNESIO</v>
          </cell>
          <cell r="B258" t="str">
            <v>FA041</v>
          </cell>
          <cell r="C258" t="str">
            <v>GR</v>
          </cell>
          <cell r="D258" t="str">
            <v>NO</v>
          </cell>
          <cell r="E258" t="str">
            <v>ACTIVOS NO REG</v>
          </cell>
          <cell r="F258"/>
          <cell r="G258"/>
          <cell r="H258"/>
          <cell r="I258"/>
          <cell r="J258"/>
          <cell r="K258"/>
          <cell r="L258"/>
          <cell r="M258"/>
          <cell r="N258" t="str">
            <v>IV</v>
          </cell>
          <cell r="O258" t="str">
            <v>Categoría IV</v>
          </cell>
          <cell r="P258" t="str">
            <v>Fertilizante</v>
          </cell>
          <cell r="Q258"/>
          <cell r="R258" t="str">
            <v>-</v>
          </cell>
          <cell r="S258"/>
        </row>
        <row r="259">
          <cell r="A259" t="str">
            <v>NUTRAMIN POTASIO</v>
          </cell>
          <cell r="B259" t="str">
            <v>FA040</v>
          </cell>
          <cell r="C259" t="str">
            <v>GR</v>
          </cell>
          <cell r="D259" t="str">
            <v>NO</v>
          </cell>
          <cell r="E259" t="str">
            <v>ACTIVOS NO REG</v>
          </cell>
          <cell r="F259"/>
          <cell r="G259"/>
          <cell r="H259"/>
          <cell r="I259"/>
          <cell r="J259"/>
          <cell r="K259"/>
          <cell r="L259"/>
          <cell r="M259"/>
          <cell r="N259" t="str">
            <v>IV</v>
          </cell>
          <cell r="O259" t="str">
            <v>Categoría IV</v>
          </cell>
          <cell r="P259" t="str">
            <v>Fertilizante</v>
          </cell>
          <cell r="Q259"/>
          <cell r="R259" t="str">
            <v>-</v>
          </cell>
          <cell r="S259"/>
        </row>
        <row r="260">
          <cell r="A260" t="str">
            <v>NUTRIENT EXPRESS 11-41-8</v>
          </cell>
          <cell r="B260" t="str">
            <v>FI044</v>
          </cell>
          <cell r="C260" t="str">
            <v>GR</v>
          </cell>
          <cell r="D260" t="str">
            <v>NO</v>
          </cell>
          <cell r="E260" t="str">
            <v>ACTIVOS NO REG</v>
          </cell>
          <cell r="F260"/>
          <cell r="G260"/>
          <cell r="H260"/>
          <cell r="I260"/>
          <cell r="J260"/>
          <cell r="K260"/>
          <cell r="L260"/>
          <cell r="M260"/>
          <cell r="N260" t="str">
            <v>IV</v>
          </cell>
          <cell r="O260" t="str">
            <v>Categoría IV</v>
          </cell>
          <cell r="P260" t="str">
            <v>Fertilizante</v>
          </cell>
          <cell r="Q260"/>
          <cell r="R260" t="str">
            <v>-</v>
          </cell>
          <cell r="S260"/>
        </row>
        <row r="261">
          <cell r="A261" t="str">
            <v>NUTRIENT EXPRESS 18-18-18</v>
          </cell>
          <cell r="B261" t="str">
            <v>FI043</v>
          </cell>
          <cell r="C261" t="str">
            <v>GR</v>
          </cell>
          <cell r="D261" t="str">
            <v>NO</v>
          </cell>
          <cell r="E261" t="str">
            <v>ACTIVOS NO REG</v>
          </cell>
          <cell r="F261"/>
          <cell r="G261"/>
          <cell r="H261"/>
          <cell r="I261"/>
          <cell r="J261"/>
          <cell r="K261"/>
          <cell r="L261"/>
          <cell r="M261"/>
          <cell r="N261" t="str">
            <v>IV</v>
          </cell>
          <cell r="O261" t="str">
            <v>Categoría IV</v>
          </cell>
          <cell r="P261" t="str">
            <v>Fertilizante</v>
          </cell>
          <cell r="Q261"/>
          <cell r="R261" t="str">
            <v>-</v>
          </cell>
          <cell r="S261"/>
        </row>
        <row r="262">
          <cell r="A262" t="str">
            <v>NUTRIPLAN 23-6-17+3MGO+35+0.4Z</v>
          </cell>
          <cell r="B262" t="str">
            <v>FI034</v>
          </cell>
          <cell r="C262" t="str">
            <v>KG</v>
          </cell>
          <cell r="D262" t="str">
            <v>NO</v>
          </cell>
          <cell r="E262" t="str">
            <v>ACTIVOS NO REG</v>
          </cell>
          <cell r="F262"/>
          <cell r="G262"/>
          <cell r="H262"/>
          <cell r="I262"/>
          <cell r="J262"/>
          <cell r="K262"/>
          <cell r="L262"/>
          <cell r="M262"/>
          <cell r="N262" t="str">
            <v>IV</v>
          </cell>
          <cell r="O262" t="str">
            <v>Categoría IV</v>
          </cell>
          <cell r="P262" t="str">
            <v>Fertilizante</v>
          </cell>
          <cell r="Q262"/>
          <cell r="R262" t="str">
            <v>-</v>
          </cell>
          <cell r="S262"/>
        </row>
        <row r="263">
          <cell r="A263" t="str">
            <v>OCTAVE 50 PM</v>
          </cell>
          <cell r="B263" t="str">
            <v>PF125</v>
          </cell>
          <cell r="C263" t="str">
            <v>GR</v>
          </cell>
          <cell r="D263" t="str">
            <v>NO</v>
          </cell>
          <cell r="E263" t="str">
            <v>ACTIVOS NO REG</v>
          </cell>
          <cell r="F263" t="str">
            <v>Viernes</v>
          </cell>
          <cell r="G263"/>
          <cell r="H263"/>
          <cell r="I263" t="str">
            <v>Alternaria</v>
          </cell>
          <cell r="J263" t="str">
            <v>Botrytis</v>
          </cell>
          <cell r="K263" t="str">
            <v>Oidium</v>
          </cell>
          <cell r="L263"/>
          <cell r="M263" t="str">
            <v>PROCLORAZ</v>
          </cell>
          <cell r="N263" t="str">
            <v>III</v>
          </cell>
          <cell r="O263" t="str">
            <v>Ligeramente Peligrosos III</v>
          </cell>
          <cell r="P263" t="str">
            <v>Fungicida</v>
          </cell>
          <cell r="Q263" t="str">
            <v>SI</v>
          </cell>
          <cell r="R263" t="str">
            <v>-</v>
          </cell>
          <cell r="S263"/>
        </row>
        <row r="264">
          <cell r="A264" t="str">
            <v>OIDIOMIL</v>
          </cell>
          <cell r="B264" t="str">
            <v>PF083</v>
          </cell>
          <cell r="C264" t="str">
            <v>CC</v>
          </cell>
          <cell r="D264" t="str">
            <v>NO</v>
          </cell>
          <cell r="E264" t="str">
            <v>ACTIVOS NO REG</v>
          </cell>
          <cell r="F264" t="str">
            <v>Viernes</v>
          </cell>
          <cell r="G264"/>
          <cell r="H264"/>
          <cell r="I264" t="str">
            <v>Oidium</v>
          </cell>
          <cell r="J264" t="str">
            <v>Roya</v>
          </cell>
          <cell r="K264">
            <v>0</v>
          </cell>
          <cell r="L264">
            <v>0</v>
          </cell>
          <cell r="M264" t="str">
            <v>NITROPOLISULFATO</v>
          </cell>
          <cell r="N264" t="str">
            <v>IV</v>
          </cell>
          <cell r="O264" t="str">
            <v>Categoría IV</v>
          </cell>
          <cell r="P264" t="str">
            <v>Fungicida</v>
          </cell>
          <cell r="Q264" t="str">
            <v>SI</v>
          </cell>
          <cell r="R264" t="str">
            <v>-</v>
          </cell>
          <cell r="S264"/>
        </row>
        <row r="265">
          <cell r="A265" t="str">
            <v>OMITE 30W</v>
          </cell>
          <cell r="B265" t="str">
            <v>PI119</v>
          </cell>
          <cell r="C265" t="str">
            <v>GR</v>
          </cell>
          <cell r="D265" t="str">
            <v>NO</v>
          </cell>
          <cell r="E265" t="str">
            <v>ELIMINADOS NO REG</v>
          </cell>
          <cell r="F265" t="str">
            <v>Lunes</v>
          </cell>
          <cell r="G265" t="str">
            <v>5.5-6.0</v>
          </cell>
          <cell r="H265">
            <v>12</v>
          </cell>
          <cell r="I265" t="str">
            <v>Acaros</v>
          </cell>
          <cell r="J265">
            <v>0</v>
          </cell>
          <cell r="K265">
            <v>0</v>
          </cell>
          <cell r="L265">
            <v>0</v>
          </cell>
          <cell r="M265" t="str">
            <v>Propargite</v>
          </cell>
          <cell r="N265" t="str">
            <v>III</v>
          </cell>
          <cell r="O265" t="str">
            <v>Ligeramente Peligrosos III</v>
          </cell>
          <cell r="P265" t="str">
            <v>Insecticida</v>
          </cell>
          <cell r="Q265" t="str">
            <v>SI</v>
          </cell>
          <cell r="R265" t="str">
            <v>-</v>
          </cell>
          <cell r="S265"/>
        </row>
        <row r="266">
          <cell r="A266" t="str">
            <v>OZONIC</v>
          </cell>
          <cell r="B266" t="str">
            <v>PF164</v>
          </cell>
          <cell r="C266" t="str">
            <v>CC</v>
          </cell>
          <cell r="D266" t="str">
            <v>SI</v>
          </cell>
          <cell r="E266" t="str">
            <v>ACTIVOS REG</v>
          </cell>
          <cell r="F266"/>
          <cell r="G266"/>
          <cell r="H266">
            <v>24</v>
          </cell>
          <cell r="I266" t="str">
            <v>Bioestimulante</v>
          </cell>
          <cell r="J266"/>
          <cell r="K266"/>
          <cell r="L266"/>
          <cell r="M266" t="str">
            <v>Fosfonato de Aluminio, Pentoxido de fosforo, Oxido de Aluminio</v>
          </cell>
          <cell r="N266" t="str">
            <v>IV</v>
          </cell>
          <cell r="O266" t="str">
            <v>Categoría IV</v>
          </cell>
          <cell r="P266" t="str">
            <v>Bioestimulante</v>
          </cell>
          <cell r="Q266" t="str">
            <v>NO HAY</v>
          </cell>
          <cell r="R266">
            <v>0.88</v>
          </cell>
          <cell r="S266"/>
        </row>
        <row r="267">
          <cell r="A267" t="str">
            <v>PADAN 50%</v>
          </cell>
          <cell r="B267" t="str">
            <v>PI027</v>
          </cell>
          <cell r="C267" t="str">
            <v>GR</v>
          </cell>
          <cell r="D267" t="str">
            <v>NO</v>
          </cell>
          <cell r="E267" t="str">
            <v>ELIMINADOS REG</v>
          </cell>
          <cell r="F267" t="str">
            <v>Lunes</v>
          </cell>
          <cell r="G267">
            <v>6</v>
          </cell>
          <cell r="H267">
            <v>12</v>
          </cell>
          <cell r="I267" t="str">
            <v>Trips</v>
          </cell>
          <cell r="J267">
            <v>0</v>
          </cell>
          <cell r="K267">
            <v>0</v>
          </cell>
          <cell r="L267">
            <v>0</v>
          </cell>
          <cell r="M267" t="str">
            <v>Cartap</v>
          </cell>
          <cell r="N267" t="str">
            <v>II</v>
          </cell>
          <cell r="O267" t="str">
            <v>Moderadamente Peligrosos II</v>
          </cell>
          <cell r="P267" t="str">
            <v>Insecticida</v>
          </cell>
          <cell r="Q267" t="str">
            <v>SI</v>
          </cell>
          <cell r="R267" t="str">
            <v>-</v>
          </cell>
          <cell r="S267"/>
        </row>
        <row r="268">
          <cell r="A268" t="str">
            <v>PALMAROL 35% EC</v>
          </cell>
          <cell r="B268" t="str">
            <v>PI062</v>
          </cell>
          <cell r="C268" t="str">
            <v>CC</v>
          </cell>
          <cell r="D268" t="str">
            <v>NO</v>
          </cell>
          <cell r="E268" t="str">
            <v>ACTIVOS NO REG</v>
          </cell>
          <cell r="F268" t="str">
            <v>Lunes</v>
          </cell>
          <cell r="G268">
            <v>6</v>
          </cell>
          <cell r="H268">
            <v>12</v>
          </cell>
          <cell r="I268" t="str">
            <v>Trips</v>
          </cell>
          <cell r="J268">
            <v>0</v>
          </cell>
          <cell r="K268">
            <v>0</v>
          </cell>
          <cell r="L268">
            <v>0</v>
          </cell>
          <cell r="M268" t="str">
            <v>Endosulfan</v>
          </cell>
          <cell r="N268" t="str">
            <v>II</v>
          </cell>
          <cell r="O268" t="str">
            <v>Moderadamente Peligrosos II</v>
          </cell>
          <cell r="P268" t="str">
            <v>Insecticida</v>
          </cell>
          <cell r="Q268" t="str">
            <v>NO HAY</v>
          </cell>
          <cell r="R268" t="str">
            <v>-</v>
          </cell>
          <cell r="S268"/>
        </row>
        <row r="269">
          <cell r="A269" t="str">
            <v>PARALANCHA</v>
          </cell>
          <cell r="B269" t="str">
            <v>PF160</v>
          </cell>
          <cell r="C269" t="str">
            <v>GR</v>
          </cell>
          <cell r="D269" t="str">
            <v>SI</v>
          </cell>
          <cell r="E269" t="str">
            <v>ACTIVOS REG</v>
          </cell>
          <cell r="F269" t="str">
            <v>Viernes</v>
          </cell>
          <cell r="G269"/>
          <cell r="H269"/>
          <cell r="I269"/>
          <cell r="J269"/>
          <cell r="K269"/>
          <cell r="L269"/>
          <cell r="M269" t="str">
            <v>Mancozeb + Benalaxyl</v>
          </cell>
          <cell r="N269" t="str">
            <v>IV</v>
          </cell>
          <cell r="O269" t="str">
            <v>Categoría IV</v>
          </cell>
          <cell r="P269" t="str">
            <v>Fungicida</v>
          </cell>
          <cell r="Q269" t="str">
            <v>SI</v>
          </cell>
          <cell r="R269">
            <v>2</v>
          </cell>
          <cell r="S269"/>
        </row>
        <row r="270">
          <cell r="A270" t="str">
            <v>PATRON</v>
          </cell>
          <cell r="B270" t="str">
            <v>PF128</v>
          </cell>
          <cell r="C270" t="str">
            <v>GR</v>
          </cell>
          <cell r="D270" t="str">
            <v>NO</v>
          </cell>
          <cell r="E270" t="str">
            <v>ACTIVOS NO REG</v>
          </cell>
          <cell r="F270" t="str">
            <v>Viernes</v>
          </cell>
          <cell r="G270"/>
          <cell r="H270"/>
          <cell r="I270"/>
          <cell r="J270"/>
          <cell r="K270"/>
          <cell r="L270"/>
          <cell r="M270" t="str">
            <v>MANCOZEB + DIMETHOMORPH</v>
          </cell>
          <cell r="N270" t="str">
            <v>III</v>
          </cell>
          <cell r="O270" t="str">
            <v>Ligeramente Peligrosos III</v>
          </cell>
          <cell r="P270" t="str">
            <v>Fungicida</v>
          </cell>
          <cell r="Q270" t="str">
            <v>SI</v>
          </cell>
          <cell r="R270" t="str">
            <v>-</v>
          </cell>
          <cell r="S270"/>
        </row>
        <row r="271">
          <cell r="A271" t="str">
            <v>PEATMOOS ENRAHIZADOR #2</v>
          </cell>
          <cell r="B271" t="str">
            <v>FS008</v>
          </cell>
          <cell r="C271" t="str">
            <v>P3</v>
          </cell>
          <cell r="D271" t="str">
            <v>NO</v>
          </cell>
          <cell r="E271" t="str">
            <v>ACTIVOS NO REG</v>
          </cell>
          <cell r="F271"/>
          <cell r="G271"/>
          <cell r="H271"/>
          <cell r="I271"/>
          <cell r="J271"/>
          <cell r="K271"/>
          <cell r="L271"/>
          <cell r="M271" t="str">
            <v>Sustrato organico</v>
          </cell>
          <cell r="N271" t="str">
            <v>IV</v>
          </cell>
          <cell r="O271" t="str">
            <v>Categoría IV</v>
          </cell>
          <cell r="P271" t="str">
            <v>Sustrato</v>
          </cell>
          <cell r="Q271"/>
          <cell r="R271" t="str">
            <v>-</v>
          </cell>
          <cell r="S271"/>
        </row>
        <row r="272">
          <cell r="A272" t="str">
            <v>PEATMOOS RECUP SUELOS</v>
          </cell>
          <cell r="B272" t="str">
            <v>FS001</v>
          </cell>
          <cell r="C272" t="str">
            <v>P3</v>
          </cell>
          <cell r="D272" t="str">
            <v>NO</v>
          </cell>
          <cell r="E272" t="str">
            <v>ACTIVOS NO REG</v>
          </cell>
          <cell r="F272"/>
          <cell r="G272"/>
          <cell r="H272"/>
          <cell r="I272"/>
          <cell r="J272"/>
          <cell r="K272"/>
          <cell r="L272"/>
          <cell r="M272" t="str">
            <v>Sustrato organico</v>
          </cell>
          <cell r="N272" t="str">
            <v>IV</v>
          </cell>
          <cell r="O272" t="str">
            <v>Categoría IV</v>
          </cell>
          <cell r="P272" t="str">
            <v>Sustrato</v>
          </cell>
          <cell r="Q272"/>
          <cell r="R272" t="str">
            <v>-</v>
          </cell>
          <cell r="S272"/>
        </row>
        <row r="273">
          <cell r="A273" t="str">
            <v>PENTAC 50 PM</v>
          </cell>
          <cell r="B273" t="str">
            <v>PI028</v>
          </cell>
          <cell r="C273" t="str">
            <v>GR</v>
          </cell>
          <cell r="D273" t="str">
            <v>NO</v>
          </cell>
          <cell r="E273" t="str">
            <v>ACTIVOS NO REG</v>
          </cell>
          <cell r="F273" t="str">
            <v>Lunes</v>
          </cell>
          <cell r="G273"/>
          <cell r="H273"/>
          <cell r="I273"/>
          <cell r="J273"/>
          <cell r="K273"/>
          <cell r="L273"/>
          <cell r="M273" t="str">
            <v>PCNB</v>
          </cell>
          <cell r="N273" t="str">
            <v>III</v>
          </cell>
          <cell r="O273" t="str">
            <v>Ligeramente Peligrosos III</v>
          </cell>
          <cell r="P273" t="str">
            <v>Insecticida</v>
          </cell>
          <cell r="Q273" t="str">
            <v>SI</v>
          </cell>
          <cell r="R273" t="str">
            <v>-</v>
          </cell>
        </row>
        <row r="274">
          <cell r="A274" t="str">
            <v>PERFEKTHION</v>
          </cell>
          <cell r="B274" t="str">
            <v>PI029</v>
          </cell>
          <cell r="C274" t="str">
            <v>CC</v>
          </cell>
          <cell r="D274" t="str">
            <v>SI</v>
          </cell>
          <cell r="E274" t="str">
            <v>ACTIVOS REG</v>
          </cell>
          <cell r="F274" t="str">
            <v>Martes</v>
          </cell>
          <cell r="G274">
            <v>5</v>
          </cell>
          <cell r="H274">
            <v>12</v>
          </cell>
          <cell r="I274" t="str">
            <v>Pulgón</v>
          </cell>
          <cell r="J274" t="str">
            <v>Mosca Blanca</v>
          </cell>
          <cell r="K274">
            <v>0</v>
          </cell>
          <cell r="L274">
            <v>0</v>
          </cell>
          <cell r="M274" t="str">
            <v>Dimetoato</v>
          </cell>
          <cell r="N274" t="str">
            <v>II</v>
          </cell>
          <cell r="O274" t="str">
            <v>Moderadamente Peligrosos II</v>
          </cell>
          <cell r="P274" t="str">
            <v>Insecticida</v>
          </cell>
          <cell r="Q274" t="str">
            <v>SI</v>
          </cell>
          <cell r="R274">
            <v>1</v>
          </cell>
          <cell r="S274"/>
        </row>
        <row r="275">
          <cell r="A275" t="str">
            <v>PHOS PRO 025-20</v>
          </cell>
          <cell r="B275" t="str">
            <v>FB051</v>
          </cell>
          <cell r="C275" t="str">
            <v>CC</v>
          </cell>
          <cell r="D275" t="str">
            <v>NO</v>
          </cell>
          <cell r="E275" t="str">
            <v>ACTIVOS NO REG</v>
          </cell>
          <cell r="F275" t="str">
            <v>Miercoles</v>
          </cell>
          <cell r="G275"/>
          <cell r="H275"/>
          <cell r="I275"/>
          <cell r="J275"/>
          <cell r="K275"/>
          <cell r="L275"/>
          <cell r="M275"/>
          <cell r="N275" t="str">
            <v>IV</v>
          </cell>
          <cell r="O275" t="str">
            <v>Categoría IV</v>
          </cell>
          <cell r="P275" t="str">
            <v>Bioestimulante</v>
          </cell>
          <cell r="Q275"/>
          <cell r="R275" t="str">
            <v>-</v>
          </cell>
          <cell r="S275"/>
        </row>
        <row r="276">
          <cell r="A276" t="str">
            <v>PHYTON</v>
          </cell>
          <cell r="B276" t="str">
            <v>PF015</v>
          </cell>
          <cell r="C276" t="str">
            <v>CC</v>
          </cell>
          <cell r="D276" t="str">
            <v>SI</v>
          </cell>
          <cell r="E276" t="str">
            <v>ACTIVOS REG</v>
          </cell>
          <cell r="F276" t="str">
            <v>Jueves</v>
          </cell>
          <cell r="G276">
            <v>7</v>
          </cell>
          <cell r="H276">
            <v>6</v>
          </cell>
          <cell r="I276" t="str">
            <v>Botrytis</v>
          </cell>
          <cell r="J276">
            <v>0</v>
          </cell>
          <cell r="K276">
            <v>0</v>
          </cell>
          <cell r="L276">
            <v>0</v>
          </cell>
          <cell r="M276" t="str">
            <v>Sulfato de cobre pentahidratado</v>
          </cell>
          <cell r="N276" t="str">
            <v>II</v>
          </cell>
          <cell r="O276" t="str">
            <v>Moderadamente Peligrosos II</v>
          </cell>
          <cell r="P276" t="str">
            <v>Fungicida</v>
          </cell>
          <cell r="Q276" t="str">
            <v>SI</v>
          </cell>
          <cell r="R276">
            <v>1</v>
          </cell>
          <cell r="S276"/>
        </row>
        <row r="277">
          <cell r="A277" t="str">
            <v>Pillarben</v>
          </cell>
          <cell r="B277" t="str">
            <v>PF016</v>
          </cell>
          <cell r="C277" t="str">
            <v>GR</v>
          </cell>
          <cell r="D277" t="str">
            <v>NO</v>
          </cell>
          <cell r="E277" t="str">
            <v>ACTIVOS REG</v>
          </cell>
          <cell r="F277" t="str">
            <v>Viernes</v>
          </cell>
          <cell r="G277">
            <v>5</v>
          </cell>
          <cell r="H277">
            <v>2</v>
          </cell>
          <cell r="I277" t="str">
            <v>Oidio</v>
          </cell>
          <cell r="J277">
            <v>0</v>
          </cell>
          <cell r="K277">
            <v>0</v>
          </cell>
          <cell r="L277">
            <v>0</v>
          </cell>
          <cell r="M277" t="str">
            <v>Benomyl</v>
          </cell>
          <cell r="N277" t="str">
            <v>III</v>
          </cell>
          <cell r="O277" t="str">
            <v>Ligeramente Peligrosos III</v>
          </cell>
          <cell r="P277" t="str">
            <v>Fungicida</v>
          </cell>
          <cell r="Q277" t="str">
            <v>SI</v>
          </cell>
          <cell r="R277" t="str">
            <v>-</v>
          </cell>
          <cell r="S277"/>
        </row>
        <row r="278">
          <cell r="A278" t="str">
            <v>PIPRON SL</v>
          </cell>
          <cell r="B278" t="str">
            <v>PF053</v>
          </cell>
          <cell r="C278" t="str">
            <v>CC</v>
          </cell>
          <cell r="D278" t="str">
            <v>NO</v>
          </cell>
          <cell r="E278" t="str">
            <v>ACTIVOS NO REG</v>
          </cell>
          <cell r="F278" t="str">
            <v>Viernes</v>
          </cell>
          <cell r="G278" t="str">
            <v xml:space="preserve"> ---</v>
          </cell>
          <cell r="H278">
            <v>2</v>
          </cell>
          <cell r="I278" t="str">
            <v>Mildeo Polvoso</v>
          </cell>
          <cell r="J278">
            <v>0</v>
          </cell>
          <cell r="K278">
            <v>0</v>
          </cell>
          <cell r="L278">
            <v>0</v>
          </cell>
          <cell r="M278" t="str">
            <v>Piperalina</v>
          </cell>
          <cell r="N278" t="str">
            <v>II</v>
          </cell>
          <cell r="O278" t="str">
            <v>Moderadamente Peligrosos II</v>
          </cell>
          <cell r="P278" t="str">
            <v>Fungicida</v>
          </cell>
          <cell r="Q278" t="str">
            <v>NO HAY</v>
          </cell>
          <cell r="R278" t="str">
            <v>-</v>
          </cell>
          <cell r="S278"/>
        </row>
        <row r="279">
          <cell r="A279" t="str">
            <v>Pirate</v>
          </cell>
          <cell r="B279" t="str">
            <v>PI147</v>
          </cell>
          <cell r="C279" t="str">
            <v>CC</v>
          </cell>
          <cell r="D279" t="str">
            <v>SI</v>
          </cell>
          <cell r="E279" t="str">
            <v>ACTIVOS REG</v>
          </cell>
          <cell r="F279" t="str">
            <v>Lunes</v>
          </cell>
          <cell r="G279" t="str">
            <v>4.5-7.5</v>
          </cell>
          <cell r="H279">
            <v>8</v>
          </cell>
          <cell r="I279" t="str">
            <v>Acaros</v>
          </cell>
          <cell r="J279">
            <v>0</v>
          </cell>
          <cell r="K279">
            <v>0</v>
          </cell>
          <cell r="L279">
            <v>0</v>
          </cell>
          <cell r="M279" t="str">
            <v>CHLORFENAPYR</v>
          </cell>
          <cell r="N279" t="str">
            <v>III</v>
          </cell>
          <cell r="O279" t="str">
            <v>Ligeramente Peligrosos III</v>
          </cell>
          <cell r="P279" t="str">
            <v>Insecticida</v>
          </cell>
          <cell r="Q279" t="str">
            <v>SI</v>
          </cell>
          <cell r="R279">
            <v>0.5</v>
          </cell>
        </row>
        <row r="280">
          <cell r="A280" t="str">
            <v>PIRIMOR 50%</v>
          </cell>
          <cell r="B280" t="str">
            <v>PI030</v>
          </cell>
          <cell r="C280" t="str">
            <v>GR</v>
          </cell>
          <cell r="D280" t="str">
            <v>NO</v>
          </cell>
          <cell r="E280" t="str">
            <v>ACTIVOS NO REG</v>
          </cell>
          <cell r="F280" t="str">
            <v>Lunes</v>
          </cell>
          <cell r="G280"/>
          <cell r="H280"/>
          <cell r="I280"/>
          <cell r="J280"/>
          <cell r="K280"/>
          <cell r="L280"/>
          <cell r="M280"/>
          <cell r="N280"/>
          <cell r="O280"/>
          <cell r="P280" t="str">
            <v>Insecticida</v>
          </cell>
          <cell r="Q280" t="str">
            <v>NO HAY</v>
          </cell>
          <cell r="R280" t="str">
            <v>-</v>
          </cell>
        </row>
        <row r="281">
          <cell r="A281" t="str">
            <v>PLANTVAX 75% PM</v>
          </cell>
          <cell r="B281" t="str">
            <v>PF037</v>
          </cell>
          <cell r="C281" t="str">
            <v>GR</v>
          </cell>
          <cell r="D281" t="str">
            <v>NO</v>
          </cell>
          <cell r="E281" t="str">
            <v>ACTIVOS NO REG</v>
          </cell>
          <cell r="F281" t="str">
            <v>Viernes</v>
          </cell>
          <cell r="G281">
            <v>6</v>
          </cell>
          <cell r="H281">
            <v>6</v>
          </cell>
          <cell r="I281" t="str">
            <v>Roya</v>
          </cell>
          <cell r="J281">
            <v>0</v>
          </cell>
          <cell r="K281">
            <v>0</v>
          </cell>
          <cell r="L281">
            <v>0</v>
          </cell>
          <cell r="M281" t="str">
            <v>Oxicarboxin</v>
          </cell>
          <cell r="N281" t="str">
            <v>IV</v>
          </cell>
          <cell r="O281" t="str">
            <v>Categoría IV</v>
          </cell>
          <cell r="P281" t="str">
            <v>Fungicida</v>
          </cell>
          <cell r="Q281" t="str">
            <v>NO HAY</v>
          </cell>
          <cell r="R281" t="str">
            <v>-</v>
          </cell>
          <cell r="S281"/>
        </row>
        <row r="282">
          <cell r="A282" t="str">
            <v>PLASTICO AMARILLO PARA TRAMPAS</v>
          </cell>
          <cell r="B282" t="str">
            <v>PS002</v>
          </cell>
          <cell r="C282" t="str">
            <v>MT</v>
          </cell>
          <cell r="D282" t="str">
            <v>NO</v>
          </cell>
          <cell r="E282" t="str">
            <v>ACTIVOS NO REG</v>
          </cell>
          <cell r="F282"/>
          <cell r="G282"/>
          <cell r="H282"/>
          <cell r="I282"/>
          <cell r="J282"/>
          <cell r="K282"/>
          <cell r="L282"/>
          <cell r="M282"/>
          <cell r="N282" t="str">
            <v>IV</v>
          </cell>
          <cell r="O282" t="str">
            <v>Categoría IV</v>
          </cell>
          <cell r="P282" t="str">
            <v>Mipe</v>
          </cell>
          <cell r="Q282"/>
          <cell r="R282" t="str">
            <v>-</v>
          </cell>
          <cell r="S282"/>
        </row>
        <row r="283">
          <cell r="A283" t="str">
            <v>PLASTICO AZUL PARA TRAMPAS</v>
          </cell>
          <cell r="B283" t="str">
            <v>PS004</v>
          </cell>
          <cell r="C283" t="str">
            <v>MT</v>
          </cell>
          <cell r="D283" t="str">
            <v>NO</v>
          </cell>
          <cell r="E283" t="str">
            <v>ACTIVOS NO REG</v>
          </cell>
          <cell r="F283"/>
          <cell r="G283"/>
          <cell r="H283"/>
          <cell r="I283"/>
          <cell r="J283"/>
          <cell r="K283"/>
          <cell r="L283"/>
          <cell r="M283"/>
          <cell r="N283" t="str">
            <v>IV</v>
          </cell>
          <cell r="O283" t="str">
            <v>Categoría IV</v>
          </cell>
          <cell r="P283" t="str">
            <v>Mipe</v>
          </cell>
          <cell r="Q283"/>
          <cell r="R283" t="str">
            <v>-</v>
          </cell>
          <cell r="S283"/>
        </row>
        <row r="284">
          <cell r="A284" t="str">
            <v>Polar</v>
          </cell>
          <cell r="B284" t="str">
            <v>PF092</v>
          </cell>
          <cell r="C284" t="str">
            <v>GR</v>
          </cell>
          <cell r="D284" t="str">
            <v>SI</v>
          </cell>
          <cell r="E284" t="str">
            <v>ACTIVOS REG</v>
          </cell>
          <cell r="F284" t="str">
            <v>Viernes</v>
          </cell>
          <cell r="G284">
            <v>7</v>
          </cell>
          <cell r="H284">
            <v>2</v>
          </cell>
          <cell r="I284" t="str">
            <v>Botrytis</v>
          </cell>
          <cell r="J284" t="str">
            <v>Roya</v>
          </cell>
          <cell r="K284">
            <v>0</v>
          </cell>
          <cell r="L284">
            <v>0</v>
          </cell>
          <cell r="M284" t="str">
            <v>Polyoxin A-L</v>
          </cell>
          <cell r="N284" t="str">
            <v>III</v>
          </cell>
          <cell r="O284" t="str">
            <v>Ligeramente Peligrosos III</v>
          </cell>
          <cell r="P284" t="str">
            <v>Fungicida</v>
          </cell>
          <cell r="Q284" t="str">
            <v>SI</v>
          </cell>
          <cell r="R284">
            <v>0.25</v>
          </cell>
          <cell r="S284"/>
        </row>
        <row r="285">
          <cell r="A285" t="str">
            <v>POLIVERDOL SUSPENSION 16-16-12</v>
          </cell>
          <cell r="B285" t="str">
            <v>FB023</v>
          </cell>
          <cell r="C285" t="str">
            <v>CC</v>
          </cell>
          <cell r="D285" t="str">
            <v>NO</v>
          </cell>
          <cell r="E285" t="str">
            <v>ACTIVOS NO REG</v>
          </cell>
          <cell r="F285" t="str">
            <v>Miercoles</v>
          </cell>
          <cell r="G285"/>
          <cell r="H285"/>
          <cell r="I285"/>
          <cell r="J285"/>
          <cell r="K285"/>
          <cell r="L285"/>
          <cell r="M285"/>
          <cell r="N285" t="str">
            <v>IV</v>
          </cell>
          <cell r="O285" t="str">
            <v>Categoría IV</v>
          </cell>
          <cell r="P285" t="str">
            <v>Bioestimulante</v>
          </cell>
          <cell r="Q285"/>
          <cell r="R285" t="str">
            <v>-</v>
          </cell>
          <cell r="S285"/>
        </row>
        <row r="286">
          <cell r="A286" t="str">
            <v>POLIVERDOL SUSPENSIÓN 16-16-121BZN</v>
          </cell>
          <cell r="B286" t="str">
            <v>FI003</v>
          </cell>
          <cell r="C286" t="str">
            <v>CC</v>
          </cell>
          <cell r="D286" t="str">
            <v>NO</v>
          </cell>
          <cell r="E286" t="str">
            <v>ACTIVOS NO REG</v>
          </cell>
          <cell r="F286"/>
          <cell r="G286"/>
          <cell r="H286"/>
          <cell r="I286"/>
          <cell r="J286"/>
          <cell r="K286"/>
          <cell r="L286"/>
          <cell r="M286"/>
          <cell r="N286" t="str">
            <v>IV</v>
          </cell>
          <cell r="O286" t="str">
            <v>Categoría IV</v>
          </cell>
          <cell r="P286" t="str">
            <v>Fertilizante</v>
          </cell>
          <cell r="Q286"/>
          <cell r="R286" t="str">
            <v>-</v>
          </cell>
        </row>
        <row r="287">
          <cell r="A287" t="str">
            <v>Polo</v>
          </cell>
          <cell r="B287" t="str">
            <v>PI078</v>
          </cell>
          <cell r="C287" t="str">
            <v>CC</v>
          </cell>
          <cell r="D287" t="str">
            <v>SI</v>
          </cell>
          <cell r="E287" t="str">
            <v>ACTIVOS REG</v>
          </cell>
          <cell r="F287" t="str">
            <v>Martes</v>
          </cell>
          <cell r="G287">
            <v>7</v>
          </cell>
          <cell r="H287">
            <v>4</v>
          </cell>
          <cell r="I287" t="str">
            <v>Acaros</v>
          </cell>
          <cell r="J287" t="str">
            <v>Mosca Blanca</v>
          </cell>
          <cell r="K287" t="str">
            <v>Afidos</v>
          </cell>
          <cell r="L287"/>
          <cell r="M287" t="str">
            <v>DIAFENTIURON</v>
          </cell>
          <cell r="N287" t="str">
            <v>IV</v>
          </cell>
          <cell r="O287" t="str">
            <v>Categoría IV</v>
          </cell>
          <cell r="P287" t="str">
            <v>Insecticida</v>
          </cell>
          <cell r="Q287" t="str">
            <v>SI</v>
          </cell>
          <cell r="R287">
            <v>1.25</v>
          </cell>
          <cell r="S287"/>
        </row>
        <row r="288">
          <cell r="A288" t="str">
            <v>Polyram</v>
          </cell>
          <cell r="B288" t="str">
            <v>PF017</v>
          </cell>
          <cell r="C288" t="str">
            <v>GR</v>
          </cell>
          <cell r="D288" t="str">
            <v>NO</v>
          </cell>
          <cell r="E288" t="str">
            <v>ACTIVOS REG</v>
          </cell>
          <cell r="F288" t="str">
            <v>Viernes</v>
          </cell>
          <cell r="G288">
            <v>5.5</v>
          </cell>
          <cell r="H288">
            <v>2</v>
          </cell>
          <cell r="I288" t="str">
            <v>Peronóspora</v>
          </cell>
          <cell r="J288" t="str">
            <v>Alternaria</v>
          </cell>
          <cell r="K288" t="str">
            <v>Phytophthora</v>
          </cell>
          <cell r="L288">
            <v>0</v>
          </cell>
          <cell r="M288" t="str">
            <v>Metiram</v>
          </cell>
          <cell r="N288" t="str">
            <v>IV</v>
          </cell>
          <cell r="O288" t="str">
            <v>Categoría IV</v>
          </cell>
          <cell r="P288" t="str">
            <v>Fungicida</v>
          </cell>
          <cell r="Q288" t="str">
            <v>SI</v>
          </cell>
          <cell r="R288">
            <v>1.2</v>
          </cell>
          <cell r="S288"/>
        </row>
        <row r="289">
          <cell r="A289" t="str">
            <v>Previcur</v>
          </cell>
          <cell r="B289" t="str">
            <v>PF018</v>
          </cell>
          <cell r="C289" t="str">
            <v>CC</v>
          </cell>
          <cell r="D289" t="str">
            <v>SI</v>
          </cell>
          <cell r="E289" t="str">
            <v>ACTIVOS REG</v>
          </cell>
          <cell r="F289" t="str">
            <v>Viernes</v>
          </cell>
          <cell r="G289">
            <v>6</v>
          </cell>
          <cell r="H289">
            <v>2</v>
          </cell>
          <cell r="I289" t="str">
            <v>Peronóspora</v>
          </cell>
          <cell r="J289">
            <v>0</v>
          </cell>
          <cell r="K289">
            <v>0</v>
          </cell>
          <cell r="L289">
            <v>0</v>
          </cell>
          <cell r="M289" t="str">
            <v>Propamocarb hydrocloryde</v>
          </cell>
          <cell r="N289" t="str">
            <v>IV</v>
          </cell>
          <cell r="O289" t="str">
            <v>Categoría IV</v>
          </cell>
          <cell r="P289" t="str">
            <v>Fungicida</v>
          </cell>
          <cell r="Q289" t="str">
            <v>SI</v>
          </cell>
          <cell r="R289">
            <v>1.2</v>
          </cell>
          <cell r="S289"/>
        </row>
        <row r="290">
          <cell r="A290" t="str">
            <v>PROMETAN 50</v>
          </cell>
          <cell r="B290" t="str">
            <v>PF138</v>
          </cell>
          <cell r="C290" t="str">
            <v>CC</v>
          </cell>
          <cell r="D290" t="str">
            <v>NO</v>
          </cell>
          <cell r="E290" t="str">
            <v>ACTIVOS NO REG</v>
          </cell>
          <cell r="F290" t="str">
            <v>Viernes</v>
          </cell>
          <cell r="G290"/>
          <cell r="H290"/>
          <cell r="I290"/>
          <cell r="J290"/>
          <cell r="K290"/>
          <cell r="L290"/>
          <cell r="M290"/>
          <cell r="N290"/>
          <cell r="O290"/>
          <cell r="P290" t="str">
            <v>Fungicida</v>
          </cell>
          <cell r="Q290" t="str">
            <v>NO HAY</v>
          </cell>
          <cell r="R290" t="str">
            <v>-</v>
          </cell>
          <cell r="S290"/>
        </row>
        <row r="291">
          <cell r="A291" t="str">
            <v>PROSPER 500 EC</v>
          </cell>
          <cell r="B291" t="str">
            <v>PF114</v>
          </cell>
          <cell r="C291" t="str">
            <v>CC</v>
          </cell>
          <cell r="D291" t="str">
            <v>NO</v>
          </cell>
          <cell r="E291" t="str">
            <v>ACTIVOS NO REG</v>
          </cell>
          <cell r="F291" t="str">
            <v>Viernes</v>
          </cell>
          <cell r="G291" t="str">
            <v>5.0-7.5</v>
          </cell>
          <cell r="H291">
            <v>12</v>
          </cell>
          <cell r="I291" t="str">
            <v>Oidio</v>
          </cell>
          <cell r="J291">
            <v>0</v>
          </cell>
          <cell r="K291">
            <v>0</v>
          </cell>
          <cell r="L291">
            <v>0</v>
          </cell>
          <cell r="M291" t="str">
            <v>Spiroxamina</v>
          </cell>
          <cell r="N291" t="str">
            <v>II</v>
          </cell>
          <cell r="O291" t="str">
            <v>Moderadamente Peligrosos II</v>
          </cell>
          <cell r="P291" t="str">
            <v>Fungicida</v>
          </cell>
          <cell r="Q291" t="str">
            <v>SI</v>
          </cell>
          <cell r="R291" t="str">
            <v>-</v>
          </cell>
        </row>
        <row r="292">
          <cell r="A292" t="str">
            <v>PROWL 400 EC</v>
          </cell>
          <cell r="B292" t="str">
            <v>PH018</v>
          </cell>
          <cell r="C292" t="str">
            <v>CC</v>
          </cell>
          <cell r="D292" t="str">
            <v>NO</v>
          </cell>
          <cell r="E292" t="str">
            <v>ACTIVOS NO REG</v>
          </cell>
          <cell r="F292"/>
          <cell r="G292"/>
          <cell r="H292"/>
          <cell r="I292"/>
          <cell r="J292"/>
          <cell r="K292"/>
          <cell r="L292"/>
          <cell r="M292" t="str">
            <v>PENDIMETHALIN</v>
          </cell>
          <cell r="N292" t="str">
            <v>III</v>
          </cell>
          <cell r="O292" t="str">
            <v>Ligeramente Peligrosos III</v>
          </cell>
          <cell r="P292" t="str">
            <v>Herbicida</v>
          </cell>
          <cell r="Q292" t="str">
            <v>SI</v>
          </cell>
          <cell r="R292" t="str">
            <v>-</v>
          </cell>
          <cell r="S292"/>
        </row>
        <row r="293">
          <cell r="A293" t="str">
            <v>RADIANT</v>
          </cell>
          <cell r="B293" t="str">
            <v>PI140</v>
          </cell>
          <cell r="C293" t="str">
            <v>CC</v>
          </cell>
          <cell r="D293" t="str">
            <v>SI</v>
          </cell>
          <cell r="E293" t="str">
            <v>ACTIVOS REG</v>
          </cell>
          <cell r="F293" t="str">
            <v>Lunes</v>
          </cell>
          <cell r="G293">
            <v>6</v>
          </cell>
          <cell r="H293">
            <v>12</v>
          </cell>
          <cell r="I293" t="str">
            <v>Larvas</v>
          </cell>
          <cell r="J293"/>
          <cell r="K293"/>
          <cell r="L293"/>
          <cell r="M293" t="str">
            <v>SPINETORAM</v>
          </cell>
          <cell r="N293" t="str">
            <v>III</v>
          </cell>
          <cell r="O293" t="str">
            <v>Ligeramente Peligrosos III</v>
          </cell>
          <cell r="P293" t="str">
            <v>Insecticida</v>
          </cell>
          <cell r="Q293" t="str">
            <v>SI</v>
          </cell>
          <cell r="R293">
            <v>0.5</v>
          </cell>
          <cell r="S293"/>
        </row>
        <row r="294">
          <cell r="A294" t="str">
            <v>RAIZA</v>
          </cell>
          <cell r="B294" t="str">
            <v>FB058</v>
          </cell>
          <cell r="C294" t="str">
            <v>CC</v>
          </cell>
          <cell r="D294" t="str">
            <v>NO</v>
          </cell>
          <cell r="E294" t="str">
            <v>ACTIVOS NO REG</v>
          </cell>
          <cell r="F294" t="str">
            <v>Miercoles</v>
          </cell>
          <cell r="G294" t="str">
            <v>4 a 9</v>
          </cell>
          <cell r="H294">
            <v>0</v>
          </cell>
          <cell r="I294" t="str">
            <v>Bioestimulante</v>
          </cell>
          <cell r="J294">
            <v>0</v>
          </cell>
          <cell r="K294">
            <v>0</v>
          </cell>
          <cell r="L294">
            <v>0</v>
          </cell>
          <cell r="M294" t="str">
            <v>Aminoácidos, Materia Orgánica, N</v>
          </cell>
          <cell r="N294" t="str">
            <v>IV</v>
          </cell>
          <cell r="O294" t="str">
            <v>Categoría IV</v>
          </cell>
          <cell r="P294" t="str">
            <v>Bioestimulante</v>
          </cell>
          <cell r="Q294"/>
          <cell r="R294" t="str">
            <v>-</v>
          </cell>
          <cell r="S294"/>
        </row>
        <row r="295">
          <cell r="A295" t="str">
            <v>RALLY 40 WP</v>
          </cell>
          <cell r="B295" t="str">
            <v>PF112</v>
          </cell>
          <cell r="C295" t="str">
            <v>GR</v>
          </cell>
          <cell r="D295" t="str">
            <v>NO</v>
          </cell>
          <cell r="E295" t="str">
            <v>ACTIVOS NO REG</v>
          </cell>
          <cell r="F295" t="str">
            <v>Viernes</v>
          </cell>
          <cell r="G295" t="str">
            <v>5.0-6.0</v>
          </cell>
          <cell r="H295">
            <v>6</v>
          </cell>
          <cell r="I295" t="str">
            <v>Oidio</v>
          </cell>
          <cell r="J295">
            <v>0</v>
          </cell>
          <cell r="K295">
            <v>0</v>
          </cell>
          <cell r="L295">
            <v>0</v>
          </cell>
          <cell r="M295" t="str">
            <v>Miclobutanil</v>
          </cell>
          <cell r="N295" t="str">
            <v>III</v>
          </cell>
          <cell r="O295" t="str">
            <v>Ligeramente Peligrosos III</v>
          </cell>
          <cell r="P295" t="str">
            <v>Fungicida</v>
          </cell>
          <cell r="Q295" t="str">
            <v>SI</v>
          </cell>
          <cell r="R295" t="str">
            <v>-</v>
          </cell>
          <cell r="S295"/>
        </row>
        <row r="296">
          <cell r="A296" t="str">
            <v>RANGER 28.6%</v>
          </cell>
          <cell r="B296" t="str">
            <v>PH001</v>
          </cell>
          <cell r="C296" t="str">
            <v>CC</v>
          </cell>
          <cell r="D296" t="str">
            <v>NO</v>
          </cell>
          <cell r="E296" t="str">
            <v>ACTIVOS NO REG</v>
          </cell>
          <cell r="F296"/>
          <cell r="G296" t="str">
            <v>4.0-5.0</v>
          </cell>
          <cell r="H296">
            <v>4</v>
          </cell>
          <cell r="I296" t="str">
            <v>Hebicida no selectivo Sistémico</v>
          </cell>
          <cell r="J296">
            <v>0</v>
          </cell>
          <cell r="K296">
            <v>0</v>
          </cell>
          <cell r="L296">
            <v>0</v>
          </cell>
          <cell r="M296" t="str">
            <v>Glifosato</v>
          </cell>
          <cell r="N296" t="str">
            <v>IV</v>
          </cell>
          <cell r="O296" t="str">
            <v>Categoría IV</v>
          </cell>
          <cell r="P296" t="str">
            <v>Herbicida</v>
          </cell>
          <cell r="Q296" t="str">
            <v>SI</v>
          </cell>
          <cell r="R296" t="str">
            <v>-</v>
          </cell>
        </row>
        <row r="297">
          <cell r="A297" t="str">
            <v>Regent</v>
          </cell>
          <cell r="B297" t="str">
            <v>PI063</v>
          </cell>
          <cell r="C297" t="str">
            <v>CC</v>
          </cell>
          <cell r="D297" t="str">
            <v>SI</v>
          </cell>
          <cell r="E297" t="str">
            <v>ACTIVOS REG</v>
          </cell>
          <cell r="F297" t="str">
            <v>Martes</v>
          </cell>
          <cell r="G297">
            <v>6</v>
          </cell>
          <cell r="H297">
            <v>12</v>
          </cell>
          <cell r="I297" t="str">
            <v>Trips</v>
          </cell>
          <cell r="J297">
            <v>0</v>
          </cell>
          <cell r="K297">
            <v>0</v>
          </cell>
          <cell r="L297">
            <v>0</v>
          </cell>
          <cell r="M297" t="str">
            <v>Fipronil</v>
          </cell>
          <cell r="N297" t="str">
            <v>II</v>
          </cell>
          <cell r="O297" t="str">
            <v>Moderadamente Peligrosos II</v>
          </cell>
          <cell r="P297" t="str">
            <v>Insecticida</v>
          </cell>
          <cell r="Q297" t="str">
            <v>SI</v>
          </cell>
          <cell r="R297">
            <v>0.5</v>
          </cell>
        </row>
        <row r="298">
          <cell r="A298" t="str">
            <v>REGENT 80 WG</v>
          </cell>
          <cell r="B298" t="str">
            <v>PI133</v>
          </cell>
          <cell r="C298" t="str">
            <v>GR</v>
          </cell>
          <cell r="D298" t="str">
            <v>NO</v>
          </cell>
          <cell r="E298" t="str">
            <v>ACTIVOS REG</v>
          </cell>
          <cell r="F298" t="str">
            <v>Lunes</v>
          </cell>
          <cell r="G298">
            <v>5.5</v>
          </cell>
          <cell r="H298">
            <v>12</v>
          </cell>
          <cell r="I298" t="str">
            <v>Trips</v>
          </cell>
          <cell r="J298">
            <v>0</v>
          </cell>
          <cell r="K298">
            <v>0</v>
          </cell>
          <cell r="L298">
            <v>0</v>
          </cell>
          <cell r="M298" t="str">
            <v>Fipronil</v>
          </cell>
          <cell r="N298" t="str">
            <v>II</v>
          </cell>
          <cell r="O298" t="str">
            <v>Moderadamente Peligrosos II</v>
          </cell>
          <cell r="P298" t="str">
            <v>Insecticida</v>
          </cell>
          <cell r="Q298" t="str">
            <v>SI</v>
          </cell>
          <cell r="R298" t="str">
            <v>-</v>
          </cell>
          <cell r="S298"/>
        </row>
        <row r="299">
          <cell r="A299" t="str">
            <v>RESCATE</v>
          </cell>
          <cell r="B299" t="str">
            <v>PI103</v>
          </cell>
          <cell r="C299" t="str">
            <v>GR</v>
          </cell>
          <cell r="D299" t="str">
            <v>SI</v>
          </cell>
          <cell r="E299" t="str">
            <v>ACTIVOS REG</v>
          </cell>
          <cell r="F299" t="str">
            <v>Lunes</v>
          </cell>
          <cell r="G299">
            <v>7</v>
          </cell>
          <cell r="H299">
            <v>8</v>
          </cell>
          <cell r="I299" t="str">
            <v>Trips</v>
          </cell>
          <cell r="J299">
            <v>0</v>
          </cell>
          <cell r="K299">
            <v>0</v>
          </cell>
          <cell r="L299">
            <v>0</v>
          </cell>
          <cell r="M299" t="str">
            <v>Acetamiprid</v>
          </cell>
          <cell r="N299" t="str">
            <v>III</v>
          </cell>
          <cell r="O299" t="str">
            <v>Ligeramente Peligrosos III</v>
          </cell>
          <cell r="P299" t="str">
            <v>Insecticida</v>
          </cell>
          <cell r="Q299" t="str">
            <v>SI</v>
          </cell>
          <cell r="R299">
            <v>0.3</v>
          </cell>
          <cell r="S299"/>
        </row>
        <row r="300">
          <cell r="A300" t="str">
            <v>Revus</v>
          </cell>
          <cell r="B300" t="str">
            <v>PF099</v>
          </cell>
          <cell r="C300" t="str">
            <v>CC</v>
          </cell>
          <cell r="D300" t="str">
            <v>SI</v>
          </cell>
          <cell r="E300" t="str">
            <v>ACTIVOS REG</v>
          </cell>
          <cell r="F300" t="str">
            <v>Viernes</v>
          </cell>
          <cell r="G300">
            <v>7</v>
          </cell>
          <cell r="H300">
            <v>6</v>
          </cell>
          <cell r="I300" t="str">
            <v>Oidium</v>
          </cell>
          <cell r="J300"/>
          <cell r="K300"/>
          <cell r="L300"/>
          <cell r="M300" t="str">
            <v>Mandipropamid</v>
          </cell>
          <cell r="N300" t="str">
            <v>III</v>
          </cell>
          <cell r="O300" t="str">
            <v>Ligeramente Peligrosos III</v>
          </cell>
          <cell r="P300" t="str">
            <v>Fungicida</v>
          </cell>
          <cell r="Q300" t="str">
            <v>SI</v>
          </cell>
          <cell r="R300">
            <v>0.6</v>
          </cell>
          <cell r="S300"/>
        </row>
        <row r="301">
          <cell r="A301" t="str">
            <v>RIDOMIL GOLD</v>
          </cell>
          <cell r="B301" t="str">
            <v>PF077</v>
          </cell>
          <cell r="C301" t="str">
            <v>GR</v>
          </cell>
          <cell r="D301" t="str">
            <v>SI</v>
          </cell>
          <cell r="E301" t="str">
            <v>ACTIVOS REG</v>
          </cell>
          <cell r="F301" t="str">
            <v>Jueves</v>
          </cell>
          <cell r="G301">
            <v>5.5</v>
          </cell>
          <cell r="H301">
            <v>4</v>
          </cell>
          <cell r="I301" t="str">
            <v>Peronóspora</v>
          </cell>
          <cell r="J301">
            <v>0</v>
          </cell>
          <cell r="K301">
            <v>0</v>
          </cell>
          <cell r="L301">
            <v>0</v>
          </cell>
          <cell r="M301" t="str">
            <v>Metalaxil, Mancozeb</v>
          </cell>
          <cell r="N301" t="str">
            <v>III</v>
          </cell>
          <cell r="O301" t="str">
            <v>Ligeramente Peligrosos III</v>
          </cell>
          <cell r="P301" t="str">
            <v>Fungicida</v>
          </cell>
          <cell r="Q301" t="str">
            <v>SI</v>
          </cell>
          <cell r="R301">
            <v>2</v>
          </cell>
          <cell r="S301"/>
        </row>
        <row r="302">
          <cell r="A302" t="str">
            <v>RONSTAR 38 FLO</v>
          </cell>
          <cell r="B302" t="str">
            <v>PH004</v>
          </cell>
          <cell r="C302" t="str">
            <v>CC</v>
          </cell>
          <cell r="D302" t="str">
            <v>SI</v>
          </cell>
          <cell r="E302" t="str">
            <v>ACTIVOS REG</v>
          </cell>
          <cell r="F302"/>
          <cell r="G302">
            <v>7</v>
          </cell>
          <cell r="H302">
            <v>2</v>
          </cell>
          <cell r="I302" t="str">
            <v>Preemergente</v>
          </cell>
          <cell r="J302">
            <v>0</v>
          </cell>
          <cell r="K302">
            <v>0</v>
          </cell>
          <cell r="L302">
            <v>0</v>
          </cell>
          <cell r="M302" t="str">
            <v>Oxadiazon</v>
          </cell>
          <cell r="N302" t="str">
            <v>III</v>
          </cell>
          <cell r="O302" t="str">
            <v>Ligeramente Peligrosos III</v>
          </cell>
          <cell r="P302" t="str">
            <v>Herbicida</v>
          </cell>
          <cell r="Q302" t="str">
            <v>SI</v>
          </cell>
          <cell r="R302" t="str">
            <v>-</v>
          </cell>
          <cell r="S302"/>
        </row>
        <row r="303">
          <cell r="A303" t="str">
            <v>ROUNDUP 747</v>
          </cell>
          <cell r="B303" t="str">
            <v>PH009</v>
          </cell>
          <cell r="C303" t="str">
            <v>GR</v>
          </cell>
          <cell r="D303" t="str">
            <v>NO</v>
          </cell>
          <cell r="E303" t="str">
            <v>ACTIVOS NO REG</v>
          </cell>
          <cell r="F303"/>
          <cell r="G303"/>
          <cell r="H303"/>
          <cell r="I303"/>
          <cell r="J303"/>
          <cell r="K303"/>
          <cell r="L303"/>
          <cell r="M303" t="str">
            <v>GLYPHOSATE</v>
          </cell>
          <cell r="N303" t="str">
            <v>IV</v>
          </cell>
          <cell r="O303" t="str">
            <v>Categoría IV</v>
          </cell>
          <cell r="P303" t="str">
            <v>Herbicida</v>
          </cell>
          <cell r="Q303" t="str">
            <v>SI</v>
          </cell>
          <cell r="R303" t="str">
            <v>-</v>
          </cell>
        </row>
        <row r="304">
          <cell r="A304" t="str">
            <v>ROVRAL LIQUIDO</v>
          </cell>
          <cell r="B304" t="str">
            <v>PF079</v>
          </cell>
          <cell r="C304" t="str">
            <v>CC</v>
          </cell>
          <cell r="D304" t="str">
            <v>NO</v>
          </cell>
          <cell r="E304" t="str">
            <v>ACTIVOS REG</v>
          </cell>
          <cell r="F304" t="str">
            <v>Viernes</v>
          </cell>
          <cell r="G304">
            <v>7</v>
          </cell>
          <cell r="H304">
            <v>2</v>
          </cell>
          <cell r="I304" t="str">
            <v>Botrytis</v>
          </cell>
          <cell r="J304">
            <v>0</v>
          </cell>
          <cell r="K304">
            <v>0</v>
          </cell>
          <cell r="L304">
            <v>0</v>
          </cell>
          <cell r="M304" t="str">
            <v>Iprodione</v>
          </cell>
          <cell r="N304" t="str">
            <v>IV</v>
          </cell>
          <cell r="O304" t="str">
            <v>Categoría IV</v>
          </cell>
          <cell r="P304" t="str">
            <v>Fungicida</v>
          </cell>
          <cell r="Q304" t="str">
            <v>SI</v>
          </cell>
          <cell r="R304" t="str">
            <v>-</v>
          </cell>
          <cell r="S304"/>
        </row>
        <row r="305">
          <cell r="A305" t="str">
            <v>ROVRAL 50WP</v>
          </cell>
          <cell r="B305" t="str">
            <v>PF021</v>
          </cell>
          <cell r="C305" t="str">
            <v>GR</v>
          </cell>
          <cell r="D305" t="str">
            <v>SI</v>
          </cell>
          <cell r="E305" t="str">
            <v>ACTIVOS REG</v>
          </cell>
          <cell r="F305" t="str">
            <v>Viernes</v>
          </cell>
          <cell r="G305">
            <v>6</v>
          </cell>
          <cell r="H305">
            <v>2</v>
          </cell>
          <cell r="I305" t="str">
            <v>Botrytis</v>
          </cell>
          <cell r="J305">
            <v>0</v>
          </cell>
          <cell r="K305">
            <v>0</v>
          </cell>
          <cell r="L305">
            <v>0</v>
          </cell>
          <cell r="M305" t="str">
            <v>Iprodione</v>
          </cell>
          <cell r="N305" t="str">
            <v>IV</v>
          </cell>
          <cell r="O305" t="str">
            <v>Categoría IV</v>
          </cell>
          <cell r="P305" t="str">
            <v>Fungicida</v>
          </cell>
          <cell r="Q305" t="str">
            <v>SI</v>
          </cell>
          <cell r="R305">
            <v>1</v>
          </cell>
          <cell r="S305"/>
        </row>
        <row r="306">
          <cell r="A306" t="str">
            <v>RUBIGAN 12EC</v>
          </cell>
          <cell r="B306" t="str">
            <v>PF047</v>
          </cell>
          <cell r="C306" t="str">
            <v>CC</v>
          </cell>
          <cell r="D306" t="str">
            <v>NO</v>
          </cell>
          <cell r="E306" t="str">
            <v>ACTIVOS NO REG</v>
          </cell>
          <cell r="F306" t="str">
            <v>Viernes</v>
          </cell>
          <cell r="G306" t="str">
            <v xml:space="preserve"> ---</v>
          </cell>
          <cell r="H306">
            <v>6</v>
          </cell>
          <cell r="I306" t="str">
            <v>Oidio</v>
          </cell>
          <cell r="J306">
            <v>0</v>
          </cell>
          <cell r="K306">
            <v>0</v>
          </cell>
          <cell r="L306">
            <v>0</v>
          </cell>
          <cell r="M306" t="str">
            <v>Fenarimol</v>
          </cell>
          <cell r="N306" t="str">
            <v>III</v>
          </cell>
          <cell r="O306" t="str">
            <v>Ligeramente Peligrosos III</v>
          </cell>
          <cell r="P306" t="str">
            <v>Fungicida</v>
          </cell>
          <cell r="Q306" t="str">
            <v>SI</v>
          </cell>
          <cell r="R306" t="str">
            <v>-</v>
          </cell>
          <cell r="S306"/>
        </row>
        <row r="307">
          <cell r="A307" t="str">
            <v>RUFAST</v>
          </cell>
          <cell r="B307" t="str">
            <v>PI069</v>
          </cell>
          <cell r="C307" t="str">
            <v>CC</v>
          </cell>
          <cell r="D307" t="str">
            <v>NO</v>
          </cell>
          <cell r="E307" t="str">
            <v>ACTIVOS NO REG</v>
          </cell>
          <cell r="F307" t="str">
            <v>Lunes</v>
          </cell>
          <cell r="G307">
            <v>5</v>
          </cell>
          <cell r="H307">
            <v>4</v>
          </cell>
          <cell r="I307" t="str">
            <v>Acaros</v>
          </cell>
          <cell r="J307">
            <v>0</v>
          </cell>
          <cell r="K307">
            <v>0</v>
          </cell>
          <cell r="L307">
            <v>0</v>
          </cell>
          <cell r="M307" t="str">
            <v>Acrinatrina</v>
          </cell>
          <cell r="N307" t="str">
            <v>IV</v>
          </cell>
          <cell r="O307" t="str">
            <v>Categoría IV</v>
          </cell>
          <cell r="P307" t="str">
            <v>Insecticida</v>
          </cell>
          <cell r="Q307" t="str">
            <v>SI</v>
          </cell>
          <cell r="R307" t="str">
            <v>-</v>
          </cell>
          <cell r="S307"/>
        </row>
        <row r="308">
          <cell r="A308" t="str">
            <v>SANMITE</v>
          </cell>
          <cell r="B308" t="str">
            <v>PI111</v>
          </cell>
          <cell r="C308" t="str">
            <v>CC</v>
          </cell>
          <cell r="D308" t="str">
            <v>NO</v>
          </cell>
          <cell r="E308" t="str">
            <v>ACTIVOS NO REG</v>
          </cell>
          <cell r="F308" t="str">
            <v>Lunes</v>
          </cell>
          <cell r="G308" t="str">
            <v>5.0-7.0</v>
          </cell>
          <cell r="H308">
            <v>8</v>
          </cell>
          <cell r="I308" t="str">
            <v>Acaros</v>
          </cell>
          <cell r="J308">
            <v>0</v>
          </cell>
          <cell r="K308">
            <v>0</v>
          </cell>
          <cell r="L308">
            <v>0</v>
          </cell>
          <cell r="M308" t="str">
            <v>Piridaben</v>
          </cell>
          <cell r="N308" t="str">
            <v>III</v>
          </cell>
          <cell r="O308" t="str">
            <v>Ligeramente Peligrosos III</v>
          </cell>
          <cell r="P308" t="str">
            <v>Insecticida</v>
          </cell>
          <cell r="Q308" t="str">
            <v>SI</v>
          </cell>
          <cell r="R308" t="str">
            <v>-</v>
          </cell>
          <cell r="S308"/>
        </row>
        <row r="309">
          <cell r="A309" t="str">
            <v>SAPROL DL</v>
          </cell>
          <cell r="B309" t="str">
            <v>PF110</v>
          </cell>
          <cell r="C309" t="str">
            <v>CC</v>
          </cell>
          <cell r="D309" t="str">
            <v>NO</v>
          </cell>
          <cell r="E309" t="str">
            <v>ACTIVOS NO REG</v>
          </cell>
          <cell r="F309" t="str">
            <v>Viernes</v>
          </cell>
          <cell r="G309"/>
          <cell r="H309"/>
          <cell r="I309" t="str">
            <v>Oidium</v>
          </cell>
          <cell r="J309" t="str">
            <v>Roya</v>
          </cell>
          <cell r="K309">
            <v>0</v>
          </cell>
          <cell r="L309">
            <v>0</v>
          </cell>
          <cell r="M309" t="str">
            <v>TRIFORINE</v>
          </cell>
          <cell r="N309" t="str">
            <v>III</v>
          </cell>
          <cell r="O309" t="str">
            <v>Ligeramente Peligrosos III</v>
          </cell>
          <cell r="P309" t="str">
            <v>Fungicida</v>
          </cell>
          <cell r="Q309" t="str">
            <v>SI</v>
          </cell>
          <cell r="R309" t="str">
            <v>-</v>
          </cell>
        </row>
        <row r="310">
          <cell r="A310" t="str">
            <v>Scala</v>
          </cell>
          <cell r="B310" t="str">
            <v>PF073</v>
          </cell>
          <cell r="C310" t="str">
            <v>CC</v>
          </cell>
          <cell r="D310" t="str">
            <v>NO</v>
          </cell>
          <cell r="E310" t="str">
            <v>ACTIVOS REG</v>
          </cell>
          <cell r="F310" t="str">
            <v>Viernes</v>
          </cell>
          <cell r="G310" t="str">
            <v>4.5-7.5</v>
          </cell>
          <cell r="H310">
            <v>2</v>
          </cell>
          <cell r="I310" t="str">
            <v>Botrytis</v>
          </cell>
          <cell r="J310">
            <v>0</v>
          </cell>
          <cell r="K310">
            <v>0</v>
          </cell>
          <cell r="L310">
            <v>0</v>
          </cell>
          <cell r="M310" t="str">
            <v>PYRIMETHANIL</v>
          </cell>
          <cell r="N310" t="str">
            <v>IV</v>
          </cell>
          <cell r="O310" t="str">
            <v>Categoría IV</v>
          </cell>
          <cell r="P310" t="str">
            <v>Fungicida</v>
          </cell>
          <cell r="Q310" t="str">
            <v>SI</v>
          </cell>
          <cell r="R310">
            <v>1</v>
          </cell>
        </row>
        <row r="311">
          <cell r="A311" t="str">
            <v>Score</v>
          </cell>
          <cell r="B311" t="str">
            <v>PF035</v>
          </cell>
          <cell r="C311" t="str">
            <v>CC</v>
          </cell>
          <cell r="D311" t="str">
            <v>SI</v>
          </cell>
          <cell r="E311" t="str">
            <v>ACTIVOS REG</v>
          </cell>
          <cell r="F311" t="str">
            <v>Viernes</v>
          </cell>
          <cell r="G311">
            <v>6</v>
          </cell>
          <cell r="H311">
            <v>4</v>
          </cell>
          <cell r="I311" t="str">
            <v>Oidio</v>
          </cell>
          <cell r="J311" t="str">
            <v>Roya</v>
          </cell>
          <cell r="K311" t="str">
            <v>Botrytis</v>
          </cell>
          <cell r="L311">
            <v>0</v>
          </cell>
          <cell r="M311" t="str">
            <v>Difenoconazol</v>
          </cell>
          <cell r="N311" t="str">
            <v>III</v>
          </cell>
          <cell r="O311" t="str">
            <v>Ligeramente Peligrosos III</v>
          </cell>
          <cell r="P311" t="str">
            <v>Fungicida</v>
          </cell>
          <cell r="Q311" t="str">
            <v>SI</v>
          </cell>
          <cell r="R311">
            <v>0.8</v>
          </cell>
          <cell r="S311"/>
        </row>
        <row r="312">
          <cell r="A312" t="str">
            <v>SIALEX</v>
          </cell>
          <cell r="B312" t="str">
            <v>PF131</v>
          </cell>
          <cell r="C312" t="str">
            <v>CC</v>
          </cell>
          <cell r="D312" t="str">
            <v>NO</v>
          </cell>
          <cell r="E312" t="str">
            <v>ACTIVOS NO REG</v>
          </cell>
          <cell r="F312" t="str">
            <v>Viernes</v>
          </cell>
          <cell r="G312" t="str">
            <v>5.0-7.0</v>
          </cell>
          <cell r="H312">
            <v>6</v>
          </cell>
          <cell r="I312" t="str">
            <v>Botrytis</v>
          </cell>
          <cell r="J312">
            <v>0</v>
          </cell>
          <cell r="K312">
            <v>0</v>
          </cell>
          <cell r="L312">
            <v>0</v>
          </cell>
          <cell r="M312" t="str">
            <v>Procymidone</v>
          </cell>
          <cell r="N312" t="str">
            <v>III</v>
          </cell>
          <cell r="O312" t="str">
            <v>Ligeramente Peligrosos III</v>
          </cell>
          <cell r="P312" t="str">
            <v>Fungicida</v>
          </cell>
          <cell r="Q312" t="str">
            <v>SI</v>
          </cell>
          <cell r="R312" t="str">
            <v>-</v>
          </cell>
          <cell r="S312"/>
        </row>
        <row r="313">
          <cell r="A313" t="str">
            <v>SILICAL</v>
          </cell>
          <cell r="B313" t="str">
            <v>FA056</v>
          </cell>
          <cell r="C313" t="str">
            <v>KG</v>
          </cell>
          <cell r="D313" t="str">
            <v>SI</v>
          </cell>
          <cell r="E313" t="str">
            <v>ACTIVOS NO REG</v>
          </cell>
          <cell r="F313"/>
          <cell r="G313"/>
          <cell r="H313"/>
          <cell r="I313"/>
          <cell r="J313"/>
          <cell r="K313"/>
          <cell r="L313"/>
          <cell r="M313"/>
          <cell r="N313" t="str">
            <v>IV</v>
          </cell>
          <cell r="O313" t="str">
            <v>Categoría IV</v>
          </cell>
          <cell r="P313" t="str">
            <v>Fertilizante</v>
          </cell>
          <cell r="Q313"/>
          <cell r="R313" t="str">
            <v>-</v>
          </cell>
          <cell r="S313"/>
        </row>
        <row r="314">
          <cell r="A314" t="str">
            <v>Sililo</v>
          </cell>
          <cell r="B314" t="str">
            <v>PF093</v>
          </cell>
          <cell r="C314" t="str">
            <v>CC</v>
          </cell>
          <cell r="D314" t="str">
            <v>NO</v>
          </cell>
          <cell r="E314" t="str">
            <v>ELIMINADOS REG</v>
          </cell>
          <cell r="F314" t="str">
            <v>Viernes</v>
          </cell>
          <cell r="G314" t="str">
            <v xml:space="preserve"> ---</v>
          </cell>
          <cell r="H314">
            <v>2</v>
          </cell>
          <cell r="I314" t="str">
            <v>Fertilización</v>
          </cell>
          <cell r="J314">
            <v>0</v>
          </cell>
          <cell r="K314">
            <v>0</v>
          </cell>
          <cell r="L314">
            <v>0</v>
          </cell>
          <cell r="M314" t="str">
            <v>Silicio</v>
          </cell>
          <cell r="N314" t="str">
            <v>IV</v>
          </cell>
          <cell r="O314" t="str">
            <v>Categoría IV</v>
          </cell>
          <cell r="P314" t="str">
            <v>Fungicida</v>
          </cell>
          <cell r="Q314" t="str">
            <v>NO HAY</v>
          </cell>
          <cell r="R314" t="str">
            <v>-</v>
          </cell>
          <cell r="S314"/>
        </row>
        <row r="315">
          <cell r="A315" t="str">
            <v>SILWET</v>
          </cell>
          <cell r="B315" t="str">
            <v>PJ011</v>
          </cell>
          <cell r="C315" t="str">
            <v>CC</v>
          </cell>
          <cell r="D315" t="str">
            <v>SI</v>
          </cell>
          <cell r="E315" t="str">
            <v>ACTIVOS REG</v>
          </cell>
          <cell r="F315" t="str">
            <v>Martes</v>
          </cell>
          <cell r="G315"/>
          <cell r="H315"/>
          <cell r="I315"/>
          <cell r="J315"/>
          <cell r="K315"/>
          <cell r="L315"/>
          <cell r="M315" t="str">
            <v>CO-POLIMERO DE ETER METIL Y SILICONA</v>
          </cell>
          <cell r="N315" t="str">
            <v>IV</v>
          </cell>
          <cell r="O315" t="str">
            <v>Categoría IV</v>
          </cell>
          <cell r="P315" t="str">
            <v>Coadyuvante</v>
          </cell>
          <cell r="Q315" t="str">
            <v>NO HAY</v>
          </cell>
          <cell r="R315">
            <v>0.15</v>
          </cell>
        </row>
        <row r="316">
          <cell r="A316" t="str">
            <v>SIMUL STRESS</v>
          </cell>
          <cell r="B316" t="str">
            <v>FB053</v>
          </cell>
          <cell r="C316" t="str">
            <v>CC</v>
          </cell>
          <cell r="D316" t="str">
            <v>NO</v>
          </cell>
          <cell r="E316" t="str">
            <v>ELIMINADOS NO REG</v>
          </cell>
          <cell r="F316" t="str">
            <v>Miercoles</v>
          </cell>
          <cell r="G316"/>
          <cell r="H316"/>
          <cell r="I316"/>
          <cell r="J316"/>
          <cell r="K316"/>
          <cell r="L316"/>
          <cell r="M316"/>
          <cell r="N316" t="str">
            <v>IV</v>
          </cell>
          <cell r="O316" t="str">
            <v>Categoría IV</v>
          </cell>
          <cell r="P316" t="str">
            <v>Bioestimulante</v>
          </cell>
          <cell r="Q316"/>
          <cell r="R316" t="str">
            <v>-</v>
          </cell>
          <cell r="S316"/>
        </row>
        <row r="317">
          <cell r="A317" t="str">
            <v>SOLUBORO</v>
          </cell>
          <cell r="B317" t="str">
            <v>FI050</v>
          </cell>
          <cell r="C317" t="str">
            <v>GR</v>
          </cell>
          <cell r="D317" t="str">
            <v>NO</v>
          </cell>
          <cell r="E317" t="str">
            <v>ACTIVOS NO REG</v>
          </cell>
          <cell r="F317"/>
          <cell r="G317"/>
          <cell r="H317"/>
          <cell r="I317"/>
          <cell r="J317"/>
          <cell r="K317"/>
          <cell r="L317"/>
          <cell r="M317"/>
          <cell r="N317" t="str">
            <v>IV</v>
          </cell>
          <cell r="O317" t="str">
            <v>Categoría IV</v>
          </cell>
          <cell r="P317" t="str">
            <v>Fertilizante</v>
          </cell>
          <cell r="Q317"/>
          <cell r="R317" t="str">
            <v>-</v>
          </cell>
          <cell r="S317"/>
        </row>
        <row r="318">
          <cell r="A318" t="str">
            <v>Sportak</v>
          </cell>
          <cell r="B318" t="str">
            <v>PF078</v>
          </cell>
          <cell r="C318" t="str">
            <v>CC</v>
          </cell>
          <cell r="D318" t="str">
            <v>NO</v>
          </cell>
          <cell r="E318" t="str">
            <v>ACTIVOS REG</v>
          </cell>
          <cell r="F318" t="str">
            <v>Viernes</v>
          </cell>
          <cell r="G318">
            <v>6</v>
          </cell>
          <cell r="H318">
            <v>6</v>
          </cell>
          <cell r="I318" t="str">
            <v>Botrytis</v>
          </cell>
          <cell r="J318">
            <v>0</v>
          </cell>
          <cell r="K318">
            <v>0</v>
          </cell>
          <cell r="L318">
            <v>0</v>
          </cell>
          <cell r="M318" t="str">
            <v>Procloras</v>
          </cell>
          <cell r="N318" t="str">
            <v>III</v>
          </cell>
          <cell r="O318" t="str">
            <v>Ligeramente Peligrosos III</v>
          </cell>
          <cell r="P318" t="str">
            <v>Fungicida</v>
          </cell>
          <cell r="Q318" t="str">
            <v>SI</v>
          </cell>
          <cell r="R318" t="str">
            <v>-</v>
          </cell>
        </row>
        <row r="319">
          <cell r="A319" t="str">
            <v>STAR</v>
          </cell>
          <cell r="B319" t="str">
            <v>PF171</v>
          </cell>
          <cell r="C319" t="str">
            <v>GR</v>
          </cell>
          <cell r="D319" t="str">
            <v>NO</v>
          </cell>
          <cell r="E319" t="str">
            <v>ELIMINADOS REG</v>
          </cell>
          <cell r="F319" t="str">
            <v>Viernes</v>
          </cell>
          <cell r="G319"/>
          <cell r="H319"/>
          <cell r="I319"/>
          <cell r="J319"/>
          <cell r="K319"/>
          <cell r="L319"/>
          <cell r="M319" t="str">
            <v>Iprodione</v>
          </cell>
          <cell r="N319" t="str">
            <v>IV</v>
          </cell>
          <cell r="O319" t="str">
            <v>Categoría IV</v>
          </cell>
          <cell r="P319" t="str">
            <v>Fungicida</v>
          </cell>
          <cell r="Q319" t="str">
            <v>SI</v>
          </cell>
          <cell r="R319">
            <v>1</v>
          </cell>
          <cell r="S319"/>
        </row>
        <row r="320">
          <cell r="A320" t="str">
            <v>STARNER 20 PM</v>
          </cell>
          <cell r="B320" t="str">
            <v>HB003</v>
          </cell>
          <cell r="C320" t="str">
            <v>GR</v>
          </cell>
          <cell r="D320" t="str">
            <v>SI</v>
          </cell>
          <cell r="E320" t="str">
            <v>ACTIVOS REG</v>
          </cell>
          <cell r="F320"/>
          <cell r="G320"/>
          <cell r="H320"/>
          <cell r="I320" t="str">
            <v>Pseudomonas</v>
          </cell>
          <cell r="J320" t="str">
            <v>Erwinia</v>
          </cell>
          <cell r="K320" t="str">
            <v>Bactericida</v>
          </cell>
          <cell r="L320"/>
          <cell r="M320" t="str">
            <v>ACIDO OXOLINICO</v>
          </cell>
          <cell r="N320" t="str">
            <v>III</v>
          </cell>
          <cell r="O320" t="str">
            <v>Ligeramente Peligrosos III</v>
          </cell>
          <cell r="P320" t="str">
            <v>Bactericidas</v>
          </cell>
          <cell r="Q320" t="str">
            <v>SI</v>
          </cell>
          <cell r="R320" t="str">
            <v>-</v>
          </cell>
          <cell r="S320"/>
        </row>
        <row r="321">
          <cell r="A321" t="str">
            <v>STIMPLEX</v>
          </cell>
          <cell r="B321" t="str">
            <v>FB046</v>
          </cell>
          <cell r="C321" t="str">
            <v>CC</v>
          </cell>
          <cell r="D321" t="str">
            <v>NO</v>
          </cell>
          <cell r="E321" t="str">
            <v>ACTIVOS NO REG</v>
          </cell>
          <cell r="F321" t="str">
            <v>Miercoles</v>
          </cell>
          <cell r="G321"/>
          <cell r="H321"/>
          <cell r="I321"/>
          <cell r="J321"/>
          <cell r="K321"/>
          <cell r="L321"/>
          <cell r="M321"/>
          <cell r="N321" t="str">
            <v>IV</v>
          </cell>
          <cell r="O321" t="str">
            <v>Categoría IV</v>
          </cell>
          <cell r="P321" t="str">
            <v>Bioestimulante</v>
          </cell>
          <cell r="Q321"/>
          <cell r="R321" t="str">
            <v>-</v>
          </cell>
          <cell r="S321"/>
        </row>
        <row r="322">
          <cell r="A322" t="str">
            <v>STROBI DF</v>
          </cell>
          <cell r="B322" t="str">
            <v>PF061</v>
          </cell>
          <cell r="C322" t="str">
            <v>GR</v>
          </cell>
          <cell r="D322" t="str">
            <v>NO</v>
          </cell>
          <cell r="E322" t="str">
            <v>ACTIVOS NO REG</v>
          </cell>
          <cell r="F322" t="str">
            <v>Viernes</v>
          </cell>
          <cell r="G322"/>
          <cell r="H322"/>
          <cell r="I322" t="str">
            <v>Oidio</v>
          </cell>
          <cell r="J322"/>
          <cell r="K322"/>
          <cell r="L322"/>
          <cell r="M322" t="str">
            <v>METILO DE KRESOXIM</v>
          </cell>
          <cell r="N322" t="str">
            <v>IV</v>
          </cell>
          <cell r="O322" t="str">
            <v>Categoría IV</v>
          </cell>
          <cell r="P322" t="str">
            <v>Fungicida</v>
          </cell>
          <cell r="Q322" t="str">
            <v>SI</v>
          </cell>
          <cell r="R322" t="str">
            <v>-</v>
          </cell>
        </row>
        <row r="323">
          <cell r="A323" t="str">
            <v>STRONG</v>
          </cell>
          <cell r="B323" t="str">
            <v>FB042</v>
          </cell>
          <cell r="C323" t="str">
            <v>CC</v>
          </cell>
          <cell r="D323" t="str">
            <v>NO</v>
          </cell>
          <cell r="E323" t="str">
            <v>ACTIVOS NO REG</v>
          </cell>
          <cell r="F323" t="str">
            <v>Miercoles</v>
          </cell>
          <cell r="G323" t="str">
            <v>6.0-6.5</v>
          </cell>
          <cell r="H323"/>
          <cell r="I323"/>
          <cell r="J323"/>
          <cell r="K323"/>
          <cell r="L323"/>
          <cell r="M323"/>
          <cell r="N323" t="str">
            <v>IV</v>
          </cell>
          <cell r="O323" t="str">
            <v>Categoría IV</v>
          </cell>
          <cell r="P323" t="str">
            <v>Bioestimulante</v>
          </cell>
          <cell r="Q323"/>
          <cell r="R323" t="str">
            <v>-</v>
          </cell>
          <cell r="S323"/>
        </row>
        <row r="324">
          <cell r="A324" t="str">
            <v>Sufato de Cobre</v>
          </cell>
          <cell r="B324" t="str">
            <v>FA010</v>
          </cell>
          <cell r="C324" t="str">
            <v>GR</v>
          </cell>
          <cell r="D324" t="str">
            <v>NO</v>
          </cell>
          <cell r="E324" t="str">
            <v>ACTIVOS REG</v>
          </cell>
          <cell r="F324"/>
          <cell r="G324"/>
          <cell r="H324"/>
          <cell r="I324"/>
          <cell r="J324"/>
          <cell r="K324"/>
          <cell r="L324"/>
          <cell r="M324" t="str">
            <v>SULFATO DE COBRE</v>
          </cell>
          <cell r="N324" t="str">
            <v>III</v>
          </cell>
          <cell r="O324" t="str">
            <v>Ligeramente Peligrosos III</v>
          </cell>
          <cell r="P324" t="str">
            <v>Fertilizante</v>
          </cell>
          <cell r="Q324" t="str">
            <v>SI</v>
          </cell>
          <cell r="R324" t="str">
            <v>-</v>
          </cell>
          <cell r="S324"/>
        </row>
        <row r="325">
          <cell r="A325" t="str">
            <v>SUGAR EXPRESS</v>
          </cell>
          <cell r="B325" t="str">
            <v>FI046</v>
          </cell>
          <cell r="C325" t="str">
            <v>GR</v>
          </cell>
          <cell r="D325" t="str">
            <v>NO</v>
          </cell>
          <cell r="E325" t="str">
            <v>ACTIVOS NO REG</v>
          </cell>
          <cell r="F325"/>
          <cell r="G325"/>
          <cell r="H325"/>
          <cell r="I325"/>
          <cell r="J325"/>
          <cell r="K325"/>
          <cell r="L325"/>
          <cell r="M325"/>
          <cell r="N325" t="str">
            <v>IV</v>
          </cell>
          <cell r="O325" t="str">
            <v>Categoría IV</v>
          </cell>
          <cell r="P325" t="str">
            <v>Fertilizante</v>
          </cell>
          <cell r="Q325"/>
          <cell r="R325" t="str">
            <v>-</v>
          </cell>
        </row>
        <row r="326">
          <cell r="A326" t="str">
            <v>Sulf K Tec</v>
          </cell>
          <cell r="B326" t="str">
            <v>FA006</v>
          </cell>
          <cell r="C326" t="str">
            <v>KG</v>
          </cell>
          <cell r="D326" t="str">
            <v>SI</v>
          </cell>
          <cell r="E326" t="str">
            <v>ACTIVOS REG</v>
          </cell>
          <cell r="F326"/>
          <cell r="G326"/>
          <cell r="H326"/>
          <cell r="I326"/>
          <cell r="J326"/>
          <cell r="K326"/>
          <cell r="L326"/>
          <cell r="M326"/>
          <cell r="N326" t="str">
            <v>IV</v>
          </cell>
          <cell r="O326" t="str">
            <v>Categoría IV</v>
          </cell>
          <cell r="P326" t="str">
            <v>Fertilizante</v>
          </cell>
          <cell r="Q326"/>
          <cell r="R326" t="str">
            <v>-</v>
          </cell>
          <cell r="S326"/>
        </row>
        <row r="327">
          <cell r="A327" t="str">
            <v>SULFATO DE CALCIO</v>
          </cell>
          <cell r="B327" t="str">
            <v>FA014</v>
          </cell>
          <cell r="C327" t="str">
            <v>KG</v>
          </cell>
          <cell r="D327" t="str">
            <v>NO</v>
          </cell>
          <cell r="E327" t="str">
            <v>ACTIVOS NO REG</v>
          </cell>
          <cell r="F327"/>
          <cell r="G327"/>
          <cell r="H327"/>
          <cell r="I327"/>
          <cell r="J327"/>
          <cell r="K327"/>
          <cell r="L327"/>
          <cell r="M327"/>
          <cell r="N327" t="str">
            <v>IV</v>
          </cell>
          <cell r="O327" t="str">
            <v>Categoría IV</v>
          </cell>
          <cell r="P327" t="str">
            <v>Fertilizante</v>
          </cell>
          <cell r="Q327"/>
          <cell r="R327" t="str">
            <v>-</v>
          </cell>
          <cell r="S327"/>
        </row>
        <row r="328">
          <cell r="A328" t="str">
            <v>Sulfato de Magnesio</v>
          </cell>
          <cell r="B328" t="str">
            <v>FA009</v>
          </cell>
          <cell r="C328" t="str">
            <v>KG</v>
          </cell>
          <cell r="D328" t="str">
            <v>SI</v>
          </cell>
          <cell r="E328" t="str">
            <v>ACTIVOS REG</v>
          </cell>
          <cell r="F328"/>
          <cell r="G328" t="str">
            <v xml:space="preserve"> ---</v>
          </cell>
          <cell r="H328">
            <v>0</v>
          </cell>
          <cell r="I328" t="str">
            <v>Fertilización</v>
          </cell>
          <cell r="J328">
            <v>0</v>
          </cell>
          <cell r="K328">
            <v>0</v>
          </cell>
          <cell r="L328">
            <v>0</v>
          </cell>
          <cell r="M328" t="str">
            <v>Mg</v>
          </cell>
          <cell r="N328" t="str">
            <v>IV</v>
          </cell>
          <cell r="O328" t="str">
            <v>Categoría IV</v>
          </cell>
          <cell r="P328" t="str">
            <v>Fertilizante</v>
          </cell>
          <cell r="Q328"/>
          <cell r="R328" t="str">
            <v>-</v>
          </cell>
          <cell r="S328"/>
        </row>
        <row r="329">
          <cell r="A329" t="str">
            <v>SULFATO DE MAGNESIO AGRÍCOLA</v>
          </cell>
          <cell r="B329" t="str">
            <v>FA008</v>
          </cell>
          <cell r="C329" t="str">
            <v>KG</v>
          </cell>
          <cell r="D329" t="str">
            <v>NO</v>
          </cell>
          <cell r="E329" t="str">
            <v>ACTIVOS NO REG</v>
          </cell>
          <cell r="F329"/>
          <cell r="G329"/>
          <cell r="H329"/>
          <cell r="I329"/>
          <cell r="J329"/>
          <cell r="K329"/>
          <cell r="L329"/>
          <cell r="M329"/>
          <cell r="N329" t="str">
            <v>IV</v>
          </cell>
          <cell r="O329" t="str">
            <v>Categoría IV</v>
          </cell>
          <cell r="P329" t="str">
            <v>Fertilizante</v>
          </cell>
          <cell r="Q329"/>
          <cell r="R329" t="str">
            <v>-</v>
          </cell>
          <cell r="S329"/>
        </row>
        <row r="330">
          <cell r="A330" t="str">
            <v>Sulfato de Manganeso</v>
          </cell>
          <cell r="B330" t="str">
            <v>FI005</v>
          </cell>
          <cell r="C330" t="str">
            <v>GR</v>
          </cell>
          <cell r="D330" t="str">
            <v>SI</v>
          </cell>
          <cell r="E330" t="str">
            <v>ACTIVOS REG</v>
          </cell>
          <cell r="F330"/>
          <cell r="G330" t="str">
            <v xml:space="preserve"> ---</v>
          </cell>
          <cell r="H330">
            <v>0</v>
          </cell>
          <cell r="I330" t="str">
            <v>Fertilización</v>
          </cell>
          <cell r="J330">
            <v>0</v>
          </cell>
          <cell r="K330">
            <v>0</v>
          </cell>
          <cell r="L330">
            <v>0</v>
          </cell>
          <cell r="M330" t="str">
            <v>Mn</v>
          </cell>
          <cell r="N330" t="str">
            <v>IV</v>
          </cell>
          <cell r="O330" t="str">
            <v>Categoría IV</v>
          </cell>
          <cell r="P330" t="str">
            <v>Fertilizante</v>
          </cell>
          <cell r="Q330"/>
          <cell r="R330" t="str">
            <v>-</v>
          </cell>
          <cell r="S330"/>
        </row>
        <row r="331">
          <cell r="A331" t="str">
            <v>SULFATO DE POTASIO GRANULADO</v>
          </cell>
          <cell r="B331" t="str">
            <v>FA048</v>
          </cell>
          <cell r="C331" t="str">
            <v>KG</v>
          </cell>
          <cell r="D331" t="str">
            <v>NO</v>
          </cell>
          <cell r="E331" t="str">
            <v>ACTIVOS NO REG</v>
          </cell>
          <cell r="F331"/>
          <cell r="G331"/>
          <cell r="H331"/>
          <cell r="I331"/>
          <cell r="J331"/>
          <cell r="K331"/>
          <cell r="L331"/>
          <cell r="M331"/>
          <cell r="N331" t="str">
            <v>IV</v>
          </cell>
          <cell r="O331" t="str">
            <v>Categoría IV</v>
          </cell>
          <cell r="P331" t="str">
            <v>Fertilizante</v>
          </cell>
          <cell r="Q331"/>
          <cell r="R331" t="str">
            <v>-</v>
          </cell>
          <cell r="S331"/>
        </row>
        <row r="332">
          <cell r="A332" t="str">
            <v>Sulfato de Zinc</v>
          </cell>
          <cell r="B332" t="str">
            <v>FA011</v>
          </cell>
          <cell r="C332" t="str">
            <v>GR</v>
          </cell>
          <cell r="D332" t="str">
            <v>NO</v>
          </cell>
          <cell r="E332" t="str">
            <v>ACTIVOS REG</v>
          </cell>
          <cell r="F332"/>
          <cell r="G332" t="str">
            <v xml:space="preserve"> ---</v>
          </cell>
          <cell r="H332">
            <v>0</v>
          </cell>
          <cell r="I332" t="str">
            <v>Fertilización</v>
          </cell>
          <cell r="J332">
            <v>0</v>
          </cell>
          <cell r="K332">
            <v>0</v>
          </cell>
          <cell r="L332">
            <v>0</v>
          </cell>
          <cell r="M332" t="str">
            <v>Zn</v>
          </cell>
          <cell r="N332" t="str">
            <v>IV</v>
          </cell>
          <cell r="O332" t="str">
            <v>Categoría IV</v>
          </cell>
          <cell r="P332" t="str">
            <v>Fertilizante</v>
          </cell>
          <cell r="Q332"/>
          <cell r="R332" t="str">
            <v>-</v>
          </cell>
        </row>
        <row r="333">
          <cell r="A333" t="str">
            <v>Sulfato Ferroso</v>
          </cell>
          <cell r="B333" t="str">
            <v>FA013</v>
          </cell>
          <cell r="C333" t="str">
            <v>GR</v>
          </cell>
          <cell r="D333" t="str">
            <v>SI</v>
          </cell>
          <cell r="E333" t="str">
            <v>ACTIVOS REG</v>
          </cell>
          <cell r="F333"/>
          <cell r="G333" t="str">
            <v xml:space="preserve"> ---</v>
          </cell>
          <cell r="H333">
            <v>0</v>
          </cell>
          <cell r="I333" t="str">
            <v>Fertilización</v>
          </cell>
          <cell r="J333">
            <v>0</v>
          </cell>
          <cell r="K333">
            <v>0</v>
          </cell>
          <cell r="L333">
            <v>0</v>
          </cell>
          <cell r="M333" t="str">
            <v>Fe</v>
          </cell>
          <cell r="N333" t="str">
            <v>IV</v>
          </cell>
          <cell r="O333" t="str">
            <v>Categoría IV</v>
          </cell>
          <cell r="P333" t="str">
            <v>Fertilizante</v>
          </cell>
          <cell r="Q333"/>
          <cell r="R333" t="str">
            <v>-</v>
          </cell>
          <cell r="S333"/>
        </row>
        <row r="334">
          <cell r="A334" t="str">
            <v>SULFOLAC 85 SC</v>
          </cell>
          <cell r="B334" t="str">
            <v>PF126</v>
          </cell>
          <cell r="C334" t="str">
            <v>CC</v>
          </cell>
          <cell r="D334" t="str">
            <v>NO</v>
          </cell>
          <cell r="E334" t="str">
            <v>ACTIVOS NO REG</v>
          </cell>
          <cell r="F334" t="str">
            <v>Viernes</v>
          </cell>
          <cell r="G334">
            <v>7</v>
          </cell>
          <cell r="H334">
            <v>4</v>
          </cell>
          <cell r="I334" t="str">
            <v>Oidio</v>
          </cell>
          <cell r="J334">
            <v>0</v>
          </cell>
          <cell r="K334">
            <v>0</v>
          </cell>
          <cell r="L334">
            <v>0</v>
          </cell>
          <cell r="M334" t="str">
            <v>Azufre</v>
          </cell>
          <cell r="N334" t="str">
            <v>IV</v>
          </cell>
          <cell r="O334" t="str">
            <v>Categoría IV</v>
          </cell>
          <cell r="P334" t="str">
            <v>Fungicida</v>
          </cell>
          <cell r="Q334" t="str">
            <v>SI</v>
          </cell>
          <cell r="R334" t="str">
            <v>-</v>
          </cell>
          <cell r="S334"/>
        </row>
        <row r="335">
          <cell r="A335" t="str">
            <v>Sunfire</v>
          </cell>
          <cell r="B335" t="str">
            <v>PI104</v>
          </cell>
          <cell r="C335" t="str">
            <v>CC</v>
          </cell>
          <cell r="D335" t="str">
            <v>SI</v>
          </cell>
          <cell r="E335" t="str">
            <v>ACTIVOS REG</v>
          </cell>
          <cell r="F335" t="str">
            <v>Lunes</v>
          </cell>
          <cell r="G335" t="str">
            <v>4.5-7.5</v>
          </cell>
          <cell r="H335">
            <v>8</v>
          </cell>
          <cell r="I335" t="str">
            <v>Acaros</v>
          </cell>
          <cell r="J335">
            <v>0</v>
          </cell>
          <cell r="K335">
            <v>0</v>
          </cell>
          <cell r="L335">
            <v>0</v>
          </cell>
          <cell r="M335" t="str">
            <v>Clorfenapyr</v>
          </cell>
          <cell r="N335" t="str">
            <v>III</v>
          </cell>
          <cell r="O335" t="str">
            <v>Ligeramente Peligrosos III</v>
          </cell>
          <cell r="P335" t="str">
            <v>Insecticida</v>
          </cell>
          <cell r="Q335" t="str">
            <v>SI</v>
          </cell>
          <cell r="R335">
            <v>0.5</v>
          </cell>
        </row>
        <row r="336">
          <cell r="A336" t="str">
            <v>SURFARE</v>
          </cell>
          <cell r="B336" t="str">
            <v>FB063</v>
          </cell>
          <cell r="C336" t="str">
            <v>CC</v>
          </cell>
          <cell r="D336" t="str">
            <v>NO</v>
          </cell>
          <cell r="E336" t="str">
            <v>ACTIVOS NO REG</v>
          </cell>
          <cell r="F336" t="str">
            <v>Miercoles</v>
          </cell>
          <cell r="G336"/>
          <cell r="H336"/>
          <cell r="I336"/>
          <cell r="J336"/>
          <cell r="K336"/>
          <cell r="L336"/>
          <cell r="M336"/>
          <cell r="N336" t="str">
            <v>IV</v>
          </cell>
          <cell r="O336" t="str">
            <v>Categoría IV</v>
          </cell>
          <cell r="P336" t="str">
            <v>Bioestimulante</v>
          </cell>
          <cell r="Q336"/>
          <cell r="R336" t="str">
            <v>-</v>
          </cell>
          <cell r="S336"/>
        </row>
        <row r="337">
          <cell r="A337" t="str">
            <v>SUST. KLASMANN TS-1 876 FINO</v>
          </cell>
          <cell r="B337" t="str">
            <v>FS011</v>
          </cell>
          <cell r="C337" t="str">
            <v>P3</v>
          </cell>
          <cell r="D337" t="str">
            <v>NO</v>
          </cell>
          <cell r="E337" t="str">
            <v>ACTIVOS NO REG</v>
          </cell>
          <cell r="F337"/>
          <cell r="G337"/>
          <cell r="H337"/>
          <cell r="I337"/>
          <cell r="J337"/>
          <cell r="K337"/>
          <cell r="L337"/>
          <cell r="M337" t="str">
            <v>Sustrato organico</v>
          </cell>
          <cell r="N337" t="str">
            <v>IV</v>
          </cell>
          <cell r="O337" t="str">
            <v>Categoría IV</v>
          </cell>
          <cell r="P337" t="str">
            <v>Sustrato</v>
          </cell>
          <cell r="Q337"/>
          <cell r="R337" t="str">
            <v>-</v>
          </cell>
          <cell r="S337"/>
        </row>
        <row r="338">
          <cell r="A338" t="str">
            <v>SWITCH</v>
          </cell>
          <cell r="B338" t="str">
            <v>PF133</v>
          </cell>
          <cell r="C338" t="str">
            <v>GR</v>
          </cell>
          <cell r="D338" t="str">
            <v>SI</v>
          </cell>
          <cell r="E338" t="str">
            <v>ACTIVOS NO REG</v>
          </cell>
          <cell r="F338" t="str">
            <v>Viernes</v>
          </cell>
          <cell r="G338">
            <v>6.5</v>
          </cell>
          <cell r="H338">
            <v>6</v>
          </cell>
          <cell r="I338" t="str">
            <v>Botrytis</v>
          </cell>
          <cell r="J338">
            <v>0</v>
          </cell>
          <cell r="K338">
            <v>0</v>
          </cell>
          <cell r="L338">
            <v>0</v>
          </cell>
          <cell r="M338" t="str">
            <v>Ciprodinil Fludioxinil</v>
          </cell>
          <cell r="N338" t="str">
            <v>III</v>
          </cell>
          <cell r="O338" t="str">
            <v>Ligeramente Peligrosos III</v>
          </cell>
          <cell r="P338" t="str">
            <v>Fungicida</v>
          </cell>
          <cell r="Q338" t="str">
            <v>SI</v>
          </cell>
          <cell r="R338">
            <v>0.6</v>
          </cell>
        </row>
        <row r="339">
          <cell r="A339" t="str">
            <v>SYNOTYL</v>
          </cell>
          <cell r="B339" t="str">
            <v>PF007</v>
          </cell>
          <cell r="C339" t="str">
            <v>GR</v>
          </cell>
          <cell r="D339" t="str">
            <v>NO</v>
          </cell>
          <cell r="E339" t="str">
            <v>ACTIVOS REG</v>
          </cell>
          <cell r="F339" t="str">
            <v>Viernes</v>
          </cell>
          <cell r="G339"/>
          <cell r="H339"/>
          <cell r="I339"/>
          <cell r="J339"/>
          <cell r="K339"/>
          <cell r="L339"/>
          <cell r="M339" t="str">
            <v>Fosetyl alumimio</v>
          </cell>
          <cell r="N339" t="str">
            <v>IV</v>
          </cell>
          <cell r="O339" t="str">
            <v>Categoría IV</v>
          </cell>
          <cell r="P339" t="str">
            <v>Fungicida</v>
          </cell>
          <cell r="Q339" t="str">
            <v>SI</v>
          </cell>
          <cell r="R339">
            <v>2</v>
          </cell>
          <cell r="S339"/>
        </row>
        <row r="340">
          <cell r="A340" t="str">
            <v>TACHI GAREN 36% LS</v>
          </cell>
          <cell r="B340" t="str">
            <v>PF117</v>
          </cell>
          <cell r="C340" t="str">
            <v>CC</v>
          </cell>
          <cell r="D340" t="str">
            <v>NO</v>
          </cell>
          <cell r="E340" t="str">
            <v>ACTIVOS NO REG</v>
          </cell>
          <cell r="F340" t="str">
            <v>Viernes</v>
          </cell>
          <cell r="G340"/>
          <cell r="H340"/>
          <cell r="I340" t="str">
            <v>Fusarium</v>
          </cell>
          <cell r="J340">
            <v>0</v>
          </cell>
          <cell r="K340">
            <v>0</v>
          </cell>
          <cell r="L340">
            <v>0</v>
          </cell>
          <cell r="M340" t="str">
            <v>HYMEXAZOL</v>
          </cell>
          <cell r="N340" t="str">
            <v>III</v>
          </cell>
          <cell r="O340" t="str">
            <v>Ligeramente Peligrosos III</v>
          </cell>
          <cell r="P340" t="str">
            <v>Fungicida</v>
          </cell>
          <cell r="Q340" t="str">
            <v>SI</v>
          </cell>
          <cell r="R340" t="str">
            <v>-</v>
          </cell>
          <cell r="S340"/>
        </row>
        <row r="341">
          <cell r="A341" t="str">
            <v>TACORA</v>
          </cell>
          <cell r="B341" t="str">
            <v>PF136</v>
          </cell>
          <cell r="C341" t="str">
            <v>CC</v>
          </cell>
          <cell r="D341" t="str">
            <v>NO</v>
          </cell>
          <cell r="E341" t="str">
            <v>ACTIVOS NO REG</v>
          </cell>
          <cell r="F341" t="str">
            <v>Viernes</v>
          </cell>
          <cell r="G341">
            <v>7</v>
          </cell>
          <cell r="H341">
            <v>2</v>
          </cell>
          <cell r="I341" t="str">
            <v>Roya</v>
          </cell>
          <cell r="J341">
            <v>0</v>
          </cell>
          <cell r="K341">
            <v>0</v>
          </cell>
          <cell r="L341">
            <v>0</v>
          </cell>
          <cell r="M341" t="str">
            <v>Tebuconazole</v>
          </cell>
          <cell r="N341" t="str">
            <v>IV</v>
          </cell>
          <cell r="O341" t="str">
            <v>Categoría IV</v>
          </cell>
          <cell r="P341" t="str">
            <v>Fungicida</v>
          </cell>
          <cell r="Q341" t="str">
            <v>SI</v>
          </cell>
          <cell r="R341" t="str">
            <v>-</v>
          </cell>
          <cell r="S341"/>
        </row>
        <row r="342">
          <cell r="A342" t="str">
            <v>TALCO</v>
          </cell>
          <cell r="B342" t="str">
            <v>FH004</v>
          </cell>
          <cell r="C342" t="str">
            <v>GR</v>
          </cell>
          <cell r="D342" t="str">
            <v>NO</v>
          </cell>
          <cell r="E342" t="str">
            <v>ACTIVOS NO REG</v>
          </cell>
          <cell r="F342"/>
          <cell r="G342"/>
          <cell r="H342"/>
          <cell r="I342"/>
          <cell r="J342"/>
          <cell r="K342"/>
          <cell r="L342"/>
          <cell r="M342"/>
          <cell r="N342" t="str">
            <v>IV</v>
          </cell>
          <cell r="O342" t="str">
            <v>Categoría IV</v>
          </cell>
          <cell r="P342" t="str">
            <v>Fitohormonal</v>
          </cell>
          <cell r="Q342" t="str">
            <v>NO HAY</v>
          </cell>
          <cell r="R342" t="str">
            <v>-</v>
          </cell>
          <cell r="S342"/>
        </row>
        <row r="343">
          <cell r="A343" t="str">
            <v>TALSTAR 80 SC</v>
          </cell>
          <cell r="B343" t="str">
            <v>PI011</v>
          </cell>
          <cell r="C343" t="str">
            <v>CC</v>
          </cell>
          <cell r="D343" t="str">
            <v>NO</v>
          </cell>
          <cell r="E343" t="str">
            <v>ACTIVOS NO REG</v>
          </cell>
          <cell r="F343" t="str">
            <v>Lunes</v>
          </cell>
          <cell r="G343"/>
          <cell r="H343"/>
          <cell r="I343"/>
          <cell r="J343"/>
          <cell r="K343"/>
          <cell r="L343"/>
          <cell r="M343" t="str">
            <v>BIFENTRINA</v>
          </cell>
          <cell r="N343" t="str">
            <v>III</v>
          </cell>
          <cell r="O343" t="str">
            <v>Ligeramente Peligrosos III</v>
          </cell>
          <cell r="P343" t="str">
            <v>Insecticida</v>
          </cell>
          <cell r="Q343" t="str">
            <v>SI</v>
          </cell>
          <cell r="R343" t="str">
            <v>-</v>
          </cell>
        </row>
        <row r="344">
          <cell r="A344" t="str">
            <v>TANIL</v>
          </cell>
          <cell r="B344" t="str">
            <v>PF129</v>
          </cell>
          <cell r="C344" t="str">
            <v>CC</v>
          </cell>
          <cell r="D344" t="str">
            <v>NO</v>
          </cell>
          <cell r="E344" t="str">
            <v>ACTIVOS NO REG</v>
          </cell>
          <cell r="F344" t="str">
            <v>Viernes</v>
          </cell>
          <cell r="G344" t="str">
            <v>6.0-6.5</v>
          </cell>
          <cell r="H344">
            <v>4</v>
          </cell>
          <cell r="I344" t="str">
            <v>Botrytis</v>
          </cell>
          <cell r="J344">
            <v>0</v>
          </cell>
          <cell r="K344">
            <v>0</v>
          </cell>
          <cell r="L344">
            <v>0</v>
          </cell>
          <cell r="M344" t="str">
            <v>Clorotalonil</v>
          </cell>
          <cell r="N344" t="str">
            <v>IV</v>
          </cell>
          <cell r="O344" t="str">
            <v>Categoría IV</v>
          </cell>
          <cell r="P344" t="str">
            <v>Fungicida</v>
          </cell>
          <cell r="Q344" t="str">
            <v>SI</v>
          </cell>
          <cell r="R344" t="str">
            <v>-</v>
          </cell>
          <cell r="S344"/>
        </row>
        <row r="345">
          <cell r="A345" t="str">
            <v>TATOO</v>
          </cell>
          <cell r="B345" t="str">
            <v>PF103</v>
          </cell>
          <cell r="C345" t="str">
            <v>CC</v>
          </cell>
          <cell r="D345" t="str">
            <v>NO</v>
          </cell>
          <cell r="E345" t="str">
            <v>ACTIVOS NO REG</v>
          </cell>
          <cell r="F345" t="str">
            <v>Viernes</v>
          </cell>
          <cell r="G345">
            <v>5</v>
          </cell>
          <cell r="H345"/>
          <cell r="I345" t="str">
            <v>Phytophthora</v>
          </cell>
          <cell r="J345" t="str">
            <v>Oomycetos</v>
          </cell>
          <cell r="K345">
            <v>0</v>
          </cell>
          <cell r="L345">
            <v>0</v>
          </cell>
          <cell r="M345"/>
          <cell r="N345"/>
          <cell r="O345"/>
          <cell r="P345" t="str">
            <v>Fungicida</v>
          </cell>
          <cell r="Q345" t="str">
            <v>NO HAY</v>
          </cell>
          <cell r="R345" t="str">
            <v>-</v>
          </cell>
          <cell r="S345"/>
        </row>
        <row r="346">
          <cell r="A346" t="str">
            <v>Tayo</v>
          </cell>
          <cell r="B346" t="str">
            <v>PI132</v>
          </cell>
          <cell r="C346" t="str">
            <v>CC</v>
          </cell>
          <cell r="D346" t="str">
            <v>SI</v>
          </cell>
          <cell r="E346" t="str">
            <v>ACTIVOS REG</v>
          </cell>
          <cell r="F346" t="str">
            <v>Lunes</v>
          </cell>
          <cell r="G346">
            <v>7</v>
          </cell>
          <cell r="H346">
            <v>12</v>
          </cell>
          <cell r="I346" t="str">
            <v>Acaros</v>
          </cell>
          <cell r="J346"/>
          <cell r="K346"/>
          <cell r="L346"/>
          <cell r="M346" t="str">
            <v>Tetradifon</v>
          </cell>
          <cell r="N346" t="str">
            <v>IV</v>
          </cell>
          <cell r="O346" t="str">
            <v>Categoría IV</v>
          </cell>
          <cell r="P346" t="str">
            <v>Insecticida</v>
          </cell>
          <cell r="Q346" t="str">
            <v>SI</v>
          </cell>
          <cell r="R346">
            <v>1.2</v>
          </cell>
        </row>
        <row r="347">
          <cell r="A347" t="str">
            <v>TEDION V-18</v>
          </cell>
          <cell r="B347" t="str">
            <v>PI070</v>
          </cell>
          <cell r="C347" t="str">
            <v>CC</v>
          </cell>
          <cell r="D347" t="str">
            <v>NO</v>
          </cell>
          <cell r="E347" t="str">
            <v>ACTIVOS NO REG</v>
          </cell>
          <cell r="F347" t="str">
            <v>Lunes</v>
          </cell>
          <cell r="G347" t="str">
            <v>5.5-6.0</v>
          </cell>
          <cell r="H347">
            <v>12</v>
          </cell>
          <cell r="I347" t="str">
            <v>Acaros</v>
          </cell>
          <cell r="J347">
            <v>0</v>
          </cell>
          <cell r="K347">
            <v>0</v>
          </cell>
          <cell r="L347">
            <v>0</v>
          </cell>
          <cell r="M347" t="str">
            <v>Tetradifon</v>
          </cell>
          <cell r="N347" t="str">
            <v>IV</v>
          </cell>
          <cell r="O347" t="str">
            <v>Categoría IV</v>
          </cell>
          <cell r="P347" t="str">
            <v>Insecticida</v>
          </cell>
          <cell r="Q347" t="str">
            <v>SI</v>
          </cell>
          <cell r="R347" t="str">
            <v>-</v>
          </cell>
          <cell r="S347"/>
        </row>
        <row r="348">
          <cell r="A348" t="str">
            <v>TELDOR COMBI 416,7 SC</v>
          </cell>
          <cell r="B348" t="str">
            <v>PF087</v>
          </cell>
          <cell r="C348" t="str">
            <v>CC</v>
          </cell>
          <cell r="D348" t="str">
            <v>SI</v>
          </cell>
          <cell r="E348" t="str">
            <v>ACTIVOS NO REG</v>
          </cell>
          <cell r="F348" t="str">
            <v>Viernes</v>
          </cell>
          <cell r="G348" t="str">
            <v>4.5-7.5</v>
          </cell>
          <cell r="H348">
            <v>2</v>
          </cell>
          <cell r="I348" t="str">
            <v>Botrytis</v>
          </cell>
          <cell r="J348">
            <v>0</v>
          </cell>
          <cell r="K348">
            <v>0</v>
          </cell>
          <cell r="L348">
            <v>0</v>
          </cell>
          <cell r="M348" t="str">
            <v>Fenhexamid, Tebuconazole</v>
          </cell>
          <cell r="N348" t="str">
            <v>IV</v>
          </cell>
          <cell r="O348" t="str">
            <v>Categoría IV</v>
          </cell>
          <cell r="P348" t="str">
            <v>Fungicida</v>
          </cell>
          <cell r="Q348" t="str">
            <v>SI</v>
          </cell>
          <cell r="R348">
            <v>1.5</v>
          </cell>
          <cell r="S348"/>
        </row>
        <row r="349">
          <cell r="A349" t="str">
            <v>TERRACLOR 75%</v>
          </cell>
          <cell r="B349" t="str">
            <v>PF023</v>
          </cell>
          <cell r="C349" t="str">
            <v>GR</v>
          </cell>
          <cell r="D349" t="str">
            <v>SI</v>
          </cell>
          <cell r="E349" t="str">
            <v>ACTIVOS REG</v>
          </cell>
          <cell r="F349" t="str">
            <v>Viernes</v>
          </cell>
          <cell r="G349">
            <v>5.5</v>
          </cell>
          <cell r="H349">
            <v>6</v>
          </cell>
          <cell r="I349" t="str">
            <v>Rhizoctonia</v>
          </cell>
          <cell r="J349">
            <v>0</v>
          </cell>
          <cell r="K349">
            <v>0</v>
          </cell>
          <cell r="L349">
            <v>0</v>
          </cell>
          <cell r="M349" t="str">
            <v>PCNB</v>
          </cell>
          <cell r="N349" t="str">
            <v>IV</v>
          </cell>
          <cell r="O349" t="str">
            <v>Categoría IV</v>
          </cell>
          <cell r="P349" t="str">
            <v>Fungicida</v>
          </cell>
          <cell r="Q349" t="str">
            <v>SI</v>
          </cell>
          <cell r="R349">
            <v>1</v>
          </cell>
          <cell r="S349"/>
        </row>
        <row r="350">
          <cell r="A350" t="str">
            <v>TERRAZOLE 35% WP</v>
          </cell>
          <cell r="B350" t="str">
            <v>PF118</v>
          </cell>
          <cell r="C350" t="str">
            <v>GR</v>
          </cell>
          <cell r="D350" t="str">
            <v>NO</v>
          </cell>
          <cell r="E350" t="str">
            <v>ACTIVOS NO REG</v>
          </cell>
          <cell r="F350" t="str">
            <v>Viernes</v>
          </cell>
          <cell r="G350"/>
          <cell r="H350"/>
          <cell r="I350" t="str">
            <v>Phytophthora</v>
          </cell>
          <cell r="J350" t="str">
            <v>Fusarium</v>
          </cell>
          <cell r="K350" t="str">
            <v>Phytium</v>
          </cell>
          <cell r="L350"/>
          <cell r="M350" t="str">
            <v>ETRIDIAZOLE</v>
          </cell>
          <cell r="N350" t="str">
            <v>IV</v>
          </cell>
          <cell r="O350" t="str">
            <v>Categoría IV</v>
          </cell>
          <cell r="P350" t="str">
            <v>Fungicida</v>
          </cell>
          <cell r="Q350" t="str">
            <v>SI</v>
          </cell>
          <cell r="R350" t="str">
            <v>-</v>
          </cell>
          <cell r="S350"/>
        </row>
        <row r="351">
          <cell r="A351" t="str">
            <v>THIODAN 35% CE</v>
          </cell>
          <cell r="B351" t="str">
            <v>PI031</v>
          </cell>
          <cell r="C351" t="str">
            <v>CC</v>
          </cell>
          <cell r="D351" t="str">
            <v>NO</v>
          </cell>
          <cell r="E351" t="str">
            <v>ACTIVOS NO REG</v>
          </cell>
          <cell r="F351" t="str">
            <v>Lunes</v>
          </cell>
          <cell r="G351"/>
          <cell r="H351"/>
          <cell r="I351"/>
          <cell r="J351"/>
          <cell r="K351"/>
          <cell r="L351"/>
          <cell r="M351"/>
          <cell r="N351"/>
          <cell r="O351"/>
          <cell r="P351" t="str">
            <v>Insecticida</v>
          </cell>
          <cell r="Q351" t="str">
            <v>NO HAY</v>
          </cell>
          <cell r="R351" t="str">
            <v>-</v>
          </cell>
          <cell r="S351"/>
        </row>
        <row r="352">
          <cell r="A352" t="str">
            <v>Thiofin</v>
          </cell>
          <cell r="B352" t="str">
            <v>PF149</v>
          </cell>
          <cell r="C352" t="str">
            <v>GR</v>
          </cell>
          <cell r="D352" t="str">
            <v>NO</v>
          </cell>
          <cell r="E352" t="str">
            <v>ACTIVOS REG</v>
          </cell>
          <cell r="F352" t="str">
            <v>Viernes</v>
          </cell>
          <cell r="G352">
            <v>5.5</v>
          </cell>
          <cell r="H352">
            <v>2</v>
          </cell>
          <cell r="I352" t="str">
            <v>Botrytis</v>
          </cell>
          <cell r="J352"/>
          <cell r="K352"/>
          <cell r="L352"/>
          <cell r="M352" t="str">
            <v>Metil tiofanato</v>
          </cell>
          <cell r="N352" t="str">
            <v>IV</v>
          </cell>
          <cell r="O352" t="str">
            <v>Categoría IV</v>
          </cell>
          <cell r="P352" t="str">
            <v>Fungicida</v>
          </cell>
          <cell r="Q352" t="str">
            <v>SI</v>
          </cell>
          <cell r="R352">
            <v>0.8</v>
          </cell>
          <cell r="S352"/>
        </row>
        <row r="353">
          <cell r="A353" t="str">
            <v>THIRAM PLUS SC 35-105</v>
          </cell>
          <cell r="B353" t="str">
            <v>PF135</v>
          </cell>
          <cell r="C353" t="str">
            <v>CC</v>
          </cell>
          <cell r="D353" t="str">
            <v>NO</v>
          </cell>
          <cell r="E353" t="str">
            <v>ACTIVOS NO REG</v>
          </cell>
          <cell r="F353" t="str">
            <v>Viernes</v>
          </cell>
          <cell r="G353" t="str">
            <v>5.5-6.5</v>
          </cell>
          <cell r="H353">
            <v>6</v>
          </cell>
          <cell r="I353" t="str">
            <v>Fusarium</v>
          </cell>
          <cell r="J353">
            <v>0</v>
          </cell>
          <cell r="K353">
            <v>0</v>
          </cell>
          <cell r="L353">
            <v>0</v>
          </cell>
          <cell r="M353" t="str">
            <v>Thiram bisulfuro de tetrametiltiocarbamilo (35gr), carbendazim 2 metoxicarbamilo-bencimidazol (15gr)</v>
          </cell>
          <cell r="N353" t="str">
            <v>III</v>
          </cell>
          <cell r="O353" t="str">
            <v>Ligeramente Peligrosos III</v>
          </cell>
          <cell r="P353" t="str">
            <v>Fungicida</v>
          </cell>
          <cell r="Q353" t="str">
            <v>NO HAY</v>
          </cell>
          <cell r="R353" t="str">
            <v>-</v>
          </cell>
          <cell r="S353"/>
        </row>
        <row r="354">
          <cell r="A354" t="str">
            <v>TILT 250 EC</v>
          </cell>
          <cell r="B354" t="str">
            <v>PF057</v>
          </cell>
          <cell r="C354" t="str">
            <v>CC</v>
          </cell>
          <cell r="D354" t="str">
            <v>NO</v>
          </cell>
          <cell r="E354" t="str">
            <v>ACTIVOS NO REG</v>
          </cell>
          <cell r="F354" t="str">
            <v>Viernes</v>
          </cell>
          <cell r="G354">
            <v>7</v>
          </cell>
          <cell r="H354">
            <v>4</v>
          </cell>
          <cell r="I354" t="str">
            <v>Roya</v>
          </cell>
          <cell r="J354">
            <v>0</v>
          </cell>
          <cell r="K354">
            <v>0</v>
          </cell>
          <cell r="L354">
            <v>0</v>
          </cell>
          <cell r="M354" t="str">
            <v>Propiconazole</v>
          </cell>
          <cell r="N354" t="str">
            <v>III</v>
          </cell>
          <cell r="O354" t="str">
            <v>Ligeramente Peligrosos III</v>
          </cell>
          <cell r="P354" t="str">
            <v>Fungicida</v>
          </cell>
          <cell r="Q354" t="str">
            <v>SI</v>
          </cell>
          <cell r="R354">
            <v>0.5</v>
          </cell>
          <cell r="S354"/>
        </row>
        <row r="355">
          <cell r="A355" t="str">
            <v>TIMPSEN</v>
          </cell>
          <cell r="B355" t="str">
            <v>PF024</v>
          </cell>
          <cell r="C355" t="str">
            <v>GR</v>
          </cell>
          <cell r="D355" t="str">
            <v>NO</v>
          </cell>
          <cell r="E355" t="str">
            <v>ACTIVOS NO REG</v>
          </cell>
          <cell r="F355" t="str">
            <v>Viernes</v>
          </cell>
          <cell r="G355"/>
          <cell r="H355"/>
          <cell r="I355"/>
          <cell r="J355"/>
          <cell r="K355"/>
          <cell r="L355"/>
          <cell r="M355"/>
          <cell r="N355"/>
          <cell r="O355"/>
          <cell r="P355" t="str">
            <v>Fungicida</v>
          </cell>
          <cell r="Q355" t="str">
            <v>NO HAY</v>
          </cell>
          <cell r="R355" t="str">
            <v>-</v>
          </cell>
          <cell r="S355"/>
        </row>
        <row r="356">
          <cell r="A356" t="str">
            <v>TOPAS 100 EC</v>
          </cell>
          <cell r="B356" t="str">
            <v>PF031</v>
          </cell>
          <cell r="C356" t="str">
            <v>CC</v>
          </cell>
          <cell r="D356" t="str">
            <v>NO</v>
          </cell>
          <cell r="E356" t="str">
            <v>ACTIVOS NO REG</v>
          </cell>
          <cell r="F356" t="str">
            <v>Viernes</v>
          </cell>
          <cell r="G356" t="str">
            <v>5.0-6.0</v>
          </cell>
          <cell r="H356">
            <v>4</v>
          </cell>
          <cell r="I356" t="str">
            <v>Oidio</v>
          </cell>
          <cell r="J356" t="str">
            <v>Roya</v>
          </cell>
          <cell r="K356">
            <v>0</v>
          </cell>
          <cell r="L356">
            <v>0</v>
          </cell>
          <cell r="M356" t="str">
            <v>Penconazole</v>
          </cell>
          <cell r="N356" t="str">
            <v>IV</v>
          </cell>
          <cell r="O356" t="str">
            <v>Categoría IV</v>
          </cell>
          <cell r="P356" t="str">
            <v>Fungicida</v>
          </cell>
          <cell r="Q356" t="str">
            <v>SI</v>
          </cell>
          <cell r="R356" t="str">
            <v>-</v>
          </cell>
        </row>
        <row r="357">
          <cell r="A357" t="str">
            <v>Topsin</v>
          </cell>
          <cell r="B357" t="str">
            <v>PF041</v>
          </cell>
          <cell r="C357" t="str">
            <v>CC</v>
          </cell>
          <cell r="D357" t="str">
            <v>NO</v>
          </cell>
          <cell r="E357" t="str">
            <v>ACTIVOS REG</v>
          </cell>
          <cell r="F357" t="str">
            <v>Viernes</v>
          </cell>
          <cell r="G357" t="str">
            <v>5.0-6.0</v>
          </cell>
          <cell r="H357">
            <v>2</v>
          </cell>
          <cell r="I357" t="str">
            <v>Botrytis</v>
          </cell>
          <cell r="J357">
            <v>0</v>
          </cell>
          <cell r="K357">
            <v>0</v>
          </cell>
          <cell r="L357">
            <v>0</v>
          </cell>
          <cell r="M357" t="str">
            <v>Metil tiofanato</v>
          </cell>
          <cell r="N357" t="str">
            <v>IV</v>
          </cell>
          <cell r="O357" t="str">
            <v>Categoría IV</v>
          </cell>
          <cell r="P357" t="str">
            <v>Fungicida</v>
          </cell>
          <cell r="Q357" t="str">
            <v>SI</v>
          </cell>
          <cell r="R357" t="str">
            <v>-</v>
          </cell>
          <cell r="S357"/>
        </row>
        <row r="358">
          <cell r="A358" t="str">
            <v>TRACER 120 SC</v>
          </cell>
          <cell r="B358" t="str">
            <v>PI072</v>
          </cell>
          <cell r="C358" t="str">
            <v>CC</v>
          </cell>
          <cell r="D358" t="str">
            <v>NO</v>
          </cell>
          <cell r="E358" t="str">
            <v>ACTIVOS NO REG</v>
          </cell>
          <cell r="F358" t="str">
            <v>Lunes</v>
          </cell>
          <cell r="G358" t="str">
            <v>5.0-7.5</v>
          </cell>
          <cell r="H358">
            <v>4</v>
          </cell>
          <cell r="I358" t="str">
            <v>Acaros</v>
          </cell>
          <cell r="J358">
            <v>0</v>
          </cell>
          <cell r="K358">
            <v>0</v>
          </cell>
          <cell r="L358">
            <v>0</v>
          </cell>
          <cell r="M358" t="str">
            <v>Spinosad</v>
          </cell>
          <cell r="N358" t="str">
            <v>IV</v>
          </cell>
          <cell r="O358" t="str">
            <v>Categoría IV</v>
          </cell>
          <cell r="P358" t="str">
            <v>Insecticida</v>
          </cell>
          <cell r="Q358" t="str">
            <v>SI</v>
          </cell>
          <cell r="R358">
            <v>0.25</v>
          </cell>
          <cell r="S358"/>
        </row>
        <row r="359">
          <cell r="A359" t="str">
            <v>Trafos sinergy</v>
          </cell>
          <cell r="B359" t="str">
            <v>FB091</v>
          </cell>
          <cell r="C359" t="str">
            <v>CC</v>
          </cell>
          <cell r="D359" t="str">
            <v>SI</v>
          </cell>
          <cell r="E359" t="str">
            <v>ACTIVOS REG</v>
          </cell>
          <cell r="F359" t="str">
            <v>Miercoles</v>
          </cell>
          <cell r="G359"/>
          <cell r="H359"/>
          <cell r="I359"/>
          <cell r="J359"/>
          <cell r="K359"/>
          <cell r="L359"/>
          <cell r="M359" t="str">
            <v>P, K, Ca, Mg, Si</v>
          </cell>
          <cell r="N359" t="str">
            <v>IV</v>
          </cell>
          <cell r="O359" t="str">
            <v>Categoría IV</v>
          </cell>
          <cell r="P359" t="str">
            <v>Bioestimulante</v>
          </cell>
          <cell r="Q359"/>
          <cell r="R359">
            <v>1</v>
          </cell>
          <cell r="S359"/>
        </row>
        <row r="360">
          <cell r="A360" t="str">
            <v>Traking Ca-B</v>
          </cell>
          <cell r="B360" t="str">
            <v>FB092</v>
          </cell>
          <cell r="C360" t="str">
            <v>CC</v>
          </cell>
          <cell r="D360" t="str">
            <v>SI</v>
          </cell>
          <cell r="E360" t="str">
            <v>ACTIVOS REG</v>
          </cell>
          <cell r="F360" t="str">
            <v>Miercoles</v>
          </cell>
          <cell r="G360"/>
          <cell r="H360"/>
          <cell r="I360"/>
          <cell r="J360"/>
          <cell r="K360"/>
          <cell r="L360"/>
          <cell r="M360" t="str">
            <v>Ca, B</v>
          </cell>
          <cell r="N360" t="str">
            <v>IV</v>
          </cell>
          <cell r="O360" t="str">
            <v>Categoría IV</v>
          </cell>
          <cell r="P360" t="str">
            <v>Bioestimulante</v>
          </cell>
          <cell r="Q360"/>
          <cell r="R360">
            <v>1.5</v>
          </cell>
          <cell r="S360"/>
        </row>
        <row r="361">
          <cell r="A361" t="str">
            <v>TRICARBAMIX 70%</v>
          </cell>
          <cell r="B361" t="str">
            <v>PF059</v>
          </cell>
          <cell r="C361" t="str">
            <v>GR</v>
          </cell>
          <cell r="D361" t="str">
            <v>NO</v>
          </cell>
          <cell r="E361" t="str">
            <v>ELIMINADOS NO REG</v>
          </cell>
          <cell r="F361" t="str">
            <v>Viernes</v>
          </cell>
          <cell r="G361"/>
          <cell r="H361"/>
          <cell r="I361" t="str">
            <v>Alternaria</v>
          </cell>
          <cell r="J361" t="str">
            <v>Peronóspora</v>
          </cell>
          <cell r="K361"/>
          <cell r="L361"/>
          <cell r="M361"/>
          <cell r="N361"/>
          <cell r="O361"/>
          <cell r="P361" t="str">
            <v>Fungicida</v>
          </cell>
          <cell r="Q361" t="str">
            <v>NO HAY</v>
          </cell>
          <cell r="R361" t="str">
            <v>-</v>
          </cell>
          <cell r="S361"/>
        </row>
        <row r="362">
          <cell r="A362" t="str">
            <v>Trichoderma</v>
          </cell>
          <cell r="B362" t="str">
            <v>FB999</v>
          </cell>
          <cell r="C362" t="str">
            <v>CC</v>
          </cell>
          <cell r="D362" t="str">
            <v>SI</v>
          </cell>
          <cell r="E362" t="str">
            <v>ACTIVOS NO REG</v>
          </cell>
          <cell r="F362" t="str">
            <v>Viernes</v>
          </cell>
          <cell r="G362"/>
          <cell r="H362"/>
          <cell r="I362"/>
          <cell r="J362"/>
          <cell r="K362"/>
          <cell r="L362"/>
          <cell r="M362" t="str">
            <v>Trichoderma</v>
          </cell>
          <cell r="N362" t="str">
            <v>IV</v>
          </cell>
          <cell r="O362" t="str">
            <v>Categoría IV</v>
          </cell>
          <cell r="P362" t="str">
            <v>Bioestimulante</v>
          </cell>
          <cell r="Q362"/>
          <cell r="R362">
            <v>6</v>
          </cell>
          <cell r="S362"/>
        </row>
        <row r="363">
          <cell r="A363" t="str">
            <v>TRICOMIX</v>
          </cell>
          <cell r="B363" t="str">
            <v>PF153</v>
          </cell>
          <cell r="C363" t="str">
            <v>CC</v>
          </cell>
          <cell r="D363" t="str">
            <v>NO</v>
          </cell>
          <cell r="E363" t="str">
            <v>ACTIVOS NO REG</v>
          </cell>
          <cell r="F363" t="str">
            <v>Viernes</v>
          </cell>
          <cell r="G363"/>
          <cell r="H363"/>
          <cell r="I363"/>
          <cell r="J363"/>
          <cell r="K363"/>
          <cell r="L363"/>
          <cell r="M363"/>
          <cell r="N363"/>
          <cell r="O363"/>
          <cell r="P363" t="str">
            <v>Fungicida</v>
          </cell>
          <cell r="Q363" t="str">
            <v>NO HAY</v>
          </cell>
          <cell r="R363" t="str">
            <v>-</v>
          </cell>
        </row>
        <row r="364">
          <cell r="A364" t="str">
            <v>Trigard</v>
          </cell>
          <cell r="B364" t="str">
            <v>PI032</v>
          </cell>
          <cell r="C364" t="str">
            <v>GR</v>
          </cell>
          <cell r="D364" t="str">
            <v>NO</v>
          </cell>
          <cell r="E364" t="str">
            <v>ELIMINADOS REG</v>
          </cell>
          <cell r="F364" t="str">
            <v>Lunes</v>
          </cell>
          <cell r="G364">
            <v>7</v>
          </cell>
          <cell r="H364">
            <v>4</v>
          </cell>
          <cell r="I364" t="str">
            <v>Minador</v>
          </cell>
          <cell r="J364">
            <v>0</v>
          </cell>
          <cell r="K364">
            <v>0</v>
          </cell>
          <cell r="L364">
            <v>0</v>
          </cell>
          <cell r="M364" t="str">
            <v>Cyromazine</v>
          </cell>
          <cell r="N364" t="str">
            <v>IV</v>
          </cell>
          <cell r="O364" t="str">
            <v>Categoría IV</v>
          </cell>
          <cell r="P364" t="str">
            <v>Insecticida</v>
          </cell>
          <cell r="Q364" t="str">
            <v>SI</v>
          </cell>
          <cell r="R364" t="str">
            <v>-</v>
          </cell>
          <cell r="S364"/>
        </row>
        <row r="365">
          <cell r="A365" t="str">
            <v>TRIPLE 15 (15-15-15)</v>
          </cell>
          <cell r="B365" t="str">
            <v>FA050</v>
          </cell>
          <cell r="C365" t="str">
            <v>KG</v>
          </cell>
          <cell r="D365" t="str">
            <v>SI</v>
          </cell>
          <cell r="E365" t="str">
            <v>ACTIVOS NO REG</v>
          </cell>
          <cell r="F365"/>
          <cell r="G365"/>
          <cell r="H365"/>
          <cell r="I365"/>
          <cell r="J365"/>
          <cell r="K365"/>
          <cell r="L365"/>
          <cell r="M365"/>
          <cell r="N365" t="str">
            <v>IV</v>
          </cell>
          <cell r="O365" t="str">
            <v>Categoría IV</v>
          </cell>
          <cell r="P365" t="str">
            <v>Fertilizante</v>
          </cell>
          <cell r="Q365"/>
          <cell r="R365" t="str">
            <v>-</v>
          </cell>
          <cell r="S365"/>
        </row>
        <row r="366">
          <cell r="A366" t="str">
            <v>TRYCLAM</v>
          </cell>
          <cell r="B366" t="str">
            <v>PI148</v>
          </cell>
          <cell r="C366" t="str">
            <v>GR</v>
          </cell>
          <cell r="D366" t="str">
            <v>SI</v>
          </cell>
          <cell r="E366" t="str">
            <v>ACTIVOS REG</v>
          </cell>
          <cell r="F366" t="str">
            <v>Lunes</v>
          </cell>
          <cell r="G366">
            <v>5.5</v>
          </cell>
          <cell r="H366">
            <v>8</v>
          </cell>
          <cell r="I366" t="str">
            <v>Trips</v>
          </cell>
          <cell r="J366" t="str">
            <v>Minador</v>
          </cell>
          <cell r="K366"/>
          <cell r="L366"/>
          <cell r="M366" t="str">
            <v>Tiociclam-hidrogenoxalato</v>
          </cell>
          <cell r="N366" t="str">
            <v>III</v>
          </cell>
          <cell r="O366" t="str">
            <v>Ligeramente Peligrosos III</v>
          </cell>
          <cell r="P366" t="str">
            <v>Insecticida</v>
          </cell>
          <cell r="Q366" t="str">
            <v>SI</v>
          </cell>
          <cell r="R366">
            <v>0.5</v>
          </cell>
          <cell r="S366"/>
        </row>
        <row r="367">
          <cell r="A367" t="str">
            <v>ULTRAFERRO</v>
          </cell>
          <cell r="B367" t="str">
            <v>FA031</v>
          </cell>
          <cell r="C367" t="str">
            <v>GR</v>
          </cell>
          <cell r="D367" t="str">
            <v>NO</v>
          </cell>
          <cell r="E367" t="str">
            <v>ACTIVOS NO REG</v>
          </cell>
          <cell r="F367"/>
          <cell r="G367"/>
          <cell r="H367"/>
          <cell r="I367"/>
          <cell r="J367"/>
          <cell r="K367"/>
          <cell r="L367"/>
          <cell r="M367"/>
          <cell r="N367" t="str">
            <v>IV</v>
          </cell>
          <cell r="O367" t="str">
            <v>Categoría IV</v>
          </cell>
          <cell r="P367" t="str">
            <v>Fertilizante</v>
          </cell>
          <cell r="Q367"/>
          <cell r="R367" t="str">
            <v>-</v>
          </cell>
        </row>
        <row r="368">
          <cell r="A368" t="str">
            <v>UREA</v>
          </cell>
          <cell r="B368" t="str">
            <v>FA002</v>
          </cell>
          <cell r="C368" t="str">
            <v>KG</v>
          </cell>
          <cell r="D368" t="str">
            <v>NO</v>
          </cell>
          <cell r="E368" t="str">
            <v>ELIMINADOS NO REG</v>
          </cell>
          <cell r="F368"/>
          <cell r="G368" t="str">
            <v xml:space="preserve"> ---</v>
          </cell>
          <cell r="H368">
            <v>0</v>
          </cell>
          <cell r="I368" t="str">
            <v>GA3</v>
          </cell>
          <cell r="J368">
            <v>0</v>
          </cell>
          <cell r="K368">
            <v>0</v>
          </cell>
          <cell r="L368">
            <v>0</v>
          </cell>
          <cell r="M368" t="str">
            <v>N</v>
          </cell>
          <cell r="N368" t="str">
            <v>IV</v>
          </cell>
          <cell r="O368" t="str">
            <v>Categoría IV</v>
          </cell>
          <cell r="P368" t="str">
            <v>Fertilizante</v>
          </cell>
          <cell r="Q368"/>
          <cell r="R368" t="str">
            <v>-</v>
          </cell>
        </row>
        <row r="369">
          <cell r="A369" t="str">
            <v>VANODINE</v>
          </cell>
          <cell r="B369" t="str">
            <v>PF089</v>
          </cell>
          <cell r="C369" t="str">
            <v>CC</v>
          </cell>
          <cell r="D369" t="str">
            <v>NO</v>
          </cell>
          <cell r="E369" t="str">
            <v>ACTIVOS NO REG</v>
          </cell>
          <cell r="F369" t="str">
            <v>Viernes</v>
          </cell>
          <cell r="G369"/>
          <cell r="H369"/>
          <cell r="I369"/>
          <cell r="J369"/>
          <cell r="K369"/>
          <cell r="L369"/>
          <cell r="M369"/>
          <cell r="N369"/>
          <cell r="O369"/>
          <cell r="P369" t="str">
            <v>Fungicida</v>
          </cell>
          <cell r="Q369" t="str">
            <v>NO HAY</v>
          </cell>
          <cell r="R369" t="str">
            <v>-</v>
          </cell>
        </row>
        <row r="370">
          <cell r="A370" t="str">
            <v>Vertimec</v>
          </cell>
          <cell r="B370" t="str">
            <v>PI120</v>
          </cell>
          <cell r="C370" t="str">
            <v>CC</v>
          </cell>
          <cell r="D370" t="str">
            <v>SI</v>
          </cell>
          <cell r="E370" t="str">
            <v>ELIMINADOS REG</v>
          </cell>
          <cell r="F370" t="str">
            <v>Martes</v>
          </cell>
          <cell r="G370">
            <v>6</v>
          </cell>
          <cell r="H370">
            <v>6</v>
          </cell>
          <cell r="I370" t="str">
            <v>Acaros</v>
          </cell>
          <cell r="J370" t="str">
            <v>Minador</v>
          </cell>
          <cell r="K370">
            <v>0</v>
          </cell>
          <cell r="L370">
            <v>0</v>
          </cell>
          <cell r="M370" t="str">
            <v>Abamectina</v>
          </cell>
          <cell r="N370" t="str">
            <v>II</v>
          </cell>
          <cell r="O370" t="str">
            <v>Moderadamente Peligrosos II</v>
          </cell>
          <cell r="P370" t="str">
            <v>Insecticida</v>
          </cell>
          <cell r="Q370" t="str">
            <v>SI</v>
          </cell>
          <cell r="R370">
            <v>0.3</v>
          </cell>
        </row>
        <row r="371">
          <cell r="A371" t="str">
            <v>VEXTER 4 EC</v>
          </cell>
          <cell r="B371" t="str">
            <v>PI041</v>
          </cell>
          <cell r="C371" t="str">
            <v>CC</v>
          </cell>
          <cell r="D371" t="str">
            <v>NO</v>
          </cell>
          <cell r="E371" t="str">
            <v>ACTIVOS NO REG</v>
          </cell>
          <cell r="F371" t="str">
            <v>Lunes</v>
          </cell>
          <cell r="G371"/>
          <cell r="H371"/>
          <cell r="I371"/>
          <cell r="J371"/>
          <cell r="K371"/>
          <cell r="L371"/>
          <cell r="M371"/>
          <cell r="N371"/>
          <cell r="O371"/>
          <cell r="P371" t="str">
            <v>Insecticida</v>
          </cell>
          <cell r="Q371" t="str">
            <v>NO HAY</v>
          </cell>
          <cell r="R371" t="str">
            <v>-</v>
          </cell>
        </row>
        <row r="372">
          <cell r="A372" t="str">
            <v>VIDATE</v>
          </cell>
          <cell r="B372" t="str">
            <v>PI033</v>
          </cell>
          <cell r="C372" t="str">
            <v>CC</v>
          </cell>
          <cell r="D372" t="str">
            <v>NO</v>
          </cell>
          <cell r="E372" t="str">
            <v>ACTIVOS REG</v>
          </cell>
          <cell r="F372" t="str">
            <v>Lunes</v>
          </cell>
          <cell r="G372">
            <v>5.5</v>
          </cell>
          <cell r="H372">
            <v>24</v>
          </cell>
          <cell r="I372" t="str">
            <v>Nematodos</v>
          </cell>
          <cell r="J372" t="str">
            <v>Trips</v>
          </cell>
          <cell r="K372">
            <v>0</v>
          </cell>
          <cell r="L372">
            <v>0</v>
          </cell>
          <cell r="M372" t="str">
            <v>Oxamyl</v>
          </cell>
          <cell r="N372" t="str">
            <v>I</v>
          </cell>
          <cell r="O372" t="str">
            <v>Extremadamente Peligrosos Ia</v>
          </cell>
          <cell r="P372" t="str">
            <v>Insecticida</v>
          </cell>
          <cell r="Q372" t="str">
            <v>VIGENTE</v>
          </cell>
          <cell r="R372" t="str">
            <v>-</v>
          </cell>
        </row>
        <row r="373">
          <cell r="A373" t="str">
            <v>VIOLENTO</v>
          </cell>
          <cell r="B373" t="str">
            <v>PF071</v>
          </cell>
          <cell r="C373" t="str">
            <v>CC</v>
          </cell>
          <cell r="D373" t="str">
            <v>NO</v>
          </cell>
          <cell r="E373" t="str">
            <v>ELIMINADOS NO REG</v>
          </cell>
          <cell r="F373" t="str">
            <v>Viernes</v>
          </cell>
          <cell r="G373" t="str">
            <v>5.0-5.5</v>
          </cell>
          <cell r="H373"/>
          <cell r="I373" t="str">
            <v>Peronóspora</v>
          </cell>
          <cell r="J373" t="str">
            <v>Phytophthora</v>
          </cell>
          <cell r="K373" t="str">
            <v>Phytium</v>
          </cell>
          <cell r="L373">
            <v>0</v>
          </cell>
          <cell r="M373" t="str">
            <v>METILROSANILINA</v>
          </cell>
          <cell r="N373" t="str">
            <v>IV</v>
          </cell>
          <cell r="O373" t="str">
            <v>Categoría IV</v>
          </cell>
          <cell r="P373" t="str">
            <v>Fungicida</v>
          </cell>
          <cell r="Q373" t="str">
            <v>SI</v>
          </cell>
          <cell r="R373" t="str">
            <v>-</v>
          </cell>
          <cell r="S373"/>
        </row>
        <row r="374">
          <cell r="A374" t="str">
            <v>VITAVAX 300</v>
          </cell>
          <cell r="B374" t="str">
            <v>PF026</v>
          </cell>
          <cell r="C374" t="str">
            <v>GR</v>
          </cell>
          <cell r="D374" t="str">
            <v>SI</v>
          </cell>
          <cell r="E374" t="str">
            <v>ACTIVOS REG</v>
          </cell>
          <cell r="F374" t="str">
            <v>Viernes</v>
          </cell>
          <cell r="G374">
            <v>6</v>
          </cell>
          <cell r="H374">
            <v>6</v>
          </cell>
          <cell r="I374" t="str">
            <v>Rhizoctonia</v>
          </cell>
          <cell r="J374">
            <v>0</v>
          </cell>
          <cell r="K374">
            <v>0</v>
          </cell>
          <cell r="L374">
            <v>0</v>
          </cell>
          <cell r="M374" t="str">
            <v>Carboxin + Captan</v>
          </cell>
          <cell r="N374" t="str">
            <v>IV</v>
          </cell>
          <cell r="O374" t="str">
            <v>Categoría IV</v>
          </cell>
          <cell r="P374" t="str">
            <v>Fungicida</v>
          </cell>
          <cell r="Q374" t="str">
            <v>SI</v>
          </cell>
          <cell r="R374">
            <v>2</v>
          </cell>
          <cell r="S374"/>
        </row>
        <row r="375">
          <cell r="A375" t="str">
            <v>Vitavax Flo</v>
          </cell>
          <cell r="B375" t="str">
            <v>PF165</v>
          </cell>
          <cell r="C375" t="str">
            <v>CC</v>
          </cell>
          <cell r="D375" t="str">
            <v>SI</v>
          </cell>
          <cell r="E375" t="str">
            <v>ACTIVOS NO REG</v>
          </cell>
          <cell r="F375" t="str">
            <v>Viernes</v>
          </cell>
          <cell r="G375"/>
          <cell r="H375"/>
          <cell r="I375" t="str">
            <v>Rhizoctonia</v>
          </cell>
          <cell r="J375" t="str">
            <v>Phytium</v>
          </cell>
          <cell r="K375" t="str">
            <v>Fusarium</v>
          </cell>
          <cell r="L375">
            <v>0</v>
          </cell>
          <cell r="M375" t="str">
            <v>CARBOXIN THIRAM</v>
          </cell>
          <cell r="N375" t="str">
            <v>III</v>
          </cell>
          <cell r="O375" t="str">
            <v>Ligeramente Peligrosos III</v>
          </cell>
          <cell r="P375" t="str">
            <v>Fungicida</v>
          </cell>
          <cell r="Q375" t="str">
            <v>SI</v>
          </cell>
          <cell r="R375">
            <v>2</v>
          </cell>
          <cell r="S375"/>
        </row>
        <row r="376">
          <cell r="A376" t="str">
            <v>VONDOZEB 62% SC</v>
          </cell>
          <cell r="B376" t="str">
            <v>PF115</v>
          </cell>
          <cell r="C376" t="str">
            <v>CC</v>
          </cell>
          <cell r="D376" t="str">
            <v>NO</v>
          </cell>
          <cell r="E376" t="str">
            <v>ACTIVOS NO REG</v>
          </cell>
          <cell r="F376" t="str">
            <v>Viernes</v>
          </cell>
          <cell r="G376" t="str">
            <v>6.0-7.0</v>
          </cell>
          <cell r="H376">
            <v>4</v>
          </cell>
          <cell r="I376" t="str">
            <v>Amplio Espectro</v>
          </cell>
          <cell r="J376">
            <v>0</v>
          </cell>
          <cell r="K376">
            <v>0</v>
          </cell>
          <cell r="L376">
            <v>0</v>
          </cell>
          <cell r="M376" t="str">
            <v>Mancozeb</v>
          </cell>
          <cell r="N376" t="str">
            <v>IV</v>
          </cell>
          <cell r="O376" t="str">
            <v>Categoría IV</v>
          </cell>
          <cell r="P376" t="str">
            <v>Fungicida</v>
          </cell>
          <cell r="Q376" t="str">
            <v>SI</v>
          </cell>
          <cell r="R376" t="str">
            <v>-</v>
          </cell>
        </row>
        <row r="377">
          <cell r="A377" t="str">
            <v>YARAMILA INTEGRADOR</v>
          </cell>
          <cell r="B377" t="str">
            <v>FA054</v>
          </cell>
          <cell r="C377" t="str">
            <v>KG</v>
          </cell>
          <cell r="D377" t="str">
            <v>NO</v>
          </cell>
          <cell r="E377" t="str">
            <v>ELIMINADOS NO REG</v>
          </cell>
          <cell r="F377"/>
          <cell r="G377"/>
          <cell r="H377"/>
          <cell r="I377"/>
          <cell r="J377"/>
          <cell r="K377"/>
          <cell r="L377"/>
          <cell r="M377"/>
          <cell r="N377" t="str">
            <v>IV</v>
          </cell>
          <cell r="O377" t="str">
            <v>Categoría IV</v>
          </cell>
          <cell r="P377" t="str">
            <v>Fertilizante</v>
          </cell>
          <cell r="Q377" t="str">
            <v>NO HAY</v>
          </cell>
          <cell r="R377" t="str">
            <v>-</v>
          </cell>
          <cell r="S377"/>
        </row>
        <row r="378">
          <cell r="A378" t="str">
            <v>ZERO TOLERANCE 2T</v>
          </cell>
          <cell r="B378" t="str">
            <v>PF063</v>
          </cell>
          <cell r="C378" t="str">
            <v>CC</v>
          </cell>
          <cell r="D378" t="str">
            <v>NO</v>
          </cell>
          <cell r="E378" t="str">
            <v>ACTIVOS NO REG</v>
          </cell>
          <cell r="F378" t="str">
            <v>Viernes</v>
          </cell>
          <cell r="G378"/>
          <cell r="H378"/>
          <cell r="I378" t="str">
            <v>Botrytis</v>
          </cell>
          <cell r="J378" t="str">
            <v>Mildiu</v>
          </cell>
          <cell r="K378" t="str">
            <v>Phytium</v>
          </cell>
          <cell r="L378" t="str">
            <v>Fusarium</v>
          </cell>
          <cell r="M378" t="str">
            <v>PEROXIDO DE HIDROGENO</v>
          </cell>
          <cell r="N378" t="str">
            <v>II</v>
          </cell>
          <cell r="O378" t="str">
            <v>Moderadamente Peligrosos II</v>
          </cell>
          <cell r="P378" t="str">
            <v>Fungicida</v>
          </cell>
          <cell r="Q378" t="str">
            <v>SI</v>
          </cell>
          <cell r="R378" t="str">
            <v>-</v>
          </cell>
          <cell r="S378"/>
        </row>
        <row r="379">
          <cell r="A379" t="str">
            <v>Yoga</v>
          </cell>
          <cell r="B379" t="str">
            <v>PI151</v>
          </cell>
          <cell r="C379" t="str">
            <v>CC</v>
          </cell>
          <cell r="D379" t="str">
            <v>SI</v>
          </cell>
          <cell r="E379" t="str">
            <v>ACTIVOS REG</v>
          </cell>
          <cell r="F379" t="str">
            <v>Martes</v>
          </cell>
          <cell r="G379" t="str">
            <v>6.0-7.0</v>
          </cell>
          <cell r="H379">
            <v>4</v>
          </cell>
          <cell r="I379" t="str">
            <v>Acaros</v>
          </cell>
          <cell r="J379" t="str">
            <v>Minador</v>
          </cell>
          <cell r="K379">
            <v>0</v>
          </cell>
          <cell r="L379">
            <v>0</v>
          </cell>
          <cell r="M379" t="str">
            <v>Abamectina + Xylen</v>
          </cell>
          <cell r="N379" t="str">
            <v>II</v>
          </cell>
          <cell r="O379" t="str">
            <v>Moderadamente Peligrosos II</v>
          </cell>
          <cell r="P379" t="str">
            <v>Insecticida</v>
          </cell>
          <cell r="Q379" t="str">
            <v>SI</v>
          </cell>
          <cell r="R379">
            <v>0.6</v>
          </cell>
          <cell r="S379"/>
        </row>
        <row r="380">
          <cell r="A380" t="str">
            <v>KASUMIN 2%</v>
          </cell>
          <cell r="B380" t="str">
            <v>PF120</v>
          </cell>
          <cell r="C380" t="str">
            <v>CC</v>
          </cell>
          <cell r="D380" t="str">
            <v>SI</v>
          </cell>
          <cell r="E380" t="str">
            <v>ACTIVOS NO REG</v>
          </cell>
          <cell r="F380" t="str">
            <v>Viernes</v>
          </cell>
          <cell r="G380"/>
          <cell r="H380">
            <v>3</v>
          </cell>
          <cell r="I380" t="str">
            <v>Erwinia spp</v>
          </cell>
          <cell r="J380"/>
          <cell r="K380"/>
          <cell r="L380"/>
          <cell r="M380" t="str">
            <v>Kasugamicina</v>
          </cell>
          <cell r="N380" t="str">
            <v>IV</v>
          </cell>
          <cell r="O380" t="str">
            <v>Categoría IV</v>
          </cell>
          <cell r="P380" t="str">
            <v>Fungicida</v>
          </cell>
          <cell r="Q380" t="str">
            <v>SI</v>
          </cell>
          <cell r="R380">
            <v>1</v>
          </cell>
          <cell r="S380"/>
        </row>
        <row r="381">
          <cell r="A381" t="str">
            <v>Tricho+Beauv</v>
          </cell>
          <cell r="B381" t="str">
            <v>FB997</v>
          </cell>
          <cell r="C381" t="str">
            <v>CC</v>
          </cell>
          <cell r="D381" t="str">
            <v>SI</v>
          </cell>
          <cell r="E381" t="str">
            <v>ACTIVOS NO REG</v>
          </cell>
          <cell r="F381" t="str">
            <v>Miercoles</v>
          </cell>
          <cell r="G381"/>
          <cell r="H381"/>
          <cell r="I381"/>
          <cell r="J381"/>
          <cell r="K381"/>
          <cell r="L381"/>
          <cell r="M381" t="str">
            <v>Trichoderma</v>
          </cell>
          <cell r="N381" t="str">
            <v>IV</v>
          </cell>
          <cell r="O381" t="str">
            <v>Categoría IV</v>
          </cell>
          <cell r="P381" t="str">
            <v>Bioestimulante</v>
          </cell>
          <cell r="Q381" t="str">
            <v>NO HAY</v>
          </cell>
          <cell r="R381">
            <v>2</v>
          </cell>
          <cell r="S381"/>
        </row>
        <row r="382">
          <cell r="A382" t="str">
            <v>TRIZIMAN-D</v>
          </cell>
          <cell r="B382" t="str">
            <v>PF137</v>
          </cell>
          <cell r="C382" t="str">
            <v>GR</v>
          </cell>
          <cell r="D382" t="str">
            <v>SI</v>
          </cell>
          <cell r="E382" t="str">
            <v>ACTIVOS NO REG</v>
          </cell>
          <cell r="F382"/>
          <cell r="G382" t="str">
            <v>6.0-7.0</v>
          </cell>
          <cell r="H382">
            <v>4</v>
          </cell>
          <cell r="I382" t="str">
            <v>Peronóspora</v>
          </cell>
          <cell r="J382" t="str">
            <v>Alternaria</v>
          </cell>
          <cell r="K382" t="str">
            <v>Phytophthora</v>
          </cell>
          <cell r="L382"/>
          <cell r="M382" t="str">
            <v>Mancozeb</v>
          </cell>
          <cell r="N382" t="str">
            <v>IV</v>
          </cell>
          <cell r="O382" t="str">
            <v>Categoría IV</v>
          </cell>
          <cell r="P382" t="str">
            <v>Fungicida</v>
          </cell>
          <cell r="Q382" t="str">
            <v>SI</v>
          </cell>
          <cell r="R382">
            <v>2</v>
          </cell>
          <cell r="S382"/>
        </row>
        <row r="383">
          <cell r="A383" t="str">
            <v>AGROCELHONE NE.</v>
          </cell>
          <cell r="B383" t="str">
            <v>PI136</v>
          </cell>
          <cell r="C383" t="str">
            <v>GR</v>
          </cell>
          <cell r="D383" t="str">
            <v>SI</v>
          </cell>
          <cell r="E383" t="str">
            <v>ACTIVOS REG</v>
          </cell>
          <cell r="F383"/>
          <cell r="G383"/>
          <cell r="H383"/>
          <cell r="I383" t="str">
            <v>Nematicida</v>
          </cell>
          <cell r="J383"/>
          <cell r="K383"/>
          <cell r="L383"/>
          <cell r="M383" t="str">
            <v>1,3-dichloropropene + chloropicrin</v>
          </cell>
          <cell r="N383" t="str">
            <v>I</v>
          </cell>
          <cell r="O383" t="str">
            <v>Altamente Peligrosos Ib</v>
          </cell>
          <cell r="P383" t="str">
            <v>Nematicida - Insecticida</v>
          </cell>
          <cell r="Q383" t="str">
            <v>SI</v>
          </cell>
          <cell r="R383">
            <v>50</v>
          </cell>
          <cell r="S383"/>
        </row>
        <row r="384">
          <cell r="A384" t="str">
            <v>APLAUD</v>
          </cell>
          <cell r="B384" t="str">
            <v>PI126</v>
          </cell>
          <cell r="C384" t="str">
            <v>gr</v>
          </cell>
          <cell r="D384" t="str">
            <v>SI</v>
          </cell>
          <cell r="E384" t="str">
            <v>ACTIVOS NO REG</v>
          </cell>
          <cell r="F384"/>
          <cell r="G384">
            <v>7</v>
          </cell>
          <cell r="H384">
            <v>4</v>
          </cell>
          <cell r="I384" t="str">
            <v>Mosca Blanca</v>
          </cell>
          <cell r="J384"/>
          <cell r="K384"/>
          <cell r="L384"/>
          <cell r="M384" t="str">
            <v>Buprofezin</v>
          </cell>
          <cell r="N384" t="str">
            <v>IV</v>
          </cell>
          <cell r="O384" t="str">
            <v>Categoría IV</v>
          </cell>
          <cell r="P384" t="str">
            <v>Insecticida</v>
          </cell>
          <cell r="Q384" t="str">
            <v>SI</v>
          </cell>
          <cell r="R384">
            <v>1</v>
          </cell>
          <cell r="S384"/>
        </row>
        <row r="385">
          <cell r="A385" t="str">
            <v>BELLKUTE</v>
          </cell>
          <cell r="B385" t="str">
            <v>PF142</v>
          </cell>
          <cell r="C385" t="str">
            <v>GR</v>
          </cell>
          <cell r="D385" t="str">
            <v>SI</v>
          </cell>
          <cell r="E385" t="str">
            <v>ACTIVOS NO REG</v>
          </cell>
          <cell r="F385"/>
          <cell r="G385" t="str">
            <v>4.5 - 7.5</v>
          </cell>
          <cell r="H385">
            <v>6</v>
          </cell>
          <cell r="I385" t="str">
            <v>Botrytis</v>
          </cell>
          <cell r="J385"/>
          <cell r="K385"/>
          <cell r="L385"/>
          <cell r="M385" t="str">
            <v>ALBESILATE</v>
          </cell>
          <cell r="N385" t="str">
            <v>III</v>
          </cell>
          <cell r="O385" t="str">
            <v>Ligeramente Peligrosos III</v>
          </cell>
          <cell r="P385" t="str">
            <v>Fungicida</v>
          </cell>
          <cell r="Q385" t="str">
            <v>SI</v>
          </cell>
          <cell r="R385">
            <v>0.3</v>
          </cell>
          <cell r="S385"/>
        </row>
        <row r="386">
          <cell r="A386" t="str">
            <v>BORNEO 11 SC</v>
          </cell>
          <cell r="B386" t="str">
            <v>PI121</v>
          </cell>
          <cell r="C386" t="str">
            <v>CC</v>
          </cell>
          <cell r="D386" t="str">
            <v>SI</v>
          </cell>
          <cell r="E386" t="str">
            <v>ACTIVOS NO REG</v>
          </cell>
          <cell r="F386"/>
          <cell r="G386" t="str">
            <v>5.0 - 7.5</v>
          </cell>
          <cell r="H386">
            <v>4</v>
          </cell>
          <cell r="I386" t="str">
            <v>Acaros</v>
          </cell>
          <cell r="J386" t="str">
            <v>Minador</v>
          </cell>
          <cell r="K386"/>
          <cell r="L386"/>
          <cell r="M386" t="str">
            <v>ETOXAZOLE</v>
          </cell>
          <cell r="N386" t="str">
            <v>IV</v>
          </cell>
          <cell r="O386" t="str">
            <v>Categoría IV</v>
          </cell>
          <cell r="P386" t="str">
            <v>Insecticida</v>
          </cell>
          <cell r="Q386" t="str">
            <v>SI</v>
          </cell>
          <cell r="R386">
            <v>0.4</v>
          </cell>
          <cell r="S386"/>
        </row>
        <row r="387">
          <cell r="A387" t="str">
            <v>INFINITO</v>
          </cell>
          <cell r="B387" t="str">
            <v>PF172</v>
          </cell>
          <cell r="C387" t="str">
            <v>CC</v>
          </cell>
          <cell r="D387" t="str">
            <v>SI</v>
          </cell>
          <cell r="E387" t="str">
            <v>ACTIVOS NO REG</v>
          </cell>
          <cell r="F387"/>
          <cell r="G387"/>
          <cell r="H387"/>
          <cell r="I387" t="str">
            <v>Mildiu</v>
          </cell>
          <cell r="J387" t="str">
            <v>Peronóspora</v>
          </cell>
          <cell r="K387"/>
          <cell r="L387"/>
          <cell r="M387" t="str">
            <v>PROPAMOCARB HYDROCHLORIDE + FLUOPICOLIDE</v>
          </cell>
          <cell r="N387" t="str">
            <v>III</v>
          </cell>
          <cell r="O387" t="str">
            <v>Ligeramente Peligrosos III</v>
          </cell>
          <cell r="P387" t="str">
            <v>Fungicida</v>
          </cell>
          <cell r="Q387" t="str">
            <v>SI</v>
          </cell>
          <cell r="R387">
            <v>1.3</v>
          </cell>
          <cell r="S387"/>
        </row>
        <row r="388">
          <cell r="A388" t="str">
            <v>SKEKURA 50%</v>
          </cell>
          <cell r="B388" t="str">
            <v>PF161</v>
          </cell>
          <cell r="C388" t="str">
            <v>GR</v>
          </cell>
          <cell r="D388" t="str">
            <v>SI</v>
          </cell>
          <cell r="E388" t="str">
            <v>ACTIVOS NO REG</v>
          </cell>
          <cell r="F388" t="str">
            <v>Viernes</v>
          </cell>
          <cell r="G388">
            <v>5</v>
          </cell>
          <cell r="H388">
            <v>2</v>
          </cell>
          <cell r="I388" t="str">
            <v>Botrytis</v>
          </cell>
          <cell r="J388"/>
          <cell r="K388"/>
          <cell r="L388"/>
          <cell r="M388" t="str">
            <v>CARBENDAZIM</v>
          </cell>
          <cell r="N388" t="str">
            <v>IV</v>
          </cell>
          <cell r="O388" t="str">
            <v>Categoría IV</v>
          </cell>
          <cell r="P388" t="str">
            <v>Fungicida</v>
          </cell>
          <cell r="Q388" t="str">
            <v>SI</v>
          </cell>
          <cell r="R388">
            <v>1</v>
          </cell>
          <cell r="S388"/>
        </row>
        <row r="389">
          <cell r="A389" t="str">
            <v>CLORPILAQ</v>
          </cell>
          <cell r="B389" t="str">
            <v>PI146</v>
          </cell>
          <cell r="C389" t="str">
            <v>CC</v>
          </cell>
          <cell r="D389" t="str">
            <v>SI</v>
          </cell>
          <cell r="E389" t="str">
            <v>ACTIVOS NO REG</v>
          </cell>
          <cell r="F389"/>
          <cell r="G389">
            <v>5</v>
          </cell>
          <cell r="H389">
            <v>8</v>
          </cell>
          <cell r="I389" t="str">
            <v>Pulgón</v>
          </cell>
          <cell r="J389" t="str">
            <v>Mosca Blanca</v>
          </cell>
          <cell r="K389">
            <v>0</v>
          </cell>
          <cell r="L389"/>
          <cell r="M389" t="str">
            <v>Clorpirifos</v>
          </cell>
          <cell r="N389" t="str">
            <v>II</v>
          </cell>
          <cell r="O389" t="str">
            <v>Moderadamente Peligrosos II</v>
          </cell>
          <cell r="P389" t="str">
            <v>Insecticida</v>
          </cell>
          <cell r="Q389" t="str">
            <v>SI</v>
          </cell>
          <cell r="R389">
            <v>1</v>
          </cell>
          <cell r="S389"/>
        </row>
        <row r="390">
          <cell r="A390" t="str">
            <v>COMBATRAN</v>
          </cell>
          <cell r="B390" t="str">
            <v>PH022</v>
          </cell>
          <cell r="C390" t="str">
            <v>CC</v>
          </cell>
          <cell r="D390" t="str">
            <v>SI</v>
          </cell>
          <cell r="E390" t="str">
            <v>ACTIVOS NO REG</v>
          </cell>
          <cell r="F390"/>
          <cell r="G390"/>
          <cell r="H390"/>
          <cell r="I390"/>
          <cell r="J390"/>
          <cell r="K390"/>
          <cell r="L390"/>
          <cell r="M390" t="str">
            <v>PICLORAM + 2,4-D</v>
          </cell>
          <cell r="N390" t="str">
            <v>IV</v>
          </cell>
          <cell r="O390" t="str">
            <v>Categoría IV</v>
          </cell>
          <cell r="P390" t="str">
            <v>Herbicida</v>
          </cell>
          <cell r="Q390" t="str">
            <v>SI</v>
          </cell>
          <cell r="R390" t="str">
            <v>-</v>
          </cell>
          <cell r="S390"/>
        </row>
        <row r="391">
          <cell r="A391" t="str">
            <v>HORMONAGRO A.N.A.</v>
          </cell>
          <cell r="B391" t="str">
            <v>FB089</v>
          </cell>
          <cell r="C391" t="str">
            <v>CC</v>
          </cell>
          <cell r="D391" t="str">
            <v>SI</v>
          </cell>
          <cell r="E391" t="str">
            <v>ACTIVOS NO REG</v>
          </cell>
          <cell r="F391"/>
          <cell r="G391"/>
          <cell r="H391"/>
          <cell r="I391"/>
          <cell r="J391"/>
          <cell r="K391"/>
          <cell r="L391"/>
          <cell r="M391" t="str">
            <v>Acido alfa naftalenacético</v>
          </cell>
          <cell r="N391" t="str">
            <v>IV</v>
          </cell>
          <cell r="O391" t="str">
            <v>Categoría IV</v>
          </cell>
          <cell r="P391" t="str">
            <v>Fitohormonal</v>
          </cell>
          <cell r="Q391" t="str">
            <v>NO HAY</v>
          </cell>
          <cell r="R391" t="str">
            <v>-</v>
          </cell>
          <cell r="S391"/>
        </row>
        <row r="392">
          <cell r="A392" t="str">
            <v>PHYTO HORMONAL PLUS</v>
          </cell>
          <cell r="B392" t="str">
            <v>FH006</v>
          </cell>
          <cell r="C392" t="str">
            <v>CC</v>
          </cell>
          <cell r="D392" t="str">
            <v>SI</v>
          </cell>
          <cell r="E392" t="str">
            <v>ACTIVOS NO REG</v>
          </cell>
          <cell r="F392"/>
          <cell r="G392"/>
          <cell r="H392"/>
          <cell r="I392"/>
          <cell r="J392"/>
          <cell r="K392"/>
          <cell r="L392"/>
          <cell r="M392"/>
          <cell r="N392" t="str">
            <v>IV</v>
          </cell>
          <cell r="O392" t="str">
            <v>Categoría IV</v>
          </cell>
          <cell r="P392" t="str">
            <v>Fitohormonal</v>
          </cell>
          <cell r="Q392" t="str">
            <v>NO HAY</v>
          </cell>
          <cell r="R392" t="str">
            <v>-</v>
          </cell>
          <cell r="S392"/>
        </row>
        <row r="393">
          <cell r="A393" t="str">
            <v>ROBUST 90%</v>
          </cell>
          <cell r="B393" t="str">
            <v>FH007</v>
          </cell>
          <cell r="C393" t="str">
            <v>GR</v>
          </cell>
          <cell r="D393" t="str">
            <v>SI</v>
          </cell>
          <cell r="E393" t="str">
            <v>ACTIVOS NO REG</v>
          </cell>
          <cell r="F393"/>
          <cell r="G393"/>
          <cell r="H393"/>
          <cell r="I393"/>
          <cell r="J393"/>
          <cell r="K393"/>
          <cell r="L393"/>
          <cell r="M393"/>
          <cell r="N393" t="str">
            <v>IV</v>
          </cell>
          <cell r="O393" t="str">
            <v>Categoría IV</v>
          </cell>
          <cell r="P393" t="str">
            <v>Fitohormonal</v>
          </cell>
          <cell r="Q393" t="str">
            <v>NO HAY</v>
          </cell>
          <cell r="R393" t="str">
            <v>-</v>
          </cell>
          <cell r="S393"/>
        </row>
        <row r="394">
          <cell r="A394" t="str">
            <v>HIDROXIDO DE CALCIO</v>
          </cell>
          <cell r="B394" t="str">
            <v>FA057</v>
          </cell>
          <cell r="C394" t="str">
            <v>KG</v>
          </cell>
          <cell r="D394" t="str">
            <v>SI</v>
          </cell>
          <cell r="E394" t="str">
            <v>ACTIVOS NO REG</v>
          </cell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 t="str">
            <v>Fertilizante</v>
          </cell>
          <cell r="Q394" t="str">
            <v>NO HAY</v>
          </cell>
          <cell r="R394" t="str">
            <v>-</v>
          </cell>
          <cell r="S394"/>
        </row>
        <row r="395">
          <cell r="A395" t="str">
            <v>CLORURO DE POTASIO AL 99%</v>
          </cell>
          <cell r="B395" t="str">
            <v>FA059</v>
          </cell>
          <cell r="C395" t="str">
            <v>KG</v>
          </cell>
          <cell r="D395" t="str">
            <v>SI</v>
          </cell>
          <cell r="E395" t="str">
            <v>ACTIVOS NO REG</v>
          </cell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 t="str">
            <v>Fertilizante</v>
          </cell>
          <cell r="Q395" t="str">
            <v>NO HAY</v>
          </cell>
          <cell r="R395" t="str">
            <v>-</v>
          </cell>
          <cell r="S395"/>
        </row>
        <row r="396">
          <cell r="A396" t="str">
            <v>ENERVIT FULL CALCIUM 35</v>
          </cell>
          <cell r="B396" t="str">
            <v>FA058</v>
          </cell>
          <cell r="C396" t="str">
            <v>GR</v>
          </cell>
          <cell r="D396" t="str">
            <v>SI</v>
          </cell>
          <cell r="E396" t="str">
            <v>ACTIVOS NO REG</v>
          </cell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 t="str">
            <v>Fertilizante</v>
          </cell>
          <cell r="Q396" t="str">
            <v>NO HAY</v>
          </cell>
          <cell r="R396" t="str">
            <v>-</v>
          </cell>
          <cell r="S396"/>
        </row>
        <row r="397">
          <cell r="A397" t="str">
            <v>CAL</v>
          </cell>
          <cell r="B397" t="str">
            <v>FA023</v>
          </cell>
          <cell r="C397" t="str">
            <v>GR</v>
          </cell>
          <cell r="D397" t="str">
            <v>SI</v>
          </cell>
          <cell r="E397" t="str">
            <v>ACTIVOS NO REG</v>
          </cell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 t="str">
            <v>Fertilizante</v>
          </cell>
          <cell r="Q397" t="str">
            <v>NO HAY</v>
          </cell>
          <cell r="R397" t="str">
            <v>-</v>
          </cell>
          <cell r="S397"/>
        </row>
        <row r="398">
          <cell r="A398" t="str">
            <v>NOVATEK PREMIUM 15-3-20</v>
          </cell>
          <cell r="B398" t="str">
            <v>FA052</v>
          </cell>
          <cell r="C398" t="str">
            <v>KG</v>
          </cell>
          <cell r="D398" t="str">
            <v>SI</v>
          </cell>
          <cell r="E398" t="str">
            <v>ACTIVOS NO REG</v>
          </cell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 t="str">
            <v>Fertilizante</v>
          </cell>
          <cell r="Q398" t="str">
            <v>NO HAY</v>
          </cell>
          <cell r="R398" t="str">
            <v>-</v>
          </cell>
          <cell r="S398"/>
        </row>
        <row r="399">
          <cell r="A399" t="str">
            <v>EVERFLOR PLUS</v>
          </cell>
          <cell r="B399" t="str">
            <v>HB019</v>
          </cell>
          <cell r="C399" t="str">
            <v>LT</v>
          </cell>
          <cell r="D399" t="str">
            <v>SI</v>
          </cell>
          <cell r="E399" t="str">
            <v>ACTIVOS NO REG</v>
          </cell>
          <cell r="F399"/>
          <cell r="G399">
            <v>4.5</v>
          </cell>
          <cell r="H399"/>
          <cell r="I399" t="str">
            <v>Preservante hidratante floral</v>
          </cell>
          <cell r="J399"/>
          <cell r="K399"/>
          <cell r="L399"/>
          <cell r="M399"/>
          <cell r="N399" t="str">
            <v>IV</v>
          </cell>
          <cell r="O399" t="str">
            <v>Categoría IV</v>
          </cell>
          <cell r="P399" t="str">
            <v>Bactericidas</v>
          </cell>
          <cell r="Q399" t="str">
            <v>NO HAY</v>
          </cell>
          <cell r="R399">
            <v>0.2</v>
          </cell>
          <cell r="S399"/>
        </row>
        <row r="400">
          <cell r="A400" t="str">
            <v>Abalone</v>
          </cell>
          <cell r="B400" t="str">
            <v>PI152</v>
          </cell>
          <cell r="C400" t="str">
            <v>CC</v>
          </cell>
          <cell r="D400" t="str">
            <v>SI</v>
          </cell>
          <cell r="E400" t="str">
            <v>ACTIVOS REG</v>
          </cell>
          <cell r="F400" t="str">
            <v>Martes</v>
          </cell>
          <cell r="G400" t="str">
            <v>6.0-7.0</v>
          </cell>
          <cell r="H400">
            <v>12</v>
          </cell>
          <cell r="I400" t="str">
            <v>Acaros</v>
          </cell>
          <cell r="J400" t="str">
            <v>Minador</v>
          </cell>
          <cell r="K400">
            <v>0</v>
          </cell>
          <cell r="L400">
            <v>0</v>
          </cell>
          <cell r="M400" t="str">
            <v>Abamectina + Xylen</v>
          </cell>
          <cell r="N400" t="str">
            <v>III</v>
          </cell>
          <cell r="O400" t="str">
            <v>Ligeramente Peligrosos III</v>
          </cell>
          <cell r="P400" t="str">
            <v>Insecticida</v>
          </cell>
          <cell r="Q400" t="str">
            <v>SI</v>
          </cell>
          <cell r="R400">
            <v>0.6</v>
          </cell>
          <cell r="S400"/>
        </row>
        <row r="401">
          <cell r="A401" t="str">
            <v>Corridabull</v>
          </cell>
          <cell r="B401" t="str">
            <v>PI157</v>
          </cell>
          <cell r="C401" t="str">
            <v>CC</v>
          </cell>
          <cell r="D401" t="str">
            <v>SI</v>
          </cell>
          <cell r="E401" t="str">
            <v>ACTIVOS REG</v>
          </cell>
          <cell r="F401" t="str">
            <v>Martes</v>
          </cell>
          <cell r="G401">
            <v>7</v>
          </cell>
          <cell r="H401">
            <v>12</v>
          </cell>
          <cell r="I401" t="str">
            <v>Minador</v>
          </cell>
          <cell r="J401">
            <v>0</v>
          </cell>
          <cell r="K401">
            <v>0</v>
          </cell>
          <cell r="L401">
            <v>0</v>
          </cell>
          <cell r="M401" t="str">
            <v>Diflubenzuron</v>
          </cell>
          <cell r="N401" t="str">
            <v>III</v>
          </cell>
          <cell r="O401" t="str">
            <v>Ligeramente Peligrosos III</v>
          </cell>
          <cell r="P401" t="str">
            <v>Insecticida</v>
          </cell>
          <cell r="Q401" t="str">
            <v>SI</v>
          </cell>
          <cell r="R401">
            <v>0.9</v>
          </cell>
          <cell r="S401"/>
        </row>
        <row r="402">
          <cell r="A402" t="str">
            <v>Dantotsu</v>
          </cell>
          <cell r="B402" t="str">
            <v>PI153</v>
          </cell>
          <cell r="C402" t="str">
            <v>GR</v>
          </cell>
          <cell r="D402" t="str">
            <v>SI</v>
          </cell>
          <cell r="E402" t="str">
            <v>ACTIVOS REG</v>
          </cell>
          <cell r="F402" t="str">
            <v>Lunes</v>
          </cell>
          <cell r="G402">
            <v>7</v>
          </cell>
          <cell r="H402">
            <v>12</v>
          </cell>
          <cell r="I402" t="str">
            <v>Trips</v>
          </cell>
          <cell r="J402" t="str">
            <v>Mosca Blanca</v>
          </cell>
          <cell r="K402">
            <v>0</v>
          </cell>
          <cell r="L402">
            <v>0</v>
          </cell>
          <cell r="M402" t="str">
            <v>Clothianidin</v>
          </cell>
          <cell r="N402" t="str">
            <v>III</v>
          </cell>
          <cell r="O402" t="str">
            <v>Ligeramente Peligrosos III</v>
          </cell>
          <cell r="P402" t="str">
            <v>Insecticida</v>
          </cell>
          <cell r="Q402" t="str">
            <v>SI</v>
          </cell>
          <cell r="R402">
            <v>0.3</v>
          </cell>
          <cell r="S402"/>
        </row>
        <row r="403">
          <cell r="A403" t="str">
            <v>DIMEPAC</v>
          </cell>
          <cell r="B403" t="str">
            <v>PI128</v>
          </cell>
          <cell r="C403" t="str">
            <v>CC</v>
          </cell>
          <cell r="D403" t="str">
            <v>SI</v>
          </cell>
          <cell r="E403" t="str">
            <v>ACTIVOS REG</v>
          </cell>
          <cell r="F403"/>
          <cell r="G403"/>
          <cell r="H403">
            <v>24</v>
          </cell>
          <cell r="I403" t="str">
            <v>Pulgón</v>
          </cell>
          <cell r="J403">
            <v>0</v>
          </cell>
          <cell r="K403">
            <v>0</v>
          </cell>
          <cell r="L403">
            <v>0</v>
          </cell>
          <cell r="M403" t="str">
            <v>Dimethoate + Xylene</v>
          </cell>
          <cell r="N403" t="str">
            <v>II</v>
          </cell>
          <cell r="O403" t="str">
            <v>Moderadamente Peligrosos II</v>
          </cell>
          <cell r="P403" t="str">
            <v>Insecticida</v>
          </cell>
          <cell r="Q403" t="str">
            <v>SI</v>
          </cell>
          <cell r="R403">
            <v>1</v>
          </cell>
          <cell r="S403"/>
        </row>
        <row r="404">
          <cell r="A404" t="str">
            <v>Diva</v>
          </cell>
          <cell r="B404" t="str">
            <v>PI158</v>
          </cell>
          <cell r="C404" t="str">
            <v>CC</v>
          </cell>
          <cell r="D404" t="str">
            <v>SI</v>
          </cell>
          <cell r="E404" t="str">
            <v>ACTIVOS REG</v>
          </cell>
          <cell r="F404"/>
          <cell r="G404"/>
          <cell r="H404">
            <v>24</v>
          </cell>
          <cell r="I404" t="str">
            <v>Acaros</v>
          </cell>
          <cell r="J404" t="str">
            <v>Minador</v>
          </cell>
          <cell r="K404">
            <v>0</v>
          </cell>
          <cell r="L404">
            <v>0</v>
          </cell>
          <cell r="M404" t="str">
            <v>Abamectina</v>
          </cell>
          <cell r="N404" t="str">
            <v>II</v>
          </cell>
          <cell r="O404" t="str">
            <v>Moderadamente Peligrosos II</v>
          </cell>
          <cell r="P404" t="str">
            <v>Insecticida</v>
          </cell>
          <cell r="Q404" t="str">
            <v>SI</v>
          </cell>
          <cell r="R404">
            <v>0.4</v>
          </cell>
          <cell r="S404"/>
        </row>
        <row r="405">
          <cell r="A405" t="str">
            <v>Flecha</v>
          </cell>
          <cell r="B405" t="str">
            <v>PI156</v>
          </cell>
          <cell r="C405" t="str">
            <v>CC</v>
          </cell>
          <cell r="D405" t="str">
            <v>SI</v>
          </cell>
          <cell r="E405" t="str">
            <v>ACTIVOS REG</v>
          </cell>
          <cell r="F405" t="str">
            <v>Lunes</v>
          </cell>
          <cell r="G405">
            <v>7</v>
          </cell>
          <cell r="H405">
            <v>24</v>
          </cell>
          <cell r="I405" t="str">
            <v>Trips</v>
          </cell>
          <cell r="J405" t="str">
            <v>Minador</v>
          </cell>
          <cell r="K405" t="str">
            <v>Afidos</v>
          </cell>
          <cell r="L405"/>
          <cell r="M405" t="str">
            <v>Diazinon</v>
          </cell>
          <cell r="N405" t="str">
            <v>II</v>
          </cell>
          <cell r="O405" t="str">
            <v>Moderadamente Peligrosos II</v>
          </cell>
          <cell r="P405" t="str">
            <v>Insecticida</v>
          </cell>
          <cell r="Q405" t="str">
            <v>SI</v>
          </cell>
          <cell r="R405">
            <v>1</v>
          </cell>
          <cell r="S405"/>
        </row>
        <row r="406">
          <cell r="A406" t="str">
            <v>Pirestar</v>
          </cell>
          <cell r="B406" t="str">
            <v>PI155</v>
          </cell>
          <cell r="C406" t="str">
            <v>CC</v>
          </cell>
          <cell r="D406" t="str">
            <v>SI</v>
          </cell>
          <cell r="E406" t="str">
            <v>ACTIVOS REG</v>
          </cell>
          <cell r="F406" t="str">
            <v>Martes</v>
          </cell>
          <cell r="G406">
            <v>7</v>
          </cell>
          <cell r="H406">
            <v>24</v>
          </cell>
          <cell r="I406" t="str">
            <v>Minador</v>
          </cell>
          <cell r="J406">
            <v>0</v>
          </cell>
          <cell r="K406">
            <v>0</v>
          </cell>
          <cell r="L406">
            <v>0</v>
          </cell>
          <cell r="M406" t="str">
            <v>Permithrin</v>
          </cell>
          <cell r="N406" t="str">
            <v>II</v>
          </cell>
          <cell r="O406" t="str">
            <v>Moderadamente Peligrosos II</v>
          </cell>
          <cell r="P406" t="str">
            <v>Insecticida</v>
          </cell>
          <cell r="Q406" t="str">
            <v>SI</v>
          </cell>
          <cell r="R406">
            <v>0.8</v>
          </cell>
          <cell r="S406"/>
        </row>
        <row r="407">
          <cell r="A407" t="str">
            <v>Rimon</v>
          </cell>
          <cell r="B407" t="str">
            <v>PI154</v>
          </cell>
          <cell r="C407" t="str">
            <v>GR</v>
          </cell>
          <cell r="D407" t="str">
            <v>SI</v>
          </cell>
          <cell r="E407" t="str">
            <v>ACTIVOS REG</v>
          </cell>
          <cell r="F407" t="str">
            <v>Martes</v>
          </cell>
          <cell r="G407">
            <v>7</v>
          </cell>
          <cell r="H407">
            <v>4</v>
          </cell>
          <cell r="I407" t="str">
            <v>Minador</v>
          </cell>
          <cell r="J407">
            <v>0</v>
          </cell>
          <cell r="K407">
            <v>0</v>
          </cell>
          <cell r="L407">
            <v>0</v>
          </cell>
          <cell r="M407" t="str">
            <v>Novaluron</v>
          </cell>
          <cell r="N407" t="str">
            <v>IV</v>
          </cell>
          <cell r="O407" t="str">
            <v>Categoría IV</v>
          </cell>
          <cell r="P407" t="str">
            <v>Insecticida</v>
          </cell>
          <cell r="Q407" t="str">
            <v>SI</v>
          </cell>
          <cell r="R407">
            <v>0.625</v>
          </cell>
          <cell r="S407"/>
        </row>
        <row r="408">
          <cell r="A408" t="str">
            <v>NOVAK 50</v>
          </cell>
          <cell r="B408" t="str">
            <v>PF177</v>
          </cell>
          <cell r="C408" t="str">
            <v>GR</v>
          </cell>
          <cell r="D408" t="str">
            <v>SI</v>
          </cell>
          <cell r="E408" t="str">
            <v>ACTIVOS REG</v>
          </cell>
          <cell r="F408" t="str">
            <v>Viernes</v>
          </cell>
          <cell r="G408">
            <v>5.5</v>
          </cell>
          <cell r="H408">
            <v>2</v>
          </cell>
          <cell r="I408" t="str">
            <v>Botrytis</v>
          </cell>
          <cell r="J408" t="str">
            <v>Oidium</v>
          </cell>
          <cell r="K408">
            <v>0</v>
          </cell>
          <cell r="L408">
            <v>0</v>
          </cell>
          <cell r="M408" t="str">
            <v>Metil tiofanato</v>
          </cell>
          <cell r="N408" t="str">
            <v>IV</v>
          </cell>
          <cell r="O408" t="str">
            <v>Categoría IV</v>
          </cell>
          <cell r="P408" t="str">
            <v>Fungicida</v>
          </cell>
          <cell r="Q408" t="str">
            <v>SI</v>
          </cell>
          <cell r="R408">
            <v>0.8</v>
          </cell>
          <cell r="S408"/>
        </row>
        <row r="409">
          <cell r="A409" t="str">
            <v>ALBA PAC</v>
          </cell>
          <cell r="B409" t="str">
            <v>FA060</v>
          </cell>
          <cell r="C409" t="str">
            <v>GR</v>
          </cell>
          <cell r="D409" t="str">
            <v>SI</v>
          </cell>
          <cell r="E409" t="str">
            <v>ACTIVOS NO REG</v>
          </cell>
          <cell r="F409"/>
          <cell r="G409"/>
          <cell r="H409"/>
          <cell r="I409"/>
          <cell r="J409"/>
          <cell r="K409"/>
          <cell r="L409"/>
          <cell r="M409" t="str">
            <v>Hidróxido de calcio</v>
          </cell>
          <cell r="N409" t="str">
            <v>IV</v>
          </cell>
          <cell r="O409" t="str">
            <v>Categoría IV</v>
          </cell>
          <cell r="P409" t="str">
            <v>Fertilizante</v>
          </cell>
          <cell r="Q409" t="str">
            <v>NO HAY</v>
          </cell>
          <cell r="R409" t="str">
            <v>-</v>
          </cell>
          <cell r="S409"/>
        </row>
        <row r="410">
          <cell r="A410" t="str">
            <v>DIMILIN</v>
          </cell>
          <cell r="B410"/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>
            <v>0.9</v>
          </cell>
          <cell r="S410"/>
        </row>
        <row r="411">
          <cell r="A411" t="str">
            <v>Citronela</v>
          </cell>
          <cell r="B411" t="str">
            <v>FB997</v>
          </cell>
          <cell r="C411" t="str">
            <v>CC</v>
          </cell>
          <cell r="D411" t="str">
            <v>SI</v>
          </cell>
          <cell r="E411" t="str">
            <v>ACTIVOS NO REG</v>
          </cell>
          <cell r="F411" t="str">
            <v>Miercoles</v>
          </cell>
          <cell r="G411"/>
          <cell r="H411"/>
          <cell r="I411"/>
          <cell r="J411"/>
          <cell r="K411"/>
          <cell r="L411"/>
          <cell r="M411" t="str">
            <v>Estracto de citronela</v>
          </cell>
          <cell r="N411" t="str">
            <v>IV</v>
          </cell>
          <cell r="O411" t="str">
            <v>Categoría IV</v>
          </cell>
          <cell r="P411" t="str">
            <v>Repelente</v>
          </cell>
          <cell r="Q411"/>
          <cell r="R411">
            <v>10</v>
          </cell>
          <cell r="S411"/>
        </row>
        <row r="412">
          <cell r="A412" t="str">
            <v>Paecilomyces</v>
          </cell>
          <cell r="B412" t="str">
            <v>FB996</v>
          </cell>
          <cell r="C412" t="str">
            <v>CC</v>
          </cell>
          <cell r="D412" t="str">
            <v>SI</v>
          </cell>
          <cell r="E412" t="str">
            <v>ACTIVOS NO REG</v>
          </cell>
          <cell r="F412" t="str">
            <v>Viernes</v>
          </cell>
          <cell r="G412"/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 t="str">
            <v>Paecilomyces</v>
          </cell>
          <cell r="N412" t="str">
            <v>IV</v>
          </cell>
          <cell r="O412" t="str">
            <v>Categoría IV</v>
          </cell>
          <cell r="P412" t="str">
            <v>Biologico</v>
          </cell>
          <cell r="Q412"/>
          <cell r="R412">
            <v>2</v>
          </cell>
          <cell r="S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</row>
        <row r="414">
          <cell r="A414" t="str">
            <v>Nitrato de Calcio</v>
          </cell>
          <cell r="B414" t="str">
            <v>FA007</v>
          </cell>
          <cell r="C414" t="str">
            <v>KG</v>
          </cell>
          <cell r="D414" t="str">
            <v>SI</v>
          </cell>
          <cell r="E414" t="str">
            <v>ACTIVOS NO REG</v>
          </cell>
          <cell r="F414"/>
          <cell r="G414"/>
          <cell r="H414"/>
          <cell r="I414"/>
          <cell r="J414"/>
          <cell r="K414"/>
          <cell r="L414"/>
          <cell r="M414" t="str">
            <v>N, Ca</v>
          </cell>
          <cell r="N414" t="str">
            <v>IV</v>
          </cell>
          <cell r="O414" t="str">
            <v>Categoría IV</v>
          </cell>
          <cell r="P414" t="str">
            <v>Fertilizante</v>
          </cell>
          <cell r="Q414"/>
          <cell r="R414">
            <v>0.4</v>
          </cell>
          <cell r="S414"/>
        </row>
        <row r="415">
          <cell r="A415" t="str">
            <v>Sinodafen</v>
          </cell>
          <cell r="B415" t="str">
            <v>PI160</v>
          </cell>
          <cell r="C415" t="str">
            <v>CC</v>
          </cell>
          <cell r="D415" t="str">
            <v>SI</v>
          </cell>
          <cell r="E415" t="str">
            <v>ACTIVOS REG</v>
          </cell>
          <cell r="F415" t="str">
            <v>Martes</v>
          </cell>
          <cell r="G415">
            <v>7</v>
          </cell>
          <cell r="H415">
            <v>4</v>
          </cell>
          <cell r="I415" t="str">
            <v>Acaros</v>
          </cell>
          <cell r="J415" t="str">
            <v>Mosca Blanca</v>
          </cell>
          <cell r="K415" t="str">
            <v>Afidos</v>
          </cell>
          <cell r="L415"/>
          <cell r="M415" t="str">
            <v>DIAFENTIURON</v>
          </cell>
          <cell r="N415" t="str">
            <v>IV</v>
          </cell>
          <cell r="O415" t="str">
            <v>Categoría IV</v>
          </cell>
          <cell r="P415" t="str">
            <v>Insecticida</v>
          </cell>
          <cell r="Q415" t="str">
            <v>SI</v>
          </cell>
          <cell r="R415">
            <v>1.25</v>
          </cell>
          <cell r="S415"/>
        </row>
        <row r="416">
          <cell r="A416" t="str">
            <v>Botriazole</v>
          </cell>
          <cell r="B416" t="str">
            <v>PF178</v>
          </cell>
          <cell r="C416" t="str">
            <v>CC</v>
          </cell>
          <cell r="D416" t="str">
            <v>NO</v>
          </cell>
          <cell r="E416" t="str">
            <v>ACTIVOS REG</v>
          </cell>
          <cell r="F416" t="str">
            <v>Viernes</v>
          </cell>
          <cell r="G416">
            <v>6</v>
          </cell>
          <cell r="H416">
            <v>6</v>
          </cell>
          <cell r="I416" t="str">
            <v>Botrytis</v>
          </cell>
          <cell r="J416">
            <v>0</v>
          </cell>
          <cell r="K416">
            <v>0</v>
          </cell>
          <cell r="L416">
            <v>0</v>
          </cell>
          <cell r="M416" t="str">
            <v>Procloras</v>
          </cell>
          <cell r="N416" t="str">
            <v>III</v>
          </cell>
          <cell r="O416" t="str">
            <v>Ligeramente Peligrosos III</v>
          </cell>
          <cell r="P416" t="str">
            <v>Fungicida</v>
          </cell>
          <cell r="Q416" t="str">
            <v>SI</v>
          </cell>
          <cell r="R416">
            <v>1</v>
          </cell>
          <cell r="S416"/>
        </row>
        <row r="417">
          <cell r="A417" t="str">
            <v>Premio</v>
          </cell>
          <cell r="B417" t="str">
            <v>PI161</v>
          </cell>
          <cell r="C417" t="str">
            <v>CC</v>
          </cell>
          <cell r="D417" t="str">
            <v>SI</v>
          </cell>
          <cell r="E417"/>
          <cell r="F417"/>
          <cell r="G417"/>
          <cell r="H417">
            <v>12</v>
          </cell>
          <cell r="I417" t="str">
            <v>Larvas Minador</v>
          </cell>
          <cell r="J417" t="str">
            <v>Larvas Trips</v>
          </cell>
          <cell r="K417"/>
          <cell r="L417"/>
          <cell r="M417" t="str">
            <v>Chlorantranilipole</v>
          </cell>
          <cell r="N417" t="str">
            <v>III</v>
          </cell>
          <cell r="O417" t="str">
            <v>Ligeramente Peligrosos III</v>
          </cell>
          <cell r="P417" t="str">
            <v>Insecticida</v>
          </cell>
          <cell r="Q417" t="str">
            <v>SI</v>
          </cell>
          <cell r="R417">
            <v>0.2</v>
          </cell>
          <cell r="S417" t="str">
            <v>3 a 30 días</v>
          </cell>
        </row>
        <row r="418">
          <cell r="A418" t="str">
            <v>Metalozato multimineral</v>
          </cell>
          <cell r="B418" t="str">
            <v>FB098</v>
          </cell>
          <cell r="C418" t="str">
            <v>CC</v>
          </cell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>
            <v>1</v>
          </cell>
          <cell r="S418"/>
        </row>
        <row r="419">
          <cell r="A419" t="str">
            <v>Skemata</v>
          </cell>
          <cell r="B419" t="str">
            <v>PI014</v>
          </cell>
          <cell r="C419" t="str">
            <v>CC</v>
          </cell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>
            <v>0.8</v>
          </cell>
          <cell r="S419"/>
        </row>
        <row r="420">
          <cell r="A420" t="str">
            <v>Acaramix</v>
          </cell>
          <cell r="B420" t="str">
            <v>PI162</v>
          </cell>
          <cell r="C420" t="str">
            <v>CC</v>
          </cell>
          <cell r="D420"/>
          <cell r="E420"/>
          <cell r="F420"/>
          <cell r="G420"/>
          <cell r="H420"/>
          <cell r="I420" t="str">
            <v>Acaros</v>
          </cell>
          <cell r="J420" t="str">
            <v>Minador</v>
          </cell>
          <cell r="K420"/>
          <cell r="L420"/>
          <cell r="M420" t="str">
            <v>ABAMECTINA</v>
          </cell>
          <cell r="N420" t="str">
            <v>II</v>
          </cell>
          <cell r="O420" t="str">
            <v>Moderadamente Peligrosos II</v>
          </cell>
          <cell r="P420" t="str">
            <v>Insecticida</v>
          </cell>
          <cell r="Q420" t="str">
            <v>SI</v>
          </cell>
          <cell r="R420">
            <v>0.8</v>
          </cell>
          <cell r="S420"/>
        </row>
        <row r="421">
          <cell r="A421" t="str">
            <v>NITRATO DE POTASIO</v>
          </cell>
          <cell r="B421" t="str">
            <v>FA004</v>
          </cell>
          <cell r="C421" t="str">
            <v>KG</v>
          </cell>
          <cell r="D421" t="str">
            <v>SI</v>
          </cell>
          <cell r="E421" t="str">
            <v>ACTIVOS NO REG</v>
          </cell>
          <cell r="F421"/>
          <cell r="G421"/>
          <cell r="H421"/>
          <cell r="I421"/>
          <cell r="J421"/>
          <cell r="K421"/>
          <cell r="L421"/>
          <cell r="M421"/>
          <cell r="N421" t="str">
            <v>IV</v>
          </cell>
          <cell r="O421" t="str">
            <v>Categoría IV</v>
          </cell>
          <cell r="P421" t="str">
            <v>Fertilizante</v>
          </cell>
          <cell r="Q421"/>
          <cell r="R421" t="str">
            <v>-</v>
          </cell>
          <cell r="S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</row>
        <row r="423">
          <cell r="A423" t="str">
            <v>Metalozato de calcio</v>
          </cell>
          <cell r="B423" t="str">
            <v>FB093</v>
          </cell>
          <cell r="C423"/>
          <cell r="D423" t="str">
            <v>SI</v>
          </cell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>
            <v>1</v>
          </cell>
          <cell r="S423"/>
        </row>
        <row r="424">
          <cell r="A424" t="str">
            <v>Tracking Ca-B</v>
          </cell>
          <cell r="B424" t="str">
            <v>FB092</v>
          </cell>
          <cell r="C424" t="str">
            <v>CC</v>
          </cell>
          <cell r="D424" t="str">
            <v>SI</v>
          </cell>
          <cell r="E424" t="str">
            <v>ACTIVOS REG</v>
          </cell>
          <cell r="F424" t="str">
            <v>Miercoles</v>
          </cell>
          <cell r="G424"/>
          <cell r="H424"/>
          <cell r="I424"/>
          <cell r="J424"/>
          <cell r="K424"/>
          <cell r="L424"/>
          <cell r="M424" t="str">
            <v>Ca, B</v>
          </cell>
          <cell r="N424" t="str">
            <v>IV</v>
          </cell>
          <cell r="O424" t="str">
            <v>Categoría IV</v>
          </cell>
          <cell r="P424" t="str">
            <v>Bioestimulante</v>
          </cell>
          <cell r="Q424"/>
          <cell r="R424">
            <v>0.4</v>
          </cell>
          <cell r="S424"/>
        </row>
        <row r="425">
          <cell r="A425" t="str">
            <v>KANEMITE 15 SC</v>
          </cell>
          <cell r="B425" t="str">
            <v>PI122</v>
          </cell>
          <cell r="C425"/>
          <cell r="D425" t="str">
            <v>SI</v>
          </cell>
          <cell r="E425"/>
          <cell r="F425"/>
          <cell r="G425"/>
          <cell r="H425"/>
          <cell r="I425"/>
          <cell r="J425"/>
          <cell r="K425"/>
          <cell r="L425"/>
          <cell r="M425" t="str">
            <v>Acequinocyl (3 docecyl-1,4 dihydro-1,4-dioxo-2-naphtayl-acetate</v>
          </cell>
          <cell r="N425"/>
          <cell r="O425"/>
          <cell r="P425"/>
          <cell r="Q425"/>
          <cell r="R425">
            <v>0.6</v>
          </cell>
          <cell r="S425"/>
        </row>
        <row r="426">
          <cell r="A426" t="str">
            <v>Movento</v>
          </cell>
          <cell r="B426" t="str">
            <v>PI169</v>
          </cell>
          <cell r="C426" t="str">
            <v>CC</v>
          </cell>
          <cell r="D426" t="str">
            <v>SI</v>
          </cell>
          <cell r="E426"/>
          <cell r="F426"/>
          <cell r="G426"/>
          <cell r="H426"/>
          <cell r="I426"/>
          <cell r="J426"/>
          <cell r="K426"/>
          <cell r="L426"/>
          <cell r="M426" t="str">
            <v>Thiacloprid_Spirotetramat</v>
          </cell>
          <cell r="N426"/>
          <cell r="O426"/>
          <cell r="P426"/>
          <cell r="Q426"/>
          <cell r="R426">
            <v>1</v>
          </cell>
          <cell r="S426"/>
        </row>
        <row r="427">
          <cell r="A427" t="str">
            <v>Sivanto</v>
          </cell>
          <cell r="B427" t="str">
            <v>PI166</v>
          </cell>
          <cell r="C427" t="str">
            <v>CC</v>
          </cell>
          <cell r="D427" t="str">
            <v>SI</v>
          </cell>
          <cell r="E427"/>
          <cell r="F427"/>
          <cell r="G427"/>
          <cell r="H427"/>
          <cell r="I427"/>
          <cell r="J427"/>
          <cell r="K427"/>
          <cell r="L427"/>
          <cell r="M427" t="str">
            <v>FLUPYRADIFURONE</v>
          </cell>
          <cell r="N427"/>
          <cell r="O427"/>
          <cell r="P427"/>
          <cell r="Q427"/>
          <cell r="R427">
            <v>0.8</v>
          </cell>
          <cell r="S427"/>
        </row>
        <row r="428">
          <cell r="A428" t="str">
            <v>Acierto</v>
          </cell>
          <cell r="B428"/>
          <cell r="C428" t="str">
            <v>GR</v>
          </cell>
          <cell r="D428" t="str">
            <v>NO</v>
          </cell>
          <cell r="E428" t="str">
            <v>ACTIVOS REG</v>
          </cell>
          <cell r="F428" t="str">
            <v>Viernes</v>
          </cell>
          <cell r="G428">
            <v>5.5</v>
          </cell>
          <cell r="H428">
            <v>6</v>
          </cell>
          <cell r="I428" t="str">
            <v>Peronóspora</v>
          </cell>
          <cell r="J428">
            <v>0</v>
          </cell>
          <cell r="K428">
            <v>0</v>
          </cell>
          <cell r="L428">
            <v>0</v>
          </cell>
          <cell r="M428"/>
          <cell r="N428"/>
          <cell r="O428"/>
          <cell r="P428" t="str">
            <v>Fungicida</v>
          </cell>
          <cell r="Q428" t="str">
            <v>SI</v>
          </cell>
          <cell r="R428">
            <v>2</v>
          </cell>
          <cell r="S428"/>
        </row>
        <row r="429">
          <cell r="A429" t="str">
            <v>ULTRASOL HIERRO</v>
          </cell>
          <cell r="B429" t="str">
            <v>FB101</v>
          </cell>
          <cell r="C429" t="str">
            <v>GR</v>
          </cell>
          <cell r="D429" t="str">
            <v>SI</v>
          </cell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</row>
        <row r="431">
          <cell r="A431" t="str">
            <v>ELMUS</v>
          </cell>
          <cell r="B431"/>
          <cell r="C431" t="str">
            <v>CC</v>
          </cell>
          <cell r="D431" t="str">
            <v>SI</v>
          </cell>
          <cell r="E431"/>
          <cell r="F431"/>
          <cell r="G431">
            <v>7</v>
          </cell>
          <cell r="H431"/>
          <cell r="I431"/>
          <cell r="J431"/>
          <cell r="K431"/>
          <cell r="L431"/>
          <cell r="M431" t="str">
            <v>Fluxapiroxad</v>
          </cell>
          <cell r="N431"/>
          <cell r="O431"/>
          <cell r="P431"/>
          <cell r="Q431"/>
          <cell r="R431"/>
          <cell r="S431"/>
        </row>
        <row r="432">
          <cell r="A432" t="str">
            <v>ELMUS</v>
          </cell>
          <cell r="B432"/>
          <cell r="C432" t="str">
            <v>CC</v>
          </cell>
          <cell r="D432" t="str">
            <v>SI</v>
          </cell>
          <cell r="E432"/>
          <cell r="F432"/>
          <cell r="G432">
            <v>7</v>
          </cell>
          <cell r="H432"/>
          <cell r="I432"/>
          <cell r="J432"/>
          <cell r="K432"/>
          <cell r="L432"/>
          <cell r="M432" t="str">
            <v>Piraclostrobina</v>
          </cell>
          <cell r="N432"/>
          <cell r="O432"/>
          <cell r="P432"/>
          <cell r="Q432"/>
          <cell r="R432"/>
          <cell r="S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</row>
        <row r="434">
          <cell r="A434" t="str">
            <v>Muriato de k blanco</v>
          </cell>
          <cell r="B434" t="str">
            <v>FA065</v>
          </cell>
          <cell r="C434" t="str">
            <v>GR</v>
          </cell>
          <cell r="D434"/>
          <cell r="E434"/>
          <cell r="F434"/>
          <cell r="G434"/>
          <cell r="H434"/>
          <cell r="I434"/>
          <cell r="J434"/>
          <cell r="K434"/>
          <cell r="L434"/>
          <cell r="M434" t="str">
            <v>Cloruro de potasio</v>
          </cell>
          <cell r="N434"/>
          <cell r="O434"/>
          <cell r="P434"/>
          <cell r="Q434"/>
          <cell r="R434"/>
          <cell r="S434"/>
        </row>
        <row r="435">
          <cell r="A435" t="str">
            <v>Novak / Sportak</v>
          </cell>
          <cell r="B435" t="str">
            <v>PF066</v>
          </cell>
          <cell r="C435" t="str">
            <v>GR</v>
          </cell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</row>
        <row r="451">
          <cell r="A451" t="str">
            <v>X</v>
          </cell>
          <cell r="B451" t="str">
            <v>X</v>
          </cell>
          <cell r="C451" t="str">
            <v>X</v>
          </cell>
          <cell r="D451" t="str">
            <v>X</v>
          </cell>
          <cell r="E451" t="str">
            <v>X</v>
          </cell>
          <cell r="F451" t="str">
            <v>X</v>
          </cell>
          <cell r="G451" t="str">
            <v>X</v>
          </cell>
          <cell r="H451" t="str">
            <v>X</v>
          </cell>
          <cell r="I451" t="str">
            <v>X</v>
          </cell>
          <cell r="J451" t="str">
            <v>X</v>
          </cell>
          <cell r="K451" t="str">
            <v>X</v>
          </cell>
          <cell r="L451" t="str">
            <v>X</v>
          </cell>
          <cell r="M451" t="str">
            <v>X</v>
          </cell>
          <cell r="N451" t="str">
            <v>X</v>
          </cell>
          <cell r="O451" t="str">
            <v>X</v>
          </cell>
          <cell r="P451" t="str">
            <v>X</v>
          </cell>
          <cell r="Q451" t="str">
            <v>X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rmacion"/>
      <sheetName val="Hoja1"/>
    </sheetNames>
    <sheetDataSet>
      <sheetData sheetId="0"/>
      <sheetData sheetId="1">
        <row r="3">
          <cell r="B3" t="str">
            <v>Etiquetas de fila</v>
          </cell>
          <cell r="C3" t="str">
            <v>Ancho de camino.</v>
          </cell>
          <cell r="D3" t="str">
            <v>Ancho de cama-</v>
          </cell>
          <cell r="E3" t="str">
            <v>Camas de 30 m2</v>
          </cell>
          <cell r="F3" t="str">
            <v xml:space="preserve">camas de 30m </v>
          </cell>
          <cell r="G3" t="str">
            <v xml:space="preserve"> Plantas </v>
          </cell>
          <cell r="H3" t="str">
            <v>Ajuste.</v>
          </cell>
          <cell r="I3" t="str">
            <v>Plantas Ajustadas.</v>
          </cell>
          <cell r="J3" t="str">
            <v xml:space="preserve">PLANTAS/ CAMA 30M </v>
          </cell>
          <cell r="K3" t="str">
            <v>Metros 2</v>
          </cell>
        </row>
        <row r="4">
          <cell r="B4">
            <v>1</v>
          </cell>
          <cell r="C4">
            <v>0.48864864864864888</v>
          </cell>
          <cell r="D4">
            <v>1.1000000000000008</v>
          </cell>
          <cell r="E4">
            <v>39.628233333333306</v>
          </cell>
          <cell r="F4">
            <v>36.025666666666666</v>
          </cell>
          <cell r="G4">
            <v>59442.350000000035</v>
          </cell>
          <cell r="H4"/>
          <cell r="I4">
            <v>59442.350000000035</v>
          </cell>
          <cell r="J4">
            <v>1650</v>
          </cell>
          <cell r="K4">
            <v>1716.9637999999993</v>
          </cell>
        </row>
        <row r="5">
          <cell r="B5">
            <v>2</v>
          </cell>
          <cell r="C5">
            <v>0.51046511627906932</v>
          </cell>
          <cell r="D5">
            <v>0.89999999999999925</v>
          </cell>
          <cell r="E5">
            <v>38.132400000000025</v>
          </cell>
          <cell r="F5">
            <v>42.369333333333365</v>
          </cell>
          <cell r="G5">
            <v>58639.157333333293</v>
          </cell>
          <cell r="H5"/>
          <cell r="I5">
            <v>58639.157333333293</v>
          </cell>
          <cell r="J5">
            <v>1384</v>
          </cell>
          <cell r="K5">
            <v>1792.8139999999987</v>
          </cell>
        </row>
        <row r="6">
          <cell r="B6">
            <v>3</v>
          </cell>
          <cell r="C6">
            <v>0.48930232558139514</v>
          </cell>
          <cell r="D6">
            <v>0.89999999999999925</v>
          </cell>
          <cell r="E6">
            <v>36.627300000000012</v>
          </cell>
          <cell r="F6">
            <v>40.696999999999996</v>
          </cell>
          <cell r="G6">
            <v>56324.64800000003</v>
          </cell>
          <cell r="H6"/>
          <cell r="I6">
            <v>56324.64800000003</v>
          </cell>
          <cell r="J6">
            <v>1384</v>
          </cell>
          <cell r="K6">
            <v>1696.2131023255808</v>
          </cell>
        </row>
        <row r="7">
          <cell r="B7">
            <v>4</v>
          </cell>
          <cell r="C7">
            <v>0.44764705882352918</v>
          </cell>
          <cell r="D7">
            <v>0.94999999999999951</v>
          </cell>
          <cell r="E7">
            <v>31.330999999999968</v>
          </cell>
          <cell r="F7">
            <v>32.97999999999999</v>
          </cell>
          <cell r="G7">
            <v>49470.000000000007</v>
          </cell>
          <cell r="H7"/>
          <cell r="I7">
            <v>49470.000000000007</v>
          </cell>
          <cell r="J7">
            <v>1500</v>
          </cell>
          <cell r="K7">
            <v>1382.8320000000008</v>
          </cell>
        </row>
        <row r="8">
          <cell r="B8">
            <v>5</v>
          </cell>
          <cell r="C8">
            <v>0.44324324324324321</v>
          </cell>
          <cell r="D8">
            <v>0.94999999999999973</v>
          </cell>
          <cell r="E8">
            <v>33.287050000000015</v>
          </cell>
          <cell r="F8">
            <v>35.038999999999987</v>
          </cell>
          <cell r="G8">
            <v>52558.5</v>
          </cell>
          <cell r="H8">
            <v>757.98199999999974</v>
          </cell>
          <cell r="I8">
            <v>51800.518000000004</v>
          </cell>
          <cell r="J8">
            <v>1500</v>
          </cell>
          <cell r="K8">
            <v>1464.5354999999993</v>
          </cell>
        </row>
        <row r="9">
          <cell r="B9">
            <v>6</v>
          </cell>
          <cell r="C9">
            <v>0.43361111111111095</v>
          </cell>
          <cell r="D9">
            <v>0.94999999999999973</v>
          </cell>
          <cell r="E9">
            <v>32.954233333333342</v>
          </cell>
          <cell r="F9">
            <v>34.688666666666656</v>
          </cell>
          <cell r="G9">
            <v>52033</v>
          </cell>
          <cell r="H9"/>
          <cell r="I9">
            <v>52033</v>
          </cell>
          <cell r="J9">
            <v>1500</v>
          </cell>
          <cell r="K9">
            <v>1439.8687388888884</v>
          </cell>
        </row>
        <row r="10">
          <cell r="B10">
            <v>7</v>
          </cell>
          <cell r="C10">
            <v>0.51595238095238105</v>
          </cell>
          <cell r="D10">
            <v>0.95000000000000018</v>
          </cell>
          <cell r="E10">
            <v>38.410400000000017</v>
          </cell>
          <cell r="F10">
            <v>40.432000000000002</v>
          </cell>
          <cell r="G10">
            <v>60648</v>
          </cell>
          <cell r="H10"/>
          <cell r="I10">
            <v>60648</v>
          </cell>
          <cell r="J10">
            <v>1500</v>
          </cell>
          <cell r="K10">
            <v>1778.1415999999995</v>
          </cell>
        </row>
        <row r="11">
          <cell r="B11">
            <v>8</v>
          </cell>
          <cell r="C11">
            <v>0.44999999999999962</v>
          </cell>
          <cell r="D11">
            <v>0.95000000000000029</v>
          </cell>
          <cell r="E11">
            <v>40.90826666666667</v>
          </cell>
          <cell r="F11">
            <v>43.061333333333344</v>
          </cell>
          <cell r="G11">
            <v>64592</v>
          </cell>
          <cell r="H11"/>
          <cell r="I11">
            <v>64592</v>
          </cell>
          <cell r="J11">
            <v>1500</v>
          </cell>
          <cell r="K11">
            <v>1808.5760000000012</v>
          </cell>
        </row>
        <row r="12">
          <cell r="B12">
            <v>9</v>
          </cell>
          <cell r="C12">
            <v>0.45590909090909149</v>
          </cell>
          <cell r="D12">
            <v>0.95000000000000018</v>
          </cell>
          <cell r="E12">
            <v>39.519683333333326</v>
          </cell>
          <cell r="F12">
            <v>41.599666666666671</v>
          </cell>
          <cell r="G12">
            <v>62399.5</v>
          </cell>
          <cell r="H12">
            <v>1044.96</v>
          </cell>
          <cell r="I12">
            <v>61354.54</v>
          </cell>
          <cell r="J12">
            <v>1500</v>
          </cell>
          <cell r="K12">
            <v>1754.560486363637</v>
          </cell>
        </row>
        <row r="13">
          <cell r="B13">
            <v>10</v>
          </cell>
          <cell r="C13">
            <v>0.48763157894736853</v>
          </cell>
          <cell r="D13">
            <v>1.1000000000000008</v>
          </cell>
          <cell r="E13">
            <v>39.970333333333322</v>
          </cell>
          <cell r="F13">
            <v>36.336666666666666</v>
          </cell>
          <cell r="G13">
            <v>59955.499999999964</v>
          </cell>
          <cell r="H13">
            <v>1773.9919999999991</v>
          </cell>
          <cell r="I13">
            <v>58181.507999999965</v>
          </cell>
          <cell r="J13">
            <v>1650</v>
          </cell>
          <cell r="K13">
            <v>1730.6771842105275</v>
          </cell>
        </row>
        <row r="14">
          <cell r="B14">
            <v>11</v>
          </cell>
          <cell r="C14">
            <v>0.44452380952380965</v>
          </cell>
          <cell r="D14">
            <v>0.95000000000000018</v>
          </cell>
          <cell r="E14">
            <v>38.554166666666617</v>
          </cell>
          <cell r="F14">
            <v>40.58333333333335</v>
          </cell>
          <cell r="G14">
            <v>60875</v>
          </cell>
          <cell r="H14"/>
          <cell r="I14">
            <v>60875</v>
          </cell>
          <cell r="J14">
            <v>1500</v>
          </cell>
          <cell r="K14">
            <v>1697.8327380952387</v>
          </cell>
        </row>
        <row r="15">
          <cell r="B15">
            <v>12</v>
          </cell>
          <cell r="C15">
            <v>0.43045454545454509</v>
          </cell>
          <cell r="D15">
            <v>0.89999999999999925</v>
          </cell>
          <cell r="E15">
            <v>39.146699999999996</v>
          </cell>
          <cell r="F15">
            <v>43.496333333333347</v>
          </cell>
          <cell r="G15">
            <v>60198.925333333296</v>
          </cell>
          <cell r="H15"/>
          <cell r="I15">
            <v>60198.925333333296</v>
          </cell>
          <cell r="J15">
            <v>1384</v>
          </cell>
          <cell r="K15">
            <v>1736.0968318181833</v>
          </cell>
        </row>
        <row r="16">
          <cell r="B16">
            <v>13</v>
          </cell>
          <cell r="C16">
            <v>0.49862745098039252</v>
          </cell>
          <cell r="D16">
            <v>0.89999999999999913</v>
          </cell>
          <cell r="E16">
            <v>33.110400000000006</v>
          </cell>
          <cell r="F16">
            <v>36.789333333333339</v>
          </cell>
          <cell r="G16">
            <v>50916.437333333335</v>
          </cell>
          <cell r="H16"/>
          <cell r="I16">
            <v>50916.437333333335</v>
          </cell>
          <cell r="J16">
            <v>1384</v>
          </cell>
          <cell r="K16">
            <v>1543.6371450980391</v>
          </cell>
        </row>
        <row r="17">
          <cell r="B17">
            <v>14</v>
          </cell>
          <cell r="C17">
            <v>0.44837209302325587</v>
          </cell>
          <cell r="D17">
            <v>0.95000000000000007</v>
          </cell>
          <cell r="E17">
            <v>39.599166666666662</v>
          </cell>
          <cell r="F17">
            <v>41.683333333333302</v>
          </cell>
          <cell r="G17">
            <v>62525</v>
          </cell>
          <cell r="H17"/>
          <cell r="I17">
            <v>62525</v>
          </cell>
          <cell r="J17">
            <v>1500</v>
          </cell>
          <cell r="K17">
            <v>1748.664302325582</v>
          </cell>
        </row>
        <row r="18">
          <cell r="B18">
            <v>15</v>
          </cell>
          <cell r="C18">
            <v>0.5191891891891891</v>
          </cell>
          <cell r="D18">
            <v>1.1000000000000008</v>
          </cell>
          <cell r="E18">
            <v>39.546833333333325</v>
          </cell>
          <cell r="F18">
            <v>35.951666666666661</v>
          </cell>
          <cell r="G18">
            <v>59320.249999999993</v>
          </cell>
          <cell r="H18">
            <v>90.999650000000003</v>
          </cell>
          <cell r="I18">
            <v>59229.250349999995</v>
          </cell>
          <cell r="J18">
            <v>1650</v>
          </cell>
          <cell r="K18">
            <v>1746.3765000000008</v>
          </cell>
        </row>
        <row r="19">
          <cell r="B19">
            <v>16</v>
          </cell>
          <cell r="C19">
            <v>0.52162162162162173</v>
          </cell>
          <cell r="D19">
            <v>1.1000000000000008</v>
          </cell>
          <cell r="E19">
            <v>40.747483333333356</v>
          </cell>
          <cell r="F19">
            <v>37.043166666666679</v>
          </cell>
          <cell r="G19">
            <v>61121.225000000042</v>
          </cell>
          <cell r="H19"/>
          <cell r="I19">
            <v>61121.225000000042</v>
          </cell>
          <cell r="J19">
            <v>1650</v>
          </cell>
          <cell r="K19">
            <v>1802.0999999999992</v>
          </cell>
        </row>
        <row r="20">
          <cell r="B20">
            <v>17</v>
          </cell>
          <cell r="C20">
            <v>0.41976744186046494</v>
          </cell>
          <cell r="D20">
            <v>0.95000000000000018</v>
          </cell>
          <cell r="E20">
            <v>40.564050000000002</v>
          </cell>
          <cell r="F20">
            <v>42.699000000000005</v>
          </cell>
          <cell r="G20">
            <v>64048.5</v>
          </cell>
          <cell r="H20"/>
          <cell r="I20">
            <v>64048.5</v>
          </cell>
          <cell r="J20">
            <v>1500</v>
          </cell>
          <cell r="K20">
            <v>1754.6309999999983</v>
          </cell>
        </row>
        <row r="21">
          <cell r="B21">
            <v>18</v>
          </cell>
          <cell r="C21">
            <v>0.44795454545454549</v>
          </cell>
          <cell r="D21">
            <v>0.95000000000000029</v>
          </cell>
          <cell r="E21">
            <v>41.32626666666669</v>
          </cell>
          <cell r="F21">
            <v>43.501333333333342</v>
          </cell>
          <cell r="G21">
            <v>65252</v>
          </cell>
          <cell r="H21"/>
          <cell r="I21">
            <v>65252</v>
          </cell>
          <cell r="J21">
            <v>1500</v>
          </cell>
          <cell r="K21">
            <v>1824.3866</v>
          </cell>
        </row>
        <row r="22">
          <cell r="B22">
            <v>19</v>
          </cell>
          <cell r="C22">
            <v>0.44704545454545436</v>
          </cell>
          <cell r="D22">
            <v>0.95000000000000029</v>
          </cell>
          <cell r="E22">
            <v>40.845566666666677</v>
          </cell>
          <cell r="F22">
            <v>42.995333333333349</v>
          </cell>
          <cell r="G22">
            <v>64493</v>
          </cell>
          <cell r="H22"/>
          <cell r="I22">
            <v>64493</v>
          </cell>
          <cell r="J22">
            <v>1500</v>
          </cell>
          <cell r="K22">
            <v>1801.9930499999996</v>
          </cell>
        </row>
        <row r="23">
          <cell r="B23">
            <v>20</v>
          </cell>
          <cell r="C23">
            <v>0.4502272727272722</v>
          </cell>
          <cell r="D23">
            <v>0.95000000000000029</v>
          </cell>
          <cell r="E23">
            <v>41.312333333333314</v>
          </cell>
          <cell r="F23">
            <v>43.486666666666622</v>
          </cell>
          <cell r="G23">
            <v>65230</v>
          </cell>
          <cell r="H23"/>
          <cell r="I23">
            <v>65230</v>
          </cell>
          <cell r="J23">
            <v>1500</v>
          </cell>
          <cell r="K23">
            <v>1826.7365000000007</v>
          </cell>
        </row>
        <row r="24">
          <cell r="B24">
            <v>21</v>
          </cell>
          <cell r="C24">
            <v>0.5</v>
          </cell>
          <cell r="D24">
            <v>1.1000000000000005</v>
          </cell>
          <cell r="E24">
            <v>14.520907446550636</v>
          </cell>
          <cell r="F24">
            <v>13.20082495140967</v>
          </cell>
          <cell r="G24">
            <v>21781.361169825948</v>
          </cell>
          <cell r="H24">
            <v>185.98799999999994</v>
          </cell>
          <cell r="I24">
            <v>21595.373169825947</v>
          </cell>
          <cell r="J24">
            <v>1650</v>
          </cell>
          <cell r="K24">
            <v>633.63959766766391</v>
          </cell>
        </row>
        <row r="25">
          <cell r="B25">
            <v>22</v>
          </cell>
          <cell r="C25">
            <v>0.4868108108108109</v>
          </cell>
          <cell r="D25">
            <v>1.1000000000000005</v>
          </cell>
          <cell r="E25">
            <v>39.072000000000003</v>
          </cell>
          <cell r="F25">
            <v>35.52000000000001</v>
          </cell>
          <cell r="G25">
            <v>58608</v>
          </cell>
          <cell r="H25"/>
          <cell r="I25">
            <v>58608</v>
          </cell>
          <cell r="J25">
            <v>1650</v>
          </cell>
          <cell r="K25">
            <v>1690.9055999999987</v>
          </cell>
        </row>
        <row r="26">
          <cell r="B26">
            <v>23</v>
          </cell>
          <cell r="C26">
            <v>0.45023809523809533</v>
          </cell>
          <cell r="D26">
            <v>0.95000000000000018</v>
          </cell>
          <cell r="E26">
            <v>38.975649999999987</v>
          </cell>
          <cell r="F26">
            <v>41.026999999999958</v>
          </cell>
          <cell r="G26">
            <v>61540.5</v>
          </cell>
          <cell r="H26">
            <v>1239.8399999999995</v>
          </cell>
          <cell r="I26">
            <v>60300.66</v>
          </cell>
          <cell r="J26">
            <v>1500</v>
          </cell>
          <cell r="K26">
            <v>1723.4270499999996</v>
          </cell>
        </row>
        <row r="27">
          <cell r="B27">
            <v>24</v>
          </cell>
          <cell r="C27">
            <v>0.50395348837209297</v>
          </cell>
          <cell r="D27">
            <v>0.89999999999999925</v>
          </cell>
          <cell r="E27">
            <v>38.887050000000031</v>
          </cell>
          <cell r="F27">
            <v>43.207833333333312</v>
          </cell>
          <cell r="G27">
            <v>59799.641333333362</v>
          </cell>
          <cell r="H27"/>
          <cell r="I27">
            <v>59799.641333333362</v>
          </cell>
          <cell r="J27">
            <v>1384</v>
          </cell>
          <cell r="K27">
            <v>1819.8536500000007</v>
          </cell>
        </row>
        <row r="28">
          <cell r="B28">
            <v>25</v>
          </cell>
          <cell r="C28">
            <v>0.44414634146341447</v>
          </cell>
          <cell r="D28">
            <v>0.95000000000000007</v>
          </cell>
          <cell r="E28">
            <v>38.235283333333349</v>
          </cell>
          <cell r="F28">
            <v>40.247666666666653</v>
          </cell>
          <cell r="G28">
            <v>60371.5</v>
          </cell>
          <cell r="H28">
            <v>1193.9199999999994</v>
          </cell>
          <cell r="I28">
            <v>59177.58</v>
          </cell>
          <cell r="J28">
            <v>1500</v>
          </cell>
          <cell r="K28">
            <v>1683.3341170731701</v>
          </cell>
        </row>
        <row r="29">
          <cell r="B29">
            <v>26</v>
          </cell>
          <cell r="C29">
            <v>0.4490243902439025</v>
          </cell>
          <cell r="D29">
            <v>0.95000000000000007</v>
          </cell>
          <cell r="E29">
            <v>38.924033333333334</v>
          </cell>
          <cell r="F29">
            <v>40.972666666666669</v>
          </cell>
          <cell r="G29">
            <v>61459</v>
          </cell>
          <cell r="H29"/>
          <cell r="I29">
            <v>61459</v>
          </cell>
          <cell r="J29">
            <v>1500</v>
          </cell>
          <cell r="K29">
            <v>1719.6528000000008</v>
          </cell>
        </row>
        <row r="30">
          <cell r="B30">
            <v>27</v>
          </cell>
          <cell r="C30">
            <v>0.44</v>
          </cell>
          <cell r="D30">
            <v>0.95000000000000007</v>
          </cell>
          <cell r="E30">
            <v>37.951550000000019</v>
          </cell>
          <cell r="F30">
            <v>39.948999999999977</v>
          </cell>
          <cell r="G30">
            <v>59923.5</v>
          </cell>
          <cell r="H30"/>
          <cell r="I30">
            <v>59923.5</v>
          </cell>
          <cell r="J30">
            <v>1500</v>
          </cell>
          <cell r="K30">
            <v>1665.8733</v>
          </cell>
        </row>
        <row r="31">
          <cell r="B31">
            <v>28</v>
          </cell>
          <cell r="C31">
            <v>0.43536585365853653</v>
          </cell>
          <cell r="D31">
            <v>0.95000000000000007</v>
          </cell>
          <cell r="E31">
            <v>38.177491666666661</v>
          </cell>
          <cell r="F31">
            <v>40.18683333333334</v>
          </cell>
          <cell r="G31">
            <v>60280.25</v>
          </cell>
          <cell r="H31"/>
          <cell r="I31">
            <v>60280.25</v>
          </cell>
          <cell r="J31">
            <v>1500</v>
          </cell>
          <cell r="K31">
            <v>1670.203999999999</v>
          </cell>
        </row>
        <row r="32">
          <cell r="B32">
            <v>29</v>
          </cell>
          <cell r="C32">
            <v>0.48000000000000032</v>
          </cell>
          <cell r="D32">
            <v>0.94999999999999984</v>
          </cell>
          <cell r="E32">
            <v>28.650099999999998</v>
          </cell>
          <cell r="F32">
            <v>30.158000000000005</v>
          </cell>
          <cell r="G32">
            <v>45237</v>
          </cell>
          <cell r="H32"/>
          <cell r="I32">
            <v>45237</v>
          </cell>
          <cell r="J32">
            <v>1500</v>
          </cell>
          <cell r="K32">
            <v>1293.7782</v>
          </cell>
        </row>
        <row r="33">
          <cell r="B33">
            <v>59</v>
          </cell>
          <cell r="C33">
            <v>0.4</v>
          </cell>
          <cell r="D33">
            <v>1</v>
          </cell>
          <cell r="E33">
            <v>43.604999999999976</v>
          </cell>
          <cell r="F33">
            <v>43.604999999999976</v>
          </cell>
          <cell r="G33">
            <v>65407.5</v>
          </cell>
          <cell r="H33"/>
          <cell r="I33">
            <v>65407.5</v>
          </cell>
          <cell r="J33">
            <v>1500</v>
          </cell>
          <cell r="K33">
            <v>1831.4100000000003</v>
          </cell>
        </row>
        <row r="34">
          <cell r="B34">
            <v>61</v>
          </cell>
          <cell r="C34">
            <v>0.5071186440677965</v>
          </cell>
          <cell r="D34">
            <v>0.93559322033898262</v>
          </cell>
          <cell r="E34">
            <v>40.889400000000002</v>
          </cell>
          <cell r="F34">
            <v>43.152000000000008</v>
          </cell>
          <cell r="G34">
            <v>62103.384000000005</v>
          </cell>
          <cell r="H34"/>
          <cell r="I34">
            <v>62103.384000000005</v>
          </cell>
          <cell r="J34">
            <v>1425.2881355932204</v>
          </cell>
          <cell r="K34">
            <v>1886.2776000000003</v>
          </cell>
        </row>
        <row r="35">
          <cell r="B35">
            <v>63</v>
          </cell>
          <cell r="C35">
            <v>0.39000000000000035</v>
          </cell>
          <cell r="D35">
            <v>0.95000000000000107</v>
          </cell>
          <cell r="E35">
            <v>43.822549999999985</v>
          </cell>
          <cell r="F35">
            <v>46.129000000000012</v>
          </cell>
          <cell r="G35">
            <v>69193.5</v>
          </cell>
          <cell r="H35"/>
          <cell r="I35">
            <v>69193.5</v>
          </cell>
          <cell r="J35">
            <v>1500</v>
          </cell>
          <cell r="K35">
            <v>1854.3857999999993</v>
          </cell>
        </row>
        <row r="36">
          <cell r="B36">
            <v>64</v>
          </cell>
          <cell r="C36">
            <v>0.5</v>
          </cell>
          <cell r="D36">
            <v>0.89999999999999925</v>
          </cell>
          <cell r="E36">
            <v>32.864850000000018</v>
          </cell>
          <cell r="F36">
            <v>36.516499999999979</v>
          </cell>
          <cell r="G36">
            <v>54774.75</v>
          </cell>
          <cell r="H36"/>
          <cell r="I36">
            <v>54774.75</v>
          </cell>
          <cell r="J36">
            <v>1500</v>
          </cell>
          <cell r="K36">
            <v>1533.693</v>
          </cell>
        </row>
        <row r="37">
          <cell r="B37">
            <v>65</v>
          </cell>
          <cell r="C37">
            <v>0.5</v>
          </cell>
          <cell r="D37">
            <v>0.89999999999999936</v>
          </cell>
          <cell r="E37">
            <v>44.695800000000006</v>
          </cell>
          <cell r="F37">
            <v>49.66200000000002</v>
          </cell>
          <cell r="G37">
            <v>68732.207999999984</v>
          </cell>
          <cell r="H37"/>
          <cell r="I37">
            <v>68732.207999999984</v>
          </cell>
          <cell r="J37">
            <v>1384</v>
          </cell>
          <cell r="K37">
            <v>2085.8039999999996</v>
          </cell>
        </row>
        <row r="38">
          <cell r="B38">
            <v>66</v>
          </cell>
          <cell r="C38">
            <v>0.5</v>
          </cell>
          <cell r="D38">
            <v>1.1000000000000008</v>
          </cell>
          <cell r="E38">
            <v>42.425899999999977</v>
          </cell>
          <cell r="F38">
            <v>38.56900000000001</v>
          </cell>
          <cell r="G38">
            <v>63638.850000000006</v>
          </cell>
          <cell r="H38"/>
          <cell r="I38">
            <v>63638.850000000006</v>
          </cell>
          <cell r="J38">
            <v>1650</v>
          </cell>
          <cell r="K38">
            <v>1851.3120000000004</v>
          </cell>
        </row>
        <row r="39">
          <cell r="B39">
            <v>68</v>
          </cell>
          <cell r="C39">
            <v>0.5</v>
          </cell>
          <cell r="D39">
            <v>0.89999999999999936</v>
          </cell>
          <cell r="E39">
            <v>28.798164000000011</v>
          </cell>
          <cell r="F39">
            <v>31.997959999999996</v>
          </cell>
          <cell r="G39">
            <v>44285.176640000005</v>
          </cell>
          <cell r="H39"/>
          <cell r="I39">
            <v>44285.176640000005</v>
          </cell>
          <cell r="J39">
            <v>1384</v>
          </cell>
          <cell r="K39">
            <v>1343.9143200000001</v>
          </cell>
        </row>
        <row r="40">
          <cell r="B40">
            <v>69</v>
          </cell>
          <cell r="C40">
            <v>0.40000000000000019</v>
          </cell>
          <cell r="D40">
            <v>1</v>
          </cell>
          <cell r="E40">
            <v>35.227499999999985</v>
          </cell>
          <cell r="F40">
            <v>35.227499999999985</v>
          </cell>
          <cell r="G40">
            <v>52841.25</v>
          </cell>
          <cell r="H40"/>
          <cell r="I40">
            <v>52841.25</v>
          </cell>
          <cell r="J40">
            <v>1500</v>
          </cell>
          <cell r="K40">
            <v>1479.5549999999994</v>
          </cell>
        </row>
        <row r="41">
          <cell r="B41">
            <v>70</v>
          </cell>
          <cell r="C41">
            <v>0.39000000000000018</v>
          </cell>
          <cell r="D41">
            <v>1</v>
          </cell>
          <cell r="E41">
            <v>33.525666666666645</v>
          </cell>
          <cell r="F41">
            <v>33.525666666666659</v>
          </cell>
          <cell r="G41">
            <v>50288.5</v>
          </cell>
          <cell r="H41"/>
          <cell r="I41">
            <v>50288.5</v>
          </cell>
          <cell r="J41">
            <v>1500</v>
          </cell>
          <cell r="K41">
            <v>1398.0203000000008</v>
          </cell>
        </row>
        <row r="42">
          <cell r="B42">
            <v>71</v>
          </cell>
          <cell r="C42">
            <v>0.40000000000000019</v>
          </cell>
          <cell r="D42">
            <v>1</v>
          </cell>
          <cell r="E42">
            <v>20.635666666666665</v>
          </cell>
          <cell r="F42">
            <v>20.635666666666665</v>
          </cell>
          <cell r="G42">
            <v>30953.5</v>
          </cell>
          <cell r="H42"/>
          <cell r="I42">
            <v>30953.5</v>
          </cell>
          <cell r="J42">
            <v>1500</v>
          </cell>
          <cell r="K42">
            <v>866.69799999999987</v>
          </cell>
        </row>
        <row r="43">
          <cell r="B43">
            <v>72</v>
          </cell>
          <cell r="C43">
            <v>0.49138888888888871</v>
          </cell>
          <cell r="D43">
            <v>0.89999999999999936</v>
          </cell>
          <cell r="E43">
            <v>32.432400000000008</v>
          </cell>
          <cell r="F43">
            <v>36.036000000000008</v>
          </cell>
          <cell r="G43">
            <v>49873.824000000001</v>
          </cell>
          <cell r="H43"/>
          <cell r="I43">
            <v>49873.824000000001</v>
          </cell>
          <cell r="J43">
            <v>1384</v>
          </cell>
          <cell r="K43">
            <v>1504.2026999999989</v>
          </cell>
        </row>
        <row r="44">
          <cell r="B44">
            <v>73</v>
          </cell>
          <cell r="C44">
            <v>0.48000000000000032</v>
          </cell>
          <cell r="D44">
            <v>0.89999999999999936</v>
          </cell>
          <cell r="E44">
            <v>31.719600000000003</v>
          </cell>
          <cell r="F44">
            <v>35.243999999999978</v>
          </cell>
          <cell r="G44">
            <v>48777.696000000033</v>
          </cell>
          <cell r="H44"/>
          <cell r="I44">
            <v>48777.696000000033</v>
          </cell>
          <cell r="J44">
            <v>1384</v>
          </cell>
          <cell r="K44">
            <v>1459.1016000000011</v>
          </cell>
        </row>
        <row r="45">
          <cell r="B45">
            <v>74</v>
          </cell>
          <cell r="C45">
            <v>0.39000000000000018</v>
          </cell>
          <cell r="D45">
            <v>1</v>
          </cell>
          <cell r="E45">
            <v>35.54399999999999</v>
          </cell>
          <cell r="F45">
            <v>35.54399999999999</v>
          </cell>
          <cell r="G45">
            <v>53316</v>
          </cell>
          <cell r="H45"/>
          <cell r="I45">
            <v>53316</v>
          </cell>
          <cell r="J45">
            <v>1500</v>
          </cell>
          <cell r="K45">
            <v>1482.1848000000011</v>
          </cell>
        </row>
        <row r="46">
          <cell r="B46">
            <v>75</v>
          </cell>
          <cell r="C46">
            <v>0.39000000000000018</v>
          </cell>
          <cell r="D46">
            <v>1</v>
          </cell>
          <cell r="E46">
            <v>35.208000000000027</v>
          </cell>
          <cell r="F46">
            <v>35.208000000000027</v>
          </cell>
          <cell r="G46">
            <v>52812</v>
          </cell>
          <cell r="H46"/>
          <cell r="I46">
            <v>52812</v>
          </cell>
          <cell r="J46">
            <v>1500</v>
          </cell>
          <cell r="K46">
            <v>1468.1736000000001</v>
          </cell>
        </row>
        <row r="47">
          <cell r="B47">
            <v>76</v>
          </cell>
          <cell r="C47">
            <v>0.41000000000000009</v>
          </cell>
          <cell r="D47">
            <v>1</v>
          </cell>
          <cell r="E47">
            <v>40.553333333333342</v>
          </cell>
          <cell r="F47">
            <v>40.553333333333342</v>
          </cell>
          <cell r="G47">
            <v>60830</v>
          </cell>
          <cell r="H47"/>
          <cell r="I47">
            <v>60830</v>
          </cell>
          <cell r="J47">
            <v>1500</v>
          </cell>
          <cell r="K47">
            <v>1715.4059999999997</v>
          </cell>
        </row>
        <row r="48">
          <cell r="B48">
            <v>77</v>
          </cell>
          <cell r="C48">
            <v>0.49</v>
          </cell>
          <cell r="D48">
            <v>0.89999999999999936</v>
          </cell>
          <cell r="E48">
            <v>31.919399999999989</v>
          </cell>
          <cell r="F48">
            <v>35.466000000000008</v>
          </cell>
          <cell r="G48">
            <v>49084.944000000025</v>
          </cell>
          <cell r="H48"/>
          <cell r="I48">
            <v>49084.944000000025</v>
          </cell>
          <cell r="J48">
            <v>1384</v>
          </cell>
          <cell r="K48">
            <v>1478.9321999999991</v>
          </cell>
        </row>
        <row r="49">
          <cell r="B49">
            <v>78</v>
          </cell>
          <cell r="C49">
            <v>0.5</v>
          </cell>
          <cell r="D49">
            <v>0.89999999999999913</v>
          </cell>
          <cell r="E49">
            <v>42.806400000000011</v>
          </cell>
          <cell r="F49">
            <v>47.562666666666672</v>
          </cell>
          <cell r="G49">
            <v>65826.730666666626</v>
          </cell>
          <cell r="H49"/>
          <cell r="I49">
            <v>65826.730666666626</v>
          </cell>
          <cell r="J49">
            <v>1384</v>
          </cell>
          <cell r="K49">
            <v>1997.6320000000003</v>
          </cell>
        </row>
        <row r="50">
          <cell r="B50">
            <v>82</v>
          </cell>
          <cell r="C50">
            <v>0.49499999999999983</v>
          </cell>
          <cell r="D50">
            <v>1.1000000000000005</v>
          </cell>
          <cell r="E50">
            <v>31.948710236666649</v>
          </cell>
          <cell r="F50">
            <v>29.044282033333321</v>
          </cell>
          <cell r="G50">
            <v>47923.065355000006</v>
          </cell>
          <cell r="H50"/>
          <cell r="I50">
            <v>47923.065355000006</v>
          </cell>
          <cell r="J50">
            <v>1650</v>
          </cell>
          <cell r="K50">
            <v>1389.7688952949998</v>
          </cell>
        </row>
        <row r="51">
          <cell r="B51">
            <v>83</v>
          </cell>
          <cell r="C51">
            <v>0.43999999999999995</v>
          </cell>
          <cell r="D51">
            <v>0.95</v>
          </cell>
          <cell r="E51">
            <v>33.798466666666641</v>
          </cell>
          <cell r="F51">
            <v>35.577333333333335</v>
          </cell>
          <cell r="G51">
            <v>53366</v>
          </cell>
          <cell r="H51"/>
          <cell r="I51">
            <v>53366</v>
          </cell>
          <cell r="J51">
            <v>1500</v>
          </cell>
          <cell r="K51">
            <v>1483.5748000000001</v>
          </cell>
        </row>
        <row r="52">
          <cell r="B52">
            <v>84</v>
          </cell>
          <cell r="C52">
            <v>0.5</v>
          </cell>
          <cell r="D52">
            <v>0.89999999999999936</v>
          </cell>
          <cell r="E52">
            <v>32.14680000000002</v>
          </cell>
          <cell r="F52">
            <v>35.71866666666665</v>
          </cell>
          <cell r="G52">
            <v>49434.634666666665</v>
          </cell>
          <cell r="H52"/>
          <cell r="I52">
            <v>49434.634666666665</v>
          </cell>
          <cell r="J52">
            <v>1384</v>
          </cell>
          <cell r="K52">
            <v>1500.1840000000002</v>
          </cell>
        </row>
        <row r="53">
          <cell r="B53">
            <v>101</v>
          </cell>
          <cell r="C53">
            <v>0.52293749999999983</v>
          </cell>
          <cell r="D53">
            <v>0.96875000000000011</v>
          </cell>
          <cell r="E53">
            <v>40.449833333333352</v>
          </cell>
          <cell r="F53">
            <v>41.754666666666687</v>
          </cell>
          <cell r="G53">
            <v>61000.958333333336</v>
          </cell>
          <cell r="H53"/>
          <cell r="I53">
            <v>61000.958333333336</v>
          </cell>
          <cell r="J53">
            <v>1460.9375</v>
          </cell>
          <cell r="K53">
            <v>1868.547430000001</v>
          </cell>
        </row>
        <row r="54">
          <cell r="B54">
            <v>102</v>
          </cell>
          <cell r="C54">
            <v>0.51656249999999959</v>
          </cell>
          <cell r="D54">
            <v>0.96875000000000011</v>
          </cell>
          <cell r="E54">
            <v>37.648553333333332</v>
          </cell>
          <cell r="F54">
            <v>38.866336666666669</v>
          </cell>
          <cell r="G54">
            <v>56777.275833333326</v>
          </cell>
          <cell r="H54"/>
          <cell r="I54">
            <v>56777.275833333326</v>
          </cell>
          <cell r="J54">
            <v>1460.9375</v>
          </cell>
          <cell r="K54">
            <v>1731.76336103125</v>
          </cell>
        </row>
        <row r="55">
          <cell r="B55">
            <v>103</v>
          </cell>
          <cell r="C55">
            <v>0.51686097560975608</v>
          </cell>
          <cell r="D55">
            <v>0.97073170731707314</v>
          </cell>
          <cell r="E55">
            <v>42.887333333333331</v>
          </cell>
          <cell r="F55">
            <v>44.186333333333337</v>
          </cell>
          <cell r="G55">
            <v>64655.75</v>
          </cell>
          <cell r="H55"/>
          <cell r="I55">
            <v>64655.75</v>
          </cell>
          <cell r="J55">
            <v>1463.4146341463415</v>
          </cell>
          <cell r="K55">
            <v>1971.7657406585363</v>
          </cell>
        </row>
        <row r="56">
          <cell r="B56">
            <v>104</v>
          </cell>
          <cell r="C56">
            <v>0.51783658536585364</v>
          </cell>
          <cell r="D56">
            <v>0.97073170731707314</v>
          </cell>
          <cell r="E56">
            <v>53.497833333333325</v>
          </cell>
          <cell r="F56">
            <v>55.110833333333325</v>
          </cell>
          <cell r="G56">
            <v>80650.000000000015</v>
          </cell>
          <cell r="H56"/>
          <cell r="I56">
            <v>80650.000000000015</v>
          </cell>
          <cell r="J56">
            <v>1463.4146341463415</v>
          </cell>
          <cell r="K56">
            <v>2461.0871725000011</v>
          </cell>
        </row>
        <row r="57">
          <cell r="B57">
            <v>105</v>
          </cell>
          <cell r="C57">
            <v>0.52051951219512194</v>
          </cell>
          <cell r="D57">
            <v>0.97073170731707314</v>
          </cell>
          <cell r="E57">
            <v>51.530066666666656</v>
          </cell>
          <cell r="F57">
            <v>53.081333333333319</v>
          </cell>
          <cell r="G57">
            <v>77682.916666666672</v>
          </cell>
          <cell r="H57"/>
          <cell r="I57">
            <v>77682.916666666672</v>
          </cell>
          <cell r="J57">
            <v>1463.4146341463415</v>
          </cell>
          <cell r="K57">
            <v>2374.798092</v>
          </cell>
        </row>
        <row r="58">
          <cell r="B58">
            <v>106</v>
          </cell>
          <cell r="C58">
            <v>0.51887499999999975</v>
          </cell>
          <cell r="D58">
            <v>0.96875000000000011</v>
          </cell>
          <cell r="E58">
            <v>35.358166666666669</v>
          </cell>
          <cell r="F58">
            <v>36.503</v>
          </cell>
          <cell r="G58">
            <v>53323.458333333328</v>
          </cell>
          <cell r="H58"/>
          <cell r="I58">
            <v>53323.458333333328</v>
          </cell>
          <cell r="J58">
            <v>1460.9375</v>
          </cell>
          <cell r="K58">
            <v>1628.9598237500002</v>
          </cell>
        </row>
        <row r="59">
          <cell r="B59">
            <v>107</v>
          </cell>
          <cell r="C59">
            <v>0.5169999999999999</v>
          </cell>
          <cell r="D59">
            <v>0.96875000000000011</v>
          </cell>
          <cell r="E59">
            <v>41.937833333333352</v>
          </cell>
          <cell r="F59">
            <v>43.290666666666688</v>
          </cell>
          <cell r="G59">
            <v>63244.958333333328</v>
          </cell>
          <cell r="H59"/>
          <cell r="I59">
            <v>63244.958333333328</v>
          </cell>
          <cell r="J59">
            <v>1460.9375</v>
          </cell>
          <cell r="K59">
            <v>1929.573239999999</v>
          </cell>
        </row>
        <row r="60">
          <cell r="B60">
            <v>108</v>
          </cell>
          <cell r="C60">
            <v>0.49500000000000033</v>
          </cell>
          <cell r="D60">
            <v>0.99218749999999989</v>
          </cell>
          <cell r="E60">
            <v>41.26638333333333</v>
          </cell>
          <cell r="F60">
            <v>41.590999999999994</v>
          </cell>
          <cell r="G60">
            <v>60763.416666666657</v>
          </cell>
          <cell r="H60"/>
          <cell r="I60">
            <v>60763.416666666657</v>
          </cell>
          <cell r="J60">
            <v>1460.9375</v>
          </cell>
          <cell r="K60">
            <v>1855.6460218750005</v>
          </cell>
        </row>
        <row r="61">
          <cell r="B61">
            <v>201</v>
          </cell>
          <cell r="C61">
            <v>0.48000000000000037</v>
          </cell>
          <cell r="D61">
            <v>1.1000000000000008</v>
          </cell>
          <cell r="E61">
            <v>53.785600000000038</v>
          </cell>
          <cell r="F61">
            <v>48.896000000000043</v>
          </cell>
          <cell r="G61">
            <v>80678.400000000067</v>
          </cell>
          <cell r="H61"/>
          <cell r="I61">
            <v>80678.400000000067</v>
          </cell>
          <cell r="J61">
            <v>1650</v>
          </cell>
          <cell r="K61">
            <v>2317.6703999999977</v>
          </cell>
        </row>
        <row r="62">
          <cell r="B62">
            <v>202</v>
          </cell>
          <cell r="C62">
            <v>0.485416666666666</v>
          </cell>
          <cell r="D62">
            <v>1.1000000000000008</v>
          </cell>
          <cell r="E62">
            <v>53.560319999999962</v>
          </cell>
          <cell r="F62">
            <v>48.691200000000009</v>
          </cell>
          <cell r="G62">
            <v>80340.479999999981</v>
          </cell>
          <cell r="H62"/>
          <cell r="I62">
            <v>80340.479999999981</v>
          </cell>
          <cell r="J62">
            <v>1650</v>
          </cell>
          <cell r="K62">
            <v>2315.8751999999999</v>
          </cell>
        </row>
        <row r="63">
          <cell r="B63">
            <v>203</v>
          </cell>
          <cell r="C63">
            <v>0.4899999999999996</v>
          </cell>
          <cell r="D63">
            <v>1.1000000000000008</v>
          </cell>
          <cell r="E63">
            <v>51.855100000000029</v>
          </cell>
          <cell r="F63">
            <v>47.141000000000027</v>
          </cell>
          <cell r="G63">
            <v>77782.649999999936</v>
          </cell>
          <cell r="H63"/>
          <cell r="I63">
            <v>77782.649999999936</v>
          </cell>
          <cell r="J63">
            <v>1650</v>
          </cell>
          <cell r="K63">
            <v>2248.6256999999991</v>
          </cell>
        </row>
        <row r="64">
          <cell r="B64">
            <v>204</v>
          </cell>
          <cell r="C64">
            <v>0.4899999999999996</v>
          </cell>
          <cell r="D64">
            <v>1.1000000000000008</v>
          </cell>
          <cell r="E64">
            <v>53.315533333333377</v>
          </cell>
          <cell r="F64">
            <v>48.468666666666699</v>
          </cell>
          <cell r="G64">
            <v>79973.3</v>
          </cell>
          <cell r="H64"/>
          <cell r="I64">
            <v>79973.3</v>
          </cell>
          <cell r="J64">
            <v>1650</v>
          </cell>
          <cell r="K64">
            <v>2311.9553999999998</v>
          </cell>
        </row>
        <row r="65">
          <cell r="B65">
            <v>205</v>
          </cell>
          <cell r="C65">
            <v>0.4899999999999996</v>
          </cell>
          <cell r="D65">
            <v>1.1000000000000008</v>
          </cell>
          <cell r="E65">
            <v>53.116800000000005</v>
          </cell>
          <cell r="F65">
            <v>48.288000000000004</v>
          </cell>
          <cell r="G65">
            <v>79675.199999999997</v>
          </cell>
          <cell r="H65"/>
          <cell r="I65">
            <v>79675.199999999997</v>
          </cell>
          <cell r="J65">
            <v>1650</v>
          </cell>
          <cell r="K65">
            <v>2303.3376000000007</v>
          </cell>
        </row>
        <row r="66">
          <cell r="B66">
            <v>206</v>
          </cell>
          <cell r="C66">
            <v>0.48354166666666715</v>
          </cell>
          <cell r="D66">
            <v>1.1000000000000008</v>
          </cell>
          <cell r="E66">
            <v>52.764799999999951</v>
          </cell>
          <cell r="F66">
            <v>47.967999999999968</v>
          </cell>
          <cell r="G66">
            <v>79147.199999999997</v>
          </cell>
          <cell r="H66"/>
          <cell r="I66">
            <v>79147.199999999997</v>
          </cell>
          <cell r="J66">
            <v>1650</v>
          </cell>
          <cell r="K66">
            <v>2278.7797999999993</v>
          </cell>
        </row>
        <row r="67">
          <cell r="B67">
            <v>207</v>
          </cell>
          <cell r="C67">
            <v>0.4899999999999996</v>
          </cell>
          <cell r="D67">
            <v>1.1000000000000008</v>
          </cell>
          <cell r="E67">
            <v>54.331200000000031</v>
          </cell>
          <cell r="F67">
            <v>49.392000000000024</v>
          </cell>
          <cell r="G67">
            <v>81496.79999999993</v>
          </cell>
          <cell r="H67"/>
          <cell r="I67">
            <v>81496.79999999993</v>
          </cell>
          <cell r="J67">
            <v>1650</v>
          </cell>
          <cell r="K67">
            <v>2355.9983999999995</v>
          </cell>
        </row>
        <row r="68">
          <cell r="B68">
            <v>208</v>
          </cell>
          <cell r="C68">
            <v>0.4899999999999996</v>
          </cell>
          <cell r="D68">
            <v>1.1000000000000008</v>
          </cell>
          <cell r="E68">
            <v>52.518399999999957</v>
          </cell>
          <cell r="F68">
            <v>47.744000000000021</v>
          </cell>
          <cell r="G68">
            <v>78777.599999999933</v>
          </cell>
          <cell r="H68"/>
          <cell r="I68">
            <v>78777.599999999933</v>
          </cell>
          <cell r="J68">
            <v>1650</v>
          </cell>
          <cell r="K68">
            <v>2277.3888000000002</v>
          </cell>
        </row>
        <row r="69">
          <cell r="B69">
            <v>210</v>
          </cell>
          <cell r="C69">
            <v>0.48000000000000037</v>
          </cell>
          <cell r="D69">
            <v>1.1000000000000008</v>
          </cell>
          <cell r="E69">
            <v>49.590749999999979</v>
          </cell>
          <cell r="F69">
            <v>45.082499999999968</v>
          </cell>
          <cell r="G69">
            <v>74386.125000000015</v>
          </cell>
          <cell r="H69"/>
          <cell r="I69">
            <v>74386.125000000015</v>
          </cell>
          <cell r="J69">
            <v>1650</v>
          </cell>
          <cell r="K69">
            <v>2136.9105000000022</v>
          </cell>
        </row>
        <row r="70">
          <cell r="B70">
            <v>211</v>
          </cell>
          <cell r="C70">
            <v>0.46999999999999986</v>
          </cell>
          <cell r="D70">
            <v>1.1000000000000008</v>
          </cell>
          <cell r="E70">
            <v>49.871249999999947</v>
          </cell>
          <cell r="F70">
            <v>45.337500000000006</v>
          </cell>
          <cell r="G70">
            <v>74806.875</v>
          </cell>
          <cell r="H70"/>
          <cell r="I70">
            <v>74806.875</v>
          </cell>
          <cell r="J70">
            <v>1650</v>
          </cell>
          <cell r="K70">
            <v>2135.3962500000007</v>
          </cell>
        </row>
        <row r="71">
          <cell r="B71">
            <v>212</v>
          </cell>
          <cell r="C71">
            <v>0.48000000000000037</v>
          </cell>
          <cell r="D71">
            <v>1.1000000000000008</v>
          </cell>
          <cell r="E71">
            <v>47.760716666666625</v>
          </cell>
          <cell r="F71">
            <v>43.418833333333318</v>
          </cell>
          <cell r="G71">
            <v>71641.074999999968</v>
          </cell>
          <cell r="H71"/>
          <cell r="I71">
            <v>71641.074999999968</v>
          </cell>
          <cell r="J71">
            <v>1650</v>
          </cell>
          <cell r="K71">
            <v>2058.0527000000016</v>
          </cell>
        </row>
        <row r="72">
          <cell r="B72">
            <v>213</v>
          </cell>
          <cell r="C72">
            <v>0.5</v>
          </cell>
          <cell r="D72">
            <v>1.1000000000000008</v>
          </cell>
          <cell r="E72">
            <v>52.489433333333366</v>
          </cell>
          <cell r="F72">
            <v>47.717666666666666</v>
          </cell>
          <cell r="G72">
            <v>78734.149999999965</v>
          </cell>
          <cell r="H72"/>
          <cell r="I72">
            <v>78734.149999999965</v>
          </cell>
          <cell r="J72">
            <v>1650</v>
          </cell>
          <cell r="K72">
            <v>2290.4479999999985</v>
          </cell>
        </row>
        <row r="73">
          <cell r="B73">
            <v>214</v>
          </cell>
          <cell r="C73">
            <v>0.48999999999999949</v>
          </cell>
          <cell r="D73">
            <v>1.100000000000001</v>
          </cell>
          <cell r="E73">
            <v>59.276433333333365</v>
          </cell>
          <cell r="F73">
            <v>53.887666666666718</v>
          </cell>
          <cell r="G73">
            <v>88914.650000000081</v>
          </cell>
          <cell r="H73"/>
          <cell r="I73">
            <v>88914.650000000081</v>
          </cell>
          <cell r="J73">
            <v>1650</v>
          </cell>
          <cell r="K73">
            <v>2570.4416999999989</v>
          </cell>
        </row>
        <row r="74">
          <cell r="B74">
            <v>215</v>
          </cell>
          <cell r="C74">
            <v>0.4899999999999996</v>
          </cell>
          <cell r="D74">
            <v>1.1000000000000008</v>
          </cell>
          <cell r="E74">
            <v>52.439200000000021</v>
          </cell>
          <cell r="F74">
            <v>47.672000000000018</v>
          </cell>
          <cell r="G74">
            <v>78658.8</v>
          </cell>
          <cell r="H74"/>
          <cell r="I74">
            <v>78658.8</v>
          </cell>
          <cell r="J74">
            <v>1650</v>
          </cell>
          <cell r="K74">
            <v>2273.9543999999973</v>
          </cell>
        </row>
        <row r="75">
          <cell r="B75">
            <v>216</v>
          </cell>
          <cell r="C75">
            <v>0.48000000000000037</v>
          </cell>
          <cell r="D75">
            <v>1.1000000000000008</v>
          </cell>
          <cell r="E75">
            <v>49.640433333333355</v>
          </cell>
          <cell r="F75">
            <v>45.127666666666705</v>
          </cell>
          <cell r="G75">
            <v>74460.650000000009</v>
          </cell>
          <cell r="H75"/>
          <cell r="I75">
            <v>74460.650000000009</v>
          </cell>
          <cell r="J75">
            <v>1650</v>
          </cell>
          <cell r="K75">
            <v>2139.0513999999994</v>
          </cell>
        </row>
        <row r="76">
          <cell r="B76">
            <v>217</v>
          </cell>
          <cell r="C76">
            <v>0.48999999999999966</v>
          </cell>
          <cell r="D76">
            <v>1.1000000000000008</v>
          </cell>
          <cell r="E76">
            <v>51.139916666666608</v>
          </cell>
          <cell r="F76">
            <v>46.490833333333356</v>
          </cell>
          <cell r="G76">
            <v>76709.875</v>
          </cell>
          <cell r="H76"/>
          <cell r="I76">
            <v>76709.875</v>
          </cell>
          <cell r="J76">
            <v>1650</v>
          </cell>
          <cell r="K76">
            <v>2217.6127500000011</v>
          </cell>
        </row>
        <row r="77">
          <cell r="B77">
            <v>218</v>
          </cell>
          <cell r="C77">
            <v>0.48999999999999966</v>
          </cell>
          <cell r="D77">
            <v>1.1000000000000008</v>
          </cell>
          <cell r="E77">
            <v>51.665533333333286</v>
          </cell>
          <cell r="F77">
            <v>46.968666666666635</v>
          </cell>
          <cell r="G77">
            <v>77498.3</v>
          </cell>
          <cell r="H77"/>
          <cell r="I77">
            <v>77498.3</v>
          </cell>
          <cell r="J77">
            <v>1650</v>
          </cell>
          <cell r="K77">
            <v>2240.4054000000015</v>
          </cell>
        </row>
        <row r="78">
          <cell r="B78">
            <v>219</v>
          </cell>
          <cell r="C78">
            <v>0.48666666666666719</v>
          </cell>
          <cell r="D78">
            <v>1.1000000000000008</v>
          </cell>
          <cell r="E78">
            <v>64.335333333333395</v>
          </cell>
          <cell r="F78">
            <v>58.486666666666615</v>
          </cell>
          <cell r="G78">
            <v>96503.000000000015</v>
          </cell>
          <cell r="H78"/>
          <cell r="I78">
            <v>96503.000000000015</v>
          </cell>
          <cell r="J78">
            <v>1650</v>
          </cell>
          <cell r="K78">
            <v>2783.9653333333317</v>
          </cell>
        </row>
        <row r="79">
          <cell r="B79">
            <v>220</v>
          </cell>
          <cell r="C79">
            <v>0.48999999999999966</v>
          </cell>
          <cell r="D79">
            <v>1.1000000000000008</v>
          </cell>
          <cell r="E79">
            <v>51.286400000000022</v>
          </cell>
          <cell r="F79">
            <v>46.623999999999981</v>
          </cell>
          <cell r="G79">
            <v>76929.600000000064</v>
          </cell>
          <cell r="H79"/>
          <cell r="I79">
            <v>76929.600000000064</v>
          </cell>
          <cell r="J79">
            <v>1650</v>
          </cell>
          <cell r="K79">
            <v>2223.9648000000025</v>
          </cell>
        </row>
        <row r="80">
          <cell r="B80">
            <v>221</v>
          </cell>
          <cell r="C80">
            <v>0.48999999999999966</v>
          </cell>
          <cell r="D80">
            <v>1.1000000000000008</v>
          </cell>
          <cell r="E80">
            <v>51.796983333333309</v>
          </cell>
          <cell r="F80">
            <v>47.088166666666645</v>
          </cell>
          <cell r="G80">
            <v>77695.474999999948</v>
          </cell>
          <cell r="H80"/>
          <cell r="I80">
            <v>77695.474999999948</v>
          </cell>
          <cell r="J80">
            <v>1650</v>
          </cell>
          <cell r="K80">
            <v>2246.1055499999989</v>
          </cell>
        </row>
        <row r="81">
          <cell r="B81">
            <v>222</v>
          </cell>
          <cell r="C81">
            <v>0.48999999999999971</v>
          </cell>
          <cell r="D81">
            <v>1.1000000000000008</v>
          </cell>
          <cell r="E81">
            <v>47.819199999999952</v>
          </cell>
          <cell r="F81">
            <v>43.471999999999987</v>
          </cell>
          <cell r="G81">
            <v>71728.799999999945</v>
          </cell>
          <cell r="H81"/>
          <cell r="I81">
            <v>71728.799999999945</v>
          </cell>
          <cell r="J81">
            <v>1650</v>
          </cell>
          <cell r="K81">
            <v>2073.6144000000008</v>
          </cell>
        </row>
        <row r="82">
          <cell r="B82">
            <v>223</v>
          </cell>
          <cell r="C82">
            <v>0.48999999999999971</v>
          </cell>
          <cell r="D82">
            <v>1.1000000000000008</v>
          </cell>
          <cell r="E82">
            <v>48.56940000000003</v>
          </cell>
          <cell r="F82">
            <v>44.154000000000018</v>
          </cell>
          <cell r="G82">
            <v>72854.10000000002</v>
          </cell>
          <cell r="H82"/>
          <cell r="I82">
            <v>72854.10000000002</v>
          </cell>
          <cell r="J82">
            <v>1650</v>
          </cell>
          <cell r="K82">
            <v>2106.1458000000016</v>
          </cell>
        </row>
        <row r="83">
          <cell r="B83">
            <v>224</v>
          </cell>
          <cell r="C83">
            <v>0.48999999999999971</v>
          </cell>
          <cell r="D83">
            <v>1.1000000000000008</v>
          </cell>
          <cell r="E83">
            <v>48.835600000000042</v>
          </cell>
          <cell r="F83">
            <v>44.396000000000008</v>
          </cell>
          <cell r="G83">
            <v>73253.39999999998</v>
          </cell>
          <cell r="H83"/>
          <cell r="I83">
            <v>73253.39999999998</v>
          </cell>
          <cell r="J83">
            <v>1650</v>
          </cell>
          <cell r="K83">
            <v>2117.6892000000016</v>
          </cell>
        </row>
        <row r="84">
          <cell r="B84">
            <v>225</v>
          </cell>
          <cell r="C84">
            <v>0.48000000000000037</v>
          </cell>
          <cell r="D84">
            <v>1.1000000000000008</v>
          </cell>
          <cell r="E84">
            <v>48.666200000000046</v>
          </cell>
          <cell r="F84">
            <v>44.24199999999999</v>
          </cell>
          <cell r="G84">
            <v>72999.299999999945</v>
          </cell>
          <cell r="H84"/>
          <cell r="I84">
            <v>72999.299999999945</v>
          </cell>
          <cell r="J84">
            <v>1650</v>
          </cell>
          <cell r="K84">
            <v>2097.0707999999981</v>
          </cell>
        </row>
        <row r="85">
          <cell r="B85">
            <v>226</v>
          </cell>
          <cell r="C85">
            <v>0.5</v>
          </cell>
          <cell r="D85">
            <v>1.1000000000000008</v>
          </cell>
          <cell r="E85">
            <v>35.880533333333339</v>
          </cell>
          <cell r="F85">
            <v>32.618666666666662</v>
          </cell>
          <cell r="G85">
            <v>53820.799999999959</v>
          </cell>
          <cell r="H85"/>
          <cell r="I85">
            <v>53820.799999999959</v>
          </cell>
          <cell r="J85">
            <v>1650</v>
          </cell>
          <cell r="K85">
            <v>1565.696000000001</v>
          </cell>
        </row>
        <row r="86">
          <cell r="B86">
            <v>227</v>
          </cell>
          <cell r="C86">
            <v>0.44000000000000017</v>
          </cell>
          <cell r="D86">
            <v>1.1000000000000001</v>
          </cell>
          <cell r="E86">
            <v>24.536599999999993</v>
          </cell>
          <cell r="F86">
            <v>22.305999999999994</v>
          </cell>
          <cell r="G86">
            <v>36804.899999999987</v>
          </cell>
          <cell r="H86"/>
          <cell r="I86">
            <v>36804.899999999987</v>
          </cell>
          <cell r="J86">
            <v>1650</v>
          </cell>
          <cell r="K86">
            <v>1030.5371999999995</v>
          </cell>
        </row>
        <row r="87">
          <cell r="B87">
            <v>228</v>
          </cell>
          <cell r="C87">
            <v>0.5</v>
          </cell>
          <cell r="D87">
            <v>1.1000000000000008</v>
          </cell>
          <cell r="E87">
            <v>45.10000000000003</v>
          </cell>
          <cell r="F87">
            <v>41</v>
          </cell>
          <cell r="G87">
            <v>67650</v>
          </cell>
          <cell r="H87"/>
          <cell r="I87">
            <v>67650</v>
          </cell>
          <cell r="J87">
            <v>1650</v>
          </cell>
          <cell r="K87">
            <v>1968</v>
          </cell>
        </row>
        <row r="88">
          <cell r="B88">
            <v>301</v>
          </cell>
          <cell r="C88">
            <v>0.53000000000000025</v>
          </cell>
          <cell r="D88">
            <v>0.79999999999999971</v>
          </cell>
          <cell r="E88">
            <v>38.056533333333356</v>
          </cell>
          <cell r="F88">
            <v>47.570666666666654</v>
          </cell>
          <cell r="G88">
            <v>59463.333333333285</v>
          </cell>
          <cell r="H88"/>
          <cell r="I88">
            <v>59463.333333333285</v>
          </cell>
          <cell r="J88">
            <v>1250</v>
          </cell>
          <cell r="K88">
            <v>1898.0696000000012</v>
          </cell>
        </row>
        <row r="89">
          <cell r="B89">
            <v>305</v>
          </cell>
          <cell r="C89">
            <v>0.39999999999999974</v>
          </cell>
          <cell r="D89">
            <v>0.95000000000000084</v>
          </cell>
          <cell r="E89">
            <v>54.516699999999958</v>
          </cell>
          <cell r="F89">
            <v>57.386000000000045</v>
          </cell>
          <cell r="G89">
            <v>86079.000000000015</v>
          </cell>
          <cell r="H89"/>
          <cell r="I89">
            <v>86079.000000000015</v>
          </cell>
          <cell r="J89">
            <v>1500</v>
          </cell>
          <cell r="K89">
            <v>2324.1330000000007</v>
          </cell>
        </row>
        <row r="90">
          <cell r="B90">
            <v>306</v>
          </cell>
          <cell r="C90">
            <v>0.39000000000000029</v>
          </cell>
          <cell r="D90">
            <v>0.95000000000000084</v>
          </cell>
          <cell r="E90">
            <v>52.617649999999955</v>
          </cell>
          <cell r="F90">
            <v>55.387000000000064</v>
          </cell>
          <cell r="G90">
            <v>83080.5</v>
          </cell>
          <cell r="H90">
            <v>420</v>
          </cell>
          <cell r="I90">
            <v>82660.5</v>
          </cell>
          <cell r="J90">
            <v>1500</v>
          </cell>
          <cell r="K90">
            <v>2226.5573999999997</v>
          </cell>
        </row>
        <row r="91">
          <cell r="B91">
            <v>307</v>
          </cell>
          <cell r="C91">
            <v>0.39000000000000029</v>
          </cell>
          <cell r="D91">
            <v>0.95000000000000073</v>
          </cell>
          <cell r="E91">
            <v>52.04353564500002</v>
          </cell>
          <cell r="F91">
            <v>54.782669099999964</v>
          </cell>
          <cell r="G91">
            <v>82174.003649999999</v>
          </cell>
          <cell r="H91">
            <v>2173.5300000000007</v>
          </cell>
          <cell r="I91">
            <v>80000.47365</v>
          </cell>
          <cell r="J91">
            <v>1500</v>
          </cell>
          <cell r="K91">
            <v>2202.2632978200008</v>
          </cell>
        </row>
        <row r="92">
          <cell r="B92">
            <v>308</v>
          </cell>
          <cell r="C92">
            <v>0.48000000000000032</v>
          </cell>
          <cell r="D92">
            <v>1.1000000000000008</v>
          </cell>
          <cell r="E92">
            <v>43.170037195999996</v>
          </cell>
          <cell r="F92">
            <v>39.245488360000039</v>
          </cell>
          <cell r="G92">
            <v>64755.055793999993</v>
          </cell>
          <cell r="H92"/>
          <cell r="I92">
            <v>64755.055793999993</v>
          </cell>
          <cell r="J92">
            <v>1650</v>
          </cell>
          <cell r="K92">
            <v>1860.2361482640008</v>
          </cell>
        </row>
        <row r="93">
          <cell r="B93">
            <v>309</v>
          </cell>
          <cell r="C93">
            <v>0.42999999999999977</v>
          </cell>
          <cell r="D93">
            <v>0.89999999999999913</v>
          </cell>
          <cell r="E93">
            <v>45.423899999999975</v>
          </cell>
          <cell r="F93">
            <v>50.470999999999968</v>
          </cell>
          <cell r="G93">
            <v>69851.864000000045</v>
          </cell>
          <cell r="H93"/>
          <cell r="I93">
            <v>69851.864000000045</v>
          </cell>
          <cell r="J93">
            <v>1384</v>
          </cell>
          <cell r="K93">
            <v>2013.7928999999976</v>
          </cell>
        </row>
        <row r="94">
          <cell r="B94">
            <v>310</v>
          </cell>
          <cell r="C94">
            <v>0.42999999999999983</v>
          </cell>
          <cell r="D94">
            <v>0.89999999999999925</v>
          </cell>
          <cell r="E94">
            <v>37.371600000000015</v>
          </cell>
          <cell r="F94">
            <v>41.524000000000008</v>
          </cell>
          <cell r="G94">
            <v>57469.215999999964</v>
          </cell>
          <cell r="H94">
            <v>476.70000000000039</v>
          </cell>
          <cell r="I94">
            <v>56992.515999999967</v>
          </cell>
          <cell r="J94">
            <v>1384</v>
          </cell>
          <cell r="K94">
            <v>1656.8075999999992</v>
          </cell>
        </row>
        <row r="95">
          <cell r="B95">
            <v>313</v>
          </cell>
          <cell r="C95">
            <v>0.43999999999999995</v>
          </cell>
          <cell r="D95">
            <v>0.89999999999999925</v>
          </cell>
          <cell r="E95">
            <v>37.46399999999997</v>
          </cell>
          <cell r="F95">
            <v>41.626666666666665</v>
          </cell>
          <cell r="G95">
            <v>57611.306666666649</v>
          </cell>
          <cell r="H95">
            <v>502.7199999999998</v>
          </cell>
          <cell r="I95">
            <v>57108.586666666648</v>
          </cell>
          <cell r="J95">
            <v>1384</v>
          </cell>
          <cell r="K95">
            <v>1673.392000000001</v>
          </cell>
        </row>
        <row r="96">
          <cell r="B96">
            <v>315</v>
          </cell>
          <cell r="C96">
            <v>0.38000000000000028</v>
          </cell>
          <cell r="D96">
            <v>0.95000000000000029</v>
          </cell>
          <cell r="E96">
            <v>41.130883333333323</v>
          </cell>
          <cell r="F96">
            <v>43.295666666666619</v>
          </cell>
          <cell r="G96">
            <v>64943.5</v>
          </cell>
          <cell r="H96"/>
          <cell r="I96">
            <v>64943.5</v>
          </cell>
          <cell r="J96">
            <v>1500</v>
          </cell>
          <cell r="K96">
            <v>1727.4970999999985</v>
          </cell>
        </row>
        <row r="97">
          <cell r="B97">
            <v>316</v>
          </cell>
          <cell r="C97">
            <v>0.36999999999999961</v>
          </cell>
          <cell r="D97">
            <v>0.95000000000000029</v>
          </cell>
          <cell r="E97">
            <v>41.577858333333324</v>
          </cell>
          <cell r="F97">
            <v>43.766166666666678</v>
          </cell>
          <cell r="G97">
            <v>65649.25</v>
          </cell>
          <cell r="H97"/>
          <cell r="I97">
            <v>65649.25</v>
          </cell>
          <cell r="J97">
            <v>1500</v>
          </cell>
          <cell r="K97">
            <v>1733.1401999999996</v>
          </cell>
        </row>
        <row r="98">
          <cell r="B98">
            <v>317</v>
          </cell>
          <cell r="C98">
            <v>0.39000000000000024</v>
          </cell>
          <cell r="D98">
            <v>0.95000000000000029</v>
          </cell>
          <cell r="E98">
            <v>43.234499999999997</v>
          </cell>
          <cell r="F98">
            <v>45.509999999999991</v>
          </cell>
          <cell r="G98">
            <v>68265</v>
          </cell>
          <cell r="H98"/>
          <cell r="I98">
            <v>68265</v>
          </cell>
          <cell r="J98">
            <v>1500</v>
          </cell>
          <cell r="K98">
            <v>1829.5019999999988</v>
          </cell>
        </row>
        <row r="99">
          <cell r="B99">
            <v>318</v>
          </cell>
          <cell r="C99">
            <v>0.38000000000000028</v>
          </cell>
          <cell r="D99">
            <v>0.95000000000000029</v>
          </cell>
          <cell r="E99">
            <v>43.102766666666611</v>
          </cell>
          <cell r="F99">
            <v>45.371333333333318</v>
          </cell>
          <cell r="G99">
            <v>68056.999999999985</v>
          </cell>
          <cell r="H99"/>
          <cell r="I99">
            <v>68056.999999999985</v>
          </cell>
          <cell r="J99">
            <v>1500</v>
          </cell>
          <cell r="K99">
            <v>1810.3162</v>
          </cell>
        </row>
        <row r="100">
          <cell r="B100">
            <v>319</v>
          </cell>
          <cell r="C100">
            <v>0.48648648648648629</v>
          </cell>
          <cell r="D100">
            <v>1.1000000000000008</v>
          </cell>
          <cell r="E100">
            <v>40.589340000000007</v>
          </cell>
          <cell r="F100">
            <v>36.899399999999993</v>
          </cell>
          <cell r="G100">
            <v>60884.010000000009</v>
          </cell>
          <cell r="H100">
            <v>409.99700000000013</v>
          </cell>
          <cell r="I100">
            <v>60474.013000000006</v>
          </cell>
          <cell r="J100">
            <v>1650</v>
          </cell>
          <cell r="K100">
            <v>1756.2119837837838</v>
          </cell>
        </row>
        <row r="101">
          <cell r="B101">
            <v>320</v>
          </cell>
          <cell r="C101">
            <v>0.42999999999999983</v>
          </cell>
          <cell r="D101">
            <v>0.89999999999999936</v>
          </cell>
          <cell r="E101">
            <v>32.200199999999995</v>
          </cell>
          <cell r="F101">
            <v>35.77800000000002</v>
          </cell>
          <cell r="G101">
            <v>49516.752</v>
          </cell>
          <cell r="H101"/>
          <cell r="I101">
            <v>49516.752</v>
          </cell>
          <cell r="J101">
            <v>1384</v>
          </cell>
          <cell r="K101">
            <v>1427.542199999999</v>
          </cell>
        </row>
        <row r="102">
          <cell r="B102">
            <v>321</v>
          </cell>
          <cell r="C102">
            <v>0.46000000000000046</v>
          </cell>
          <cell r="D102">
            <v>0.84</v>
          </cell>
          <cell r="E102">
            <v>29.721439999999991</v>
          </cell>
          <cell r="F102">
            <v>35.382666666666687</v>
          </cell>
          <cell r="G102">
            <v>44228.33333333335</v>
          </cell>
          <cell r="H102"/>
          <cell r="I102">
            <v>44228.33333333335</v>
          </cell>
          <cell r="J102">
            <v>1250</v>
          </cell>
          <cell r="K102">
            <v>1379.9240000000007</v>
          </cell>
        </row>
        <row r="103">
          <cell r="B103">
            <v>322</v>
          </cell>
          <cell r="C103">
            <v>0.40000000000000019</v>
          </cell>
          <cell r="D103">
            <v>0.89999999999999936</v>
          </cell>
          <cell r="E103">
            <v>31.707809999999995</v>
          </cell>
          <cell r="F103">
            <v>35.230899999999984</v>
          </cell>
          <cell r="G103">
            <v>48759.565599999987</v>
          </cell>
          <cell r="H103"/>
          <cell r="I103">
            <v>48759.565599999987</v>
          </cell>
          <cell r="J103">
            <v>1384</v>
          </cell>
          <cell r="K103">
            <v>1374.0051000000003</v>
          </cell>
        </row>
        <row r="104">
          <cell r="B104">
            <v>323</v>
          </cell>
          <cell r="C104">
            <v>0.39000000000000018</v>
          </cell>
          <cell r="D104">
            <v>0.89999999999999936</v>
          </cell>
          <cell r="E104">
            <v>31.622400000000017</v>
          </cell>
          <cell r="F104">
            <v>35.135999999999989</v>
          </cell>
          <cell r="G104">
            <v>48628.224000000009</v>
          </cell>
          <cell r="H104"/>
          <cell r="I104">
            <v>48628.224000000009</v>
          </cell>
          <cell r="J104">
            <v>1384</v>
          </cell>
          <cell r="K104">
            <v>1359.7632000000001</v>
          </cell>
        </row>
        <row r="105">
          <cell r="B105">
            <v>324</v>
          </cell>
          <cell r="C105">
            <v>0.39000000000000007</v>
          </cell>
          <cell r="D105">
            <v>0.89999999999999958</v>
          </cell>
          <cell r="E105">
            <v>25.330049999999986</v>
          </cell>
          <cell r="F105">
            <v>28.144500000000008</v>
          </cell>
          <cell r="G105">
            <v>38951.987999999983</v>
          </cell>
          <cell r="H105"/>
          <cell r="I105">
            <v>38951.987999999983</v>
          </cell>
          <cell r="J105">
            <v>1384</v>
          </cell>
          <cell r="K105">
            <v>1089.1921500000003</v>
          </cell>
        </row>
        <row r="106">
          <cell r="B106">
            <v>325</v>
          </cell>
          <cell r="C106">
            <v>0.48000000000000032</v>
          </cell>
          <cell r="D106">
            <v>1.0916666666666672</v>
          </cell>
          <cell r="E106">
            <v>32.825325000000021</v>
          </cell>
          <cell r="F106">
            <v>30.068999999999974</v>
          </cell>
          <cell r="G106">
            <v>49212.929999999964</v>
          </cell>
          <cell r="H106"/>
          <cell r="I106">
            <v>49212.929999999964</v>
          </cell>
          <cell r="J106">
            <v>1636.6666666666667</v>
          </cell>
          <cell r="K106">
            <v>1417.7533499999995</v>
          </cell>
        </row>
        <row r="107">
          <cell r="B107">
            <v>326</v>
          </cell>
          <cell r="C107">
            <v>0.40000000000000019</v>
          </cell>
          <cell r="D107">
            <v>0.89999999999999936</v>
          </cell>
          <cell r="E107">
            <v>33.057300000000012</v>
          </cell>
          <cell r="F107">
            <v>36.730333333333327</v>
          </cell>
          <cell r="G107">
            <v>50834.781333333296</v>
          </cell>
          <cell r="H107"/>
          <cell r="I107">
            <v>50834.781333333296</v>
          </cell>
          <cell r="J107">
            <v>1384</v>
          </cell>
          <cell r="K107">
            <v>1432.4830000000002</v>
          </cell>
        </row>
        <row r="108">
          <cell r="B108">
            <v>327</v>
          </cell>
          <cell r="C108">
            <v>0.39000000000000018</v>
          </cell>
          <cell r="D108">
            <v>0.89999999999999936</v>
          </cell>
          <cell r="E108">
            <v>32.594099999999976</v>
          </cell>
          <cell r="F108">
            <v>36.215666666666657</v>
          </cell>
          <cell r="G108">
            <v>50122.482666666663</v>
          </cell>
          <cell r="H108"/>
          <cell r="I108">
            <v>50122.482666666663</v>
          </cell>
          <cell r="J108">
            <v>1384</v>
          </cell>
          <cell r="K108">
            <v>1401.5463000000004</v>
          </cell>
        </row>
        <row r="109">
          <cell r="B109">
            <v>328</v>
          </cell>
          <cell r="C109">
            <v>0.39000000000000018</v>
          </cell>
          <cell r="D109">
            <v>0.89999999999999936</v>
          </cell>
          <cell r="E109">
            <v>32.378399999999978</v>
          </cell>
          <cell r="F109">
            <v>35.975999999999999</v>
          </cell>
          <cell r="G109">
            <v>49790.783999999963</v>
          </cell>
          <cell r="H109">
            <v>541.98000000000013</v>
          </cell>
          <cell r="I109">
            <v>49248.80399999996</v>
          </cell>
          <cell r="J109">
            <v>1384</v>
          </cell>
          <cell r="K109">
            <v>1392.2711999999992</v>
          </cell>
        </row>
        <row r="110">
          <cell r="B110">
            <v>329</v>
          </cell>
          <cell r="C110">
            <v>0.53000000000000014</v>
          </cell>
          <cell r="D110">
            <v>0.8</v>
          </cell>
          <cell r="E110">
            <v>53.245066666666645</v>
          </cell>
          <cell r="F110">
            <v>66.556333333333299</v>
          </cell>
          <cell r="G110">
            <v>83195.416666666672</v>
          </cell>
          <cell r="H110"/>
          <cell r="I110">
            <v>83195.416666666672</v>
          </cell>
          <cell r="J110">
            <v>1250</v>
          </cell>
          <cell r="K110">
            <v>2655.5976999999984</v>
          </cell>
        </row>
        <row r="111">
          <cell r="B111">
            <v>330</v>
          </cell>
          <cell r="C111">
            <v>0.53000000000000025</v>
          </cell>
          <cell r="D111">
            <v>0.79999999999999993</v>
          </cell>
          <cell r="E111">
            <v>37.407199999999982</v>
          </cell>
          <cell r="F111">
            <v>46.759000000000022</v>
          </cell>
          <cell r="G111">
            <v>58448.75</v>
          </cell>
          <cell r="H111"/>
          <cell r="I111">
            <v>58448.75</v>
          </cell>
          <cell r="J111">
            <v>1250</v>
          </cell>
          <cell r="K111">
            <v>1865.6841000000006</v>
          </cell>
        </row>
        <row r="112">
          <cell r="B112">
            <v>331</v>
          </cell>
          <cell r="C112">
            <v>0.5</v>
          </cell>
          <cell r="D112">
            <v>0.84000000000000064</v>
          </cell>
          <cell r="E112">
            <v>40.264000000000024</v>
          </cell>
          <cell r="F112">
            <v>47.93333333333333</v>
          </cell>
          <cell r="G112">
            <v>59916.666666666664</v>
          </cell>
          <cell r="H112"/>
          <cell r="I112">
            <v>59916.666666666664</v>
          </cell>
          <cell r="J112">
            <v>1250</v>
          </cell>
          <cell r="K112">
            <v>1926.9200000000014</v>
          </cell>
        </row>
        <row r="113">
          <cell r="B113">
            <v>332</v>
          </cell>
          <cell r="C113">
            <v>0.5</v>
          </cell>
          <cell r="D113">
            <v>0.84000000000000086</v>
          </cell>
          <cell r="E113">
            <v>44.412597014925339</v>
          </cell>
          <cell r="F113">
            <v>52.872139303482513</v>
          </cell>
          <cell r="G113">
            <v>66090.174129353196</v>
          </cell>
          <cell r="H113"/>
          <cell r="I113">
            <v>66090.174129353196</v>
          </cell>
          <cell r="J113">
            <v>1250</v>
          </cell>
          <cell r="K113">
            <v>2125.4599999999982</v>
          </cell>
        </row>
        <row r="114">
          <cell r="B114">
            <v>333</v>
          </cell>
          <cell r="C114">
            <v>0.48999999999999944</v>
          </cell>
          <cell r="D114">
            <v>0.79999999999999938</v>
          </cell>
          <cell r="E114">
            <v>45.201333333333345</v>
          </cell>
          <cell r="F114">
            <v>56.501666666666708</v>
          </cell>
          <cell r="G114">
            <v>70627.083333333372</v>
          </cell>
          <cell r="H114"/>
          <cell r="I114">
            <v>70627.083333333372</v>
          </cell>
          <cell r="J114">
            <v>1250</v>
          </cell>
          <cell r="K114">
            <v>2186.614500000002</v>
          </cell>
        </row>
        <row r="115">
          <cell r="B115">
            <v>335</v>
          </cell>
          <cell r="C115">
            <v>0.5</v>
          </cell>
          <cell r="D115">
            <v>1.0958333333333343</v>
          </cell>
          <cell r="E115">
            <v>52.364899999999984</v>
          </cell>
          <cell r="F115">
            <v>47.786333333333296</v>
          </cell>
          <cell r="G115">
            <v>78581.361333333392</v>
          </cell>
          <cell r="H115"/>
          <cell r="I115">
            <v>78581.361333333392</v>
          </cell>
          <cell r="J115">
            <v>1644.4583333333333</v>
          </cell>
          <cell r="K115">
            <v>2287.7420000000016</v>
          </cell>
        </row>
        <row r="116">
          <cell r="B116">
            <v>336</v>
          </cell>
          <cell r="C116">
            <v>0.5</v>
          </cell>
          <cell r="D116">
            <v>1.0956521739130445</v>
          </cell>
          <cell r="E116">
            <v>50.508099999999949</v>
          </cell>
          <cell r="F116">
            <v>46.098999999999982</v>
          </cell>
          <cell r="G116">
            <v>75796.285999999993</v>
          </cell>
          <cell r="H116"/>
          <cell r="I116">
            <v>75796.285999999993</v>
          </cell>
          <cell r="J116">
            <v>1644.2173913043478</v>
          </cell>
          <cell r="K116">
            <v>2206.7280000000005</v>
          </cell>
        </row>
        <row r="117">
          <cell r="B117">
            <v>337</v>
          </cell>
          <cell r="C117">
            <v>0.5</v>
          </cell>
          <cell r="D117">
            <v>1.0956521739130445</v>
          </cell>
          <cell r="E117">
            <v>50.063999999999986</v>
          </cell>
          <cell r="F117">
            <v>45.693333333333307</v>
          </cell>
          <cell r="G117">
            <v>75394</v>
          </cell>
          <cell r="H117"/>
          <cell r="I117">
            <v>75394</v>
          </cell>
          <cell r="J117">
            <v>1650</v>
          </cell>
          <cell r="K117">
            <v>2187.3200000000015</v>
          </cell>
        </row>
        <row r="118">
          <cell r="B118">
            <v>338</v>
          </cell>
          <cell r="C118">
            <v>0.4899999999999996</v>
          </cell>
          <cell r="D118">
            <v>1.1000000000000008</v>
          </cell>
          <cell r="E118">
            <v>52.963936666666697</v>
          </cell>
          <cell r="F118">
            <v>48.149033333333293</v>
          </cell>
          <cell r="G118">
            <v>79445.905000000028</v>
          </cell>
          <cell r="H118"/>
          <cell r="I118">
            <v>79445.905000000028</v>
          </cell>
          <cell r="J118">
            <v>1650</v>
          </cell>
          <cell r="K118">
            <v>2296.7088899999994</v>
          </cell>
        </row>
        <row r="119">
          <cell r="B119">
            <v>354</v>
          </cell>
          <cell r="C119">
            <v>0.39</v>
          </cell>
          <cell r="D119">
            <v>1.1400000000000003</v>
          </cell>
          <cell r="E119">
            <v>25.44575</v>
          </cell>
          <cell r="F119">
            <v>22.320833333333329</v>
          </cell>
          <cell r="G119">
            <v>39686.441666666666</v>
          </cell>
          <cell r="H119"/>
          <cell r="I119">
            <v>39686.441666666666</v>
          </cell>
          <cell r="J119">
            <v>1778</v>
          </cell>
          <cell r="K119">
            <v>1024.5262499999999</v>
          </cell>
        </row>
        <row r="120">
          <cell r="B120">
            <v>303</v>
          </cell>
          <cell r="C120">
            <v>0.48999999999999966</v>
          </cell>
          <cell r="D120">
            <v>1.1000000000000008</v>
          </cell>
          <cell r="E120">
            <v>51.74693333333331</v>
          </cell>
          <cell r="F120">
            <v>47.042666666666641</v>
          </cell>
          <cell r="G120">
            <v>77620.399999999994</v>
          </cell>
          <cell r="H120"/>
          <cell r="I120">
            <v>77620.399999999994</v>
          </cell>
          <cell r="J120">
            <v>1650</v>
          </cell>
          <cell r="K120">
            <v>2243.9351999999976</v>
          </cell>
        </row>
        <row r="121">
          <cell r="B121">
            <v>304</v>
          </cell>
          <cell r="C121">
            <v>0.38642857142857101</v>
          </cell>
          <cell r="D121">
            <v>0.95000000000000084</v>
          </cell>
          <cell r="E121">
            <v>55.647199999999934</v>
          </cell>
          <cell r="F121">
            <v>58.575999999999972</v>
          </cell>
          <cell r="G121">
            <v>87864</v>
          </cell>
          <cell r="H121"/>
          <cell r="I121">
            <v>87864</v>
          </cell>
          <cell r="J121">
            <v>1500</v>
          </cell>
          <cell r="K121">
            <v>2348.4791999999998</v>
          </cell>
        </row>
        <row r="122">
          <cell r="B122">
            <v>314</v>
          </cell>
          <cell r="C122">
            <v>0.39000000000000024</v>
          </cell>
          <cell r="D122">
            <v>0.95000000000000029</v>
          </cell>
          <cell r="E122">
            <v>43.109934848484869</v>
          </cell>
          <cell r="F122">
            <v>45.378878787878818</v>
          </cell>
          <cell r="G122">
            <v>68068.318181818133</v>
          </cell>
          <cell r="H122"/>
          <cell r="I122">
            <v>68068.318181818133</v>
          </cell>
          <cell r="J122">
            <v>1500</v>
          </cell>
          <cell r="K122">
            <v>1824.2309272727286</v>
          </cell>
        </row>
        <row r="123">
          <cell r="B123">
            <v>334</v>
          </cell>
          <cell r="C123">
            <v>0.5</v>
          </cell>
          <cell r="D123">
            <v>1.0958333333333343</v>
          </cell>
          <cell r="E123">
            <v>51.43923333333332</v>
          </cell>
          <cell r="F123">
            <v>46.94233333333333</v>
          </cell>
          <cell r="G123">
            <v>77192.396666666653</v>
          </cell>
          <cell r="H123"/>
          <cell r="I123">
            <v>77192.396666666653</v>
          </cell>
          <cell r="J123">
            <v>1644.4583333333333</v>
          </cell>
          <cell r="K123">
            <v>2247.3119999999985</v>
          </cell>
        </row>
        <row r="124">
          <cell r="B124" t="str">
            <v>Total general</v>
          </cell>
          <cell r="C124">
            <v>0.46534528752126447</v>
          </cell>
          <cell r="D124">
            <v>0.9936491502246465</v>
          </cell>
          <cell r="E124">
            <v>4999.5637280542223</v>
          </cell>
          <cell r="F124">
            <v>5038.0771125361289</v>
          </cell>
          <cell r="G124">
            <v>7640783.5780199608</v>
          </cell>
          <cell r="H124">
            <v>10812.608650000026</v>
          </cell>
          <cell r="I124">
            <v>7629970.9693699609</v>
          </cell>
          <cell r="J124">
            <v>1518.8200820472748</v>
          </cell>
          <cell r="K124">
            <v>220479.02907144828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ia Coyago" refreshedDate="45376.605677662039" createdVersion="4" refreshedVersion="7" minRefreshableVersion="3" recordCount="469" xr:uid="{00000000-000A-0000-FFFF-FFFF30000000}">
  <cacheSource type="worksheet">
    <worksheetSource ref="A2:L471" sheet="CALCULO DRENCH EGRESO PASO 2"/>
  </cacheSource>
  <cacheFields count="12">
    <cacheField name="PRODUCTO" numFmtId="0">
      <sharedItems containsBlank="1" containsMixedTypes="1" containsNumber="1" containsInteger="1" minValue="0" maxValue="0" count="19">
        <n v="0"/>
        <s v="ALBA PAC"/>
        <s v="Vitavax flo"/>
        <s v="Agral"/>
        <s v="ALCAPLANT"/>
        <s v="Beauveria"/>
        <s v="Paecilomyces"/>
        <s v="Muriato de k blanco"/>
        <s v="Bac"/>
        <s v="RAIZA"/>
        <s v="Humistar WG"/>
        <s v="NAKAR 20 EC "/>
        <s v="Novak"/>
        <s v="OZONIC"/>
        <s v="Nitrato calcio "/>
        <s v="Trichoderma"/>
        <s v="PARALANCHA"/>
        <s v="KOCIDE 101 77% "/>
        <m/>
      </sharedItems>
    </cacheField>
    <cacheField name="B" numFmtId="0">
      <sharedItems containsNonDate="0" containsString="0" containsBlank="1"/>
    </cacheField>
    <cacheField name="CODIGO" numFmtId="0">
      <sharedItems containsBlank="1" containsMixedTypes="1" containsNumber="1" containsInteger="1" minValue="0" maxValue="0" count="15">
        <s v="0"/>
        <s v="FA060"/>
        <s v="PF165"/>
        <s v="PJ010"/>
        <s v="FA053"/>
        <s v="FB998"/>
        <s v="FB996"/>
        <s v="FA065"/>
        <s v="HB042"/>
        <s v="FB058"/>
        <s v="PF164"/>
        <s v="FB999"/>
        <s v="PF160"/>
        <m/>
        <n v="0" u="1"/>
      </sharedItems>
    </cacheField>
    <cacheField name="CANTIDAD" numFmtId="0">
      <sharedItems containsString="0" containsBlank="1" containsNumber="1" minValue="0" maxValue="23120"/>
    </cacheField>
    <cacheField name="USO FINAL (Blanco)" numFmtId="0">
      <sharedItems containsNonDate="0" containsString="0" containsBlank="1"/>
    </cacheField>
    <cacheField name="UNIDAD (Blanco)" numFmtId="0">
      <sharedItems containsNonDate="0" containsString="0" containsBlank="1"/>
    </cacheField>
    <cacheField name="LOTE (Blanco)" numFmtId="0">
      <sharedItems containsNonDate="0" containsString="0" containsBlank="1"/>
    </cacheField>
    <cacheField name="BLOQUE" numFmtId="0">
      <sharedItems containsBlank="1" containsMixedTypes="1" containsNumber="1" containsInteger="1" minValue="0" maxValue="354" count="123">
        <n v="29"/>
        <s v="306A"/>
        <s v="306B"/>
        <n v="324"/>
        <s v="307B"/>
        <n v="6"/>
        <s v="314A"/>
        <n v="332"/>
        <s v="314B"/>
        <n v="8"/>
        <n v="27"/>
        <n v="28"/>
        <n v="309"/>
        <n v="330"/>
        <n v="302"/>
        <n v="316"/>
        <n v="333"/>
        <n v="305"/>
        <n v="312"/>
        <n v="14"/>
        <s v="303A"/>
        <n v="327"/>
        <n v="10"/>
        <n v="25"/>
        <n v="310"/>
        <n v="321"/>
        <n v="1"/>
        <n v="13"/>
        <n v="318"/>
        <n v="319"/>
        <n v="320"/>
        <s v="313A"/>
        <s v="313B"/>
        <n v="308"/>
        <n v="11"/>
        <n v="322"/>
        <s v="303B"/>
        <n v="18"/>
        <n v="26"/>
        <n v="335"/>
        <n v="334"/>
        <s v="304A"/>
        <s v="304B"/>
        <n v="323"/>
        <n v="325"/>
        <n v="336"/>
        <n v="16"/>
        <n v="12"/>
        <n v="328"/>
        <n v="329"/>
        <n v="337"/>
        <n v="21"/>
        <n v="338"/>
        <s v="317A"/>
        <n v="20"/>
        <s v="307A"/>
        <s v="317B"/>
        <n v="315"/>
        <n v="0"/>
        <m/>
        <n v="7" u="1"/>
        <n v="3" u="1"/>
        <n v="69" u="1"/>
        <n v="82" u="1"/>
        <n v="108" u="1"/>
        <n v="68" u="1"/>
        <n v="221" u="1"/>
        <n v="19" u="1"/>
        <n v="81" u="1"/>
        <n v="220" u="1"/>
        <n v="59" u="1"/>
        <n v="107" u="1"/>
        <n v="22" u="1"/>
        <n v="9" u="1"/>
        <n v="106" u="1"/>
        <n v="105" u="1"/>
        <n v="65" u="1"/>
        <n v="215" u="1"/>
        <n v="78" u="1"/>
        <n v="214" u="1"/>
        <n v="331" u="1"/>
        <n v="104" u="1"/>
        <n v="64" u="1"/>
        <n v="5" u="1"/>
        <n v="2" u="1"/>
        <n v="77" u="1"/>
        <n v="212" u="1"/>
        <n v="103" u="1"/>
        <n v="326" u="1"/>
        <n v="211" u="1"/>
        <n v="76" u="1"/>
        <n v="210" u="1"/>
        <n v="102" u="1"/>
        <n v="63" u="1"/>
        <n v="75" u="1"/>
        <n v="24" u="1"/>
        <n v="15" u="1"/>
        <n v="4" u="1"/>
        <n v="101" u="1"/>
        <n v="317" u="1"/>
        <n v="74" u="1"/>
        <n v="62" u="1"/>
        <n v="314" u="1"/>
        <n v="17" u="1"/>
        <n v="313" u="1"/>
        <n v="73" u="1"/>
        <n v="204" u="1"/>
        <n v="72" u="1"/>
        <n v="307" u="1"/>
        <n v="61" u="1"/>
        <n v="306" u="1"/>
        <n v="201" u="1"/>
        <n v="71" u="1"/>
        <n v="84" u="1"/>
        <n v="23" u="1"/>
        <n v="303" u="1"/>
        <n v="226" u="1"/>
        <n v="70" u="1"/>
        <n v="354" u="1"/>
        <n v="83" u="1"/>
        <n v="352" u="1"/>
        <n v="60" u="1"/>
        <n v="351" u="1"/>
      </sharedItems>
    </cacheField>
    <cacheField name="Descripción 1 (Blanco)" numFmtId="0">
      <sharedItems containsNonDate="0" containsString="0" containsBlank="1"/>
    </cacheField>
    <cacheField name="Descripción 2 (Blanco)" numFmtId="0">
      <sharedItems containsNonDate="0" containsString="0" containsBlank="1"/>
    </cacheField>
    <cacheField name="Area" numFmtId="0">
      <sharedItems containsBlank="1" containsMixedTypes="1" containsNumber="1" containsInteger="1" minValue="0" maxValue="0" count="6">
        <n v="0"/>
        <e v="#N/A"/>
        <m/>
        <s v="MM3" u="1"/>
        <s v="MM1" u="1"/>
        <s v="MM2" u="1"/>
      </sharedItems>
    </cacheField>
    <cacheField name="DIA DE EGRES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x v="0"/>
    <m/>
    <x v="0"/>
    <n v="0"/>
    <m/>
    <m/>
    <m/>
    <x v="0"/>
    <m/>
    <m/>
    <x v="0"/>
    <m/>
  </r>
  <r>
    <x v="0"/>
    <m/>
    <x v="0"/>
    <n v="0"/>
    <m/>
    <m/>
    <m/>
    <x v="0"/>
    <m/>
    <m/>
    <x v="0"/>
    <m/>
  </r>
  <r>
    <x v="0"/>
    <m/>
    <x v="0"/>
    <n v="0"/>
    <m/>
    <m/>
    <m/>
    <x v="0"/>
    <m/>
    <m/>
    <x v="0"/>
    <m/>
  </r>
  <r>
    <x v="0"/>
    <m/>
    <x v="0"/>
    <n v="0"/>
    <m/>
    <m/>
    <m/>
    <x v="0"/>
    <m/>
    <m/>
    <x v="0"/>
    <m/>
  </r>
  <r>
    <x v="0"/>
    <m/>
    <x v="0"/>
    <n v="0"/>
    <m/>
    <m/>
    <m/>
    <x v="0"/>
    <m/>
    <m/>
    <x v="0"/>
    <m/>
  </r>
  <r>
    <x v="0"/>
    <m/>
    <x v="0"/>
    <n v="0"/>
    <m/>
    <m/>
    <m/>
    <x v="0"/>
    <m/>
    <m/>
    <x v="0"/>
    <m/>
  </r>
  <r>
    <x v="0"/>
    <m/>
    <x v="0"/>
    <n v="0"/>
    <m/>
    <m/>
    <m/>
    <x v="1"/>
    <m/>
    <m/>
    <x v="0"/>
    <m/>
  </r>
  <r>
    <x v="0"/>
    <m/>
    <x v="0"/>
    <n v="0"/>
    <m/>
    <m/>
    <m/>
    <x v="1"/>
    <m/>
    <m/>
    <x v="0"/>
    <m/>
  </r>
  <r>
    <x v="0"/>
    <m/>
    <x v="0"/>
    <n v="0"/>
    <m/>
    <m/>
    <m/>
    <x v="1"/>
    <m/>
    <m/>
    <x v="0"/>
    <m/>
  </r>
  <r>
    <x v="0"/>
    <m/>
    <x v="0"/>
    <n v="0"/>
    <m/>
    <m/>
    <m/>
    <x v="1"/>
    <m/>
    <m/>
    <x v="0"/>
    <m/>
  </r>
  <r>
    <x v="0"/>
    <m/>
    <x v="0"/>
    <n v="0"/>
    <m/>
    <m/>
    <m/>
    <x v="1"/>
    <m/>
    <m/>
    <x v="0"/>
    <m/>
  </r>
  <r>
    <x v="0"/>
    <m/>
    <x v="0"/>
    <n v="0"/>
    <m/>
    <m/>
    <m/>
    <x v="1"/>
    <m/>
    <m/>
    <x v="0"/>
    <m/>
  </r>
  <r>
    <x v="0"/>
    <m/>
    <x v="0"/>
    <n v="0"/>
    <m/>
    <m/>
    <m/>
    <x v="2"/>
    <m/>
    <m/>
    <x v="0"/>
    <m/>
  </r>
  <r>
    <x v="0"/>
    <m/>
    <x v="0"/>
    <n v="0"/>
    <m/>
    <m/>
    <m/>
    <x v="2"/>
    <m/>
    <m/>
    <x v="0"/>
    <m/>
  </r>
  <r>
    <x v="0"/>
    <m/>
    <x v="0"/>
    <n v="0"/>
    <m/>
    <m/>
    <m/>
    <x v="2"/>
    <m/>
    <m/>
    <x v="0"/>
    <m/>
  </r>
  <r>
    <x v="0"/>
    <m/>
    <x v="0"/>
    <n v="0"/>
    <m/>
    <m/>
    <m/>
    <x v="2"/>
    <m/>
    <m/>
    <x v="0"/>
    <m/>
  </r>
  <r>
    <x v="0"/>
    <m/>
    <x v="0"/>
    <n v="0"/>
    <m/>
    <m/>
    <m/>
    <x v="2"/>
    <m/>
    <m/>
    <x v="0"/>
    <m/>
  </r>
  <r>
    <x v="0"/>
    <m/>
    <x v="0"/>
    <n v="0"/>
    <m/>
    <m/>
    <m/>
    <x v="2"/>
    <m/>
    <m/>
    <x v="0"/>
    <m/>
  </r>
  <r>
    <x v="0"/>
    <m/>
    <x v="0"/>
    <n v="0"/>
    <m/>
    <m/>
    <m/>
    <x v="3"/>
    <m/>
    <m/>
    <x v="0"/>
    <m/>
  </r>
  <r>
    <x v="0"/>
    <m/>
    <x v="0"/>
    <n v="0"/>
    <m/>
    <m/>
    <m/>
    <x v="3"/>
    <m/>
    <m/>
    <x v="0"/>
    <m/>
  </r>
  <r>
    <x v="0"/>
    <m/>
    <x v="0"/>
    <n v="0"/>
    <m/>
    <m/>
    <m/>
    <x v="3"/>
    <m/>
    <m/>
    <x v="0"/>
    <m/>
  </r>
  <r>
    <x v="0"/>
    <m/>
    <x v="0"/>
    <n v="0"/>
    <m/>
    <m/>
    <m/>
    <x v="3"/>
    <m/>
    <m/>
    <x v="0"/>
    <m/>
  </r>
  <r>
    <x v="0"/>
    <m/>
    <x v="0"/>
    <n v="0"/>
    <m/>
    <m/>
    <m/>
    <x v="3"/>
    <m/>
    <m/>
    <x v="0"/>
    <m/>
  </r>
  <r>
    <x v="0"/>
    <m/>
    <x v="0"/>
    <n v="0"/>
    <m/>
    <m/>
    <m/>
    <x v="3"/>
    <m/>
    <m/>
    <x v="0"/>
    <m/>
  </r>
  <r>
    <x v="0"/>
    <m/>
    <x v="0"/>
    <n v="0"/>
    <m/>
    <m/>
    <m/>
    <x v="4"/>
    <m/>
    <m/>
    <x v="0"/>
    <m/>
  </r>
  <r>
    <x v="0"/>
    <m/>
    <x v="0"/>
    <n v="0"/>
    <m/>
    <m/>
    <m/>
    <x v="4"/>
    <m/>
    <m/>
    <x v="0"/>
    <m/>
  </r>
  <r>
    <x v="0"/>
    <m/>
    <x v="0"/>
    <n v="0"/>
    <m/>
    <m/>
    <m/>
    <x v="4"/>
    <m/>
    <m/>
    <x v="0"/>
    <m/>
  </r>
  <r>
    <x v="0"/>
    <m/>
    <x v="0"/>
    <n v="0"/>
    <m/>
    <m/>
    <m/>
    <x v="4"/>
    <m/>
    <m/>
    <x v="0"/>
    <m/>
  </r>
  <r>
    <x v="0"/>
    <m/>
    <x v="0"/>
    <n v="0"/>
    <m/>
    <m/>
    <m/>
    <x v="4"/>
    <m/>
    <m/>
    <x v="0"/>
    <m/>
  </r>
  <r>
    <x v="0"/>
    <m/>
    <x v="0"/>
    <n v="0"/>
    <m/>
    <m/>
    <m/>
    <x v="4"/>
    <m/>
    <m/>
    <x v="0"/>
    <m/>
  </r>
  <r>
    <x v="0"/>
    <m/>
    <x v="0"/>
    <n v="0"/>
    <m/>
    <m/>
    <m/>
    <x v="5"/>
    <m/>
    <m/>
    <x v="0"/>
    <m/>
  </r>
  <r>
    <x v="0"/>
    <m/>
    <x v="0"/>
    <n v="0"/>
    <m/>
    <m/>
    <m/>
    <x v="5"/>
    <m/>
    <m/>
    <x v="0"/>
    <m/>
  </r>
  <r>
    <x v="0"/>
    <m/>
    <x v="0"/>
    <n v="0"/>
    <m/>
    <m/>
    <m/>
    <x v="5"/>
    <m/>
    <m/>
    <x v="0"/>
    <m/>
  </r>
  <r>
    <x v="0"/>
    <m/>
    <x v="0"/>
    <n v="0"/>
    <m/>
    <m/>
    <m/>
    <x v="5"/>
    <m/>
    <m/>
    <x v="0"/>
    <m/>
  </r>
  <r>
    <x v="0"/>
    <m/>
    <x v="0"/>
    <n v="0"/>
    <m/>
    <m/>
    <m/>
    <x v="5"/>
    <m/>
    <m/>
    <x v="0"/>
    <m/>
  </r>
  <r>
    <x v="0"/>
    <m/>
    <x v="0"/>
    <n v="0"/>
    <m/>
    <m/>
    <m/>
    <x v="5"/>
    <m/>
    <m/>
    <x v="0"/>
    <m/>
  </r>
  <r>
    <x v="0"/>
    <m/>
    <x v="0"/>
    <n v="0"/>
    <m/>
    <m/>
    <m/>
    <x v="6"/>
    <m/>
    <m/>
    <x v="0"/>
    <m/>
  </r>
  <r>
    <x v="0"/>
    <m/>
    <x v="0"/>
    <n v="0"/>
    <m/>
    <m/>
    <m/>
    <x v="6"/>
    <m/>
    <m/>
    <x v="0"/>
    <m/>
  </r>
  <r>
    <x v="0"/>
    <m/>
    <x v="0"/>
    <n v="0"/>
    <m/>
    <m/>
    <m/>
    <x v="6"/>
    <m/>
    <m/>
    <x v="0"/>
    <m/>
  </r>
  <r>
    <x v="0"/>
    <m/>
    <x v="0"/>
    <n v="0"/>
    <m/>
    <m/>
    <m/>
    <x v="6"/>
    <m/>
    <m/>
    <x v="0"/>
    <m/>
  </r>
  <r>
    <x v="0"/>
    <m/>
    <x v="0"/>
    <n v="0"/>
    <m/>
    <m/>
    <m/>
    <x v="6"/>
    <m/>
    <m/>
    <x v="0"/>
    <m/>
  </r>
  <r>
    <x v="0"/>
    <m/>
    <x v="0"/>
    <n v="0"/>
    <m/>
    <m/>
    <m/>
    <x v="6"/>
    <m/>
    <m/>
    <x v="0"/>
    <m/>
  </r>
  <r>
    <x v="0"/>
    <m/>
    <x v="0"/>
    <n v="0"/>
    <m/>
    <m/>
    <m/>
    <x v="7"/>
    <m/>
    <m/>
    <x v="0"/>
    <m/>
  </r>
  <r>
    <x v="0"/>
    <m/>
    <x v="0"/>
    <n v="0"/>
    <m/>
    <m/>
    <m/>
    <x v="7"/>
    <m/>
    <m/>
    <x v="0"/>
    <m/>
  </r>
  <r>
    <x v="0"/>
    <m/>
    <x v="0"/>
    <n v="0"/>
    <m/>
    <m/>
    <m/>
    <x v="7"/>
    <m/>
    <m/>
    <x v="0"/>
    <m/>
  </r>
  <r>
    <x v="0"/>
    <m/>
    <x v="0"/>
    <n v="0"/>
    <m/>
    <m/>
    <m/>
    <x v="7"/>
    <m/>
    <m/>
    <x v="0"/>
    <m/>
  </r>
  <r>
    <x v="0"/>
    <m/>
    <x v="0"/>
    <n v="0"/>
    <m/>
    <m/>
    <m/>
    <x v="7"/>
    <m/>
    <m/>
    <x v="0"/>
    <m/>
  </r>
  <r>
    <x v="0"/>
    <m/>
    <x v="0"/>
    <n v="0"/>
    <m/>
    <m/>
    <m/>
    <x v="7"/>
    <m/>
    <m/>
    <x v="0"/>
    <m/>
  </r>
  <r>
    <x v="1"/>
    <m/>
    <x v="1"/>
    <n v="16950"/>
    <m/>
    <m/>
    <m/>
    <x v="8"/>
    <m/>
    <m/>
    <x v="0"/>
    <m/>
  </r>
  <r>
    <x v="0"/>
    <m/>
    <x v="0"/>
    <n v="0"/>
    <m/>
    <m/>
    <m/>
    <x v="8"/>
    <m/>
    <m/>
    <x v="0"/>
    <m/>
  </r>
  <r>
    <x v="0"/>
    <m/>
    <x v="0"/>
    <n v="0"/>
    <m/>
    <m/>
    <m/>
    <x v="8"/>
    <m/>
    <m/>
    <x v="0"/>
    <m/>
  </r>
  <r>
    <x v="0"/>
    <m/>
    <x v="0"/>
    <n v="0"/>
    <m/>
    <m/>
    <m/>
    <x v="8"/>
    <m/>
    <m/>
    <x v="0"/>
    <m/>
  </r>
  <r>
    <x v="0"/>
    <m/>
    <x v="0"/>
    <n v="0"/>
    <m/>
    <m/>
    <m/>
    <x v="8"/>
    <m/>
    <m/>
    <x v="0"/>
    <m/>
  </r>
  <r>
    <x v="0"/>
    <m/>
    <x v="0"/>
    <n v="0"/>
    <m/>
    <m/>
    <m/>
    <x v="8"/>
    <m/>
    <m/>
    <x v="0"/>
    <m/>
  </r>
  <r>
    <x v="0"/>
    <m/>
    <x v="0"/>
    <n v="0"/>
    <m/>
    <m/>
    <m/>
    <x v="9"/>
    <m/>
    <m/>
    <x v="0"/>
    <m/>
  </r>
  <r>
    <x v="0"/>
    <m/>
    <x v="0"/>
    <n v="0"/>
    <m/>
    <m/>
    <m/>
    <x v="9"/>
    <m/>
    <m/>
    <x v="0"/>
    <m/>
  </r>
  <r>
    <x v="0"/>
    <m/>
    <x v="0"/>
    <n v="0"/>
    <m/>
    <m/>
    <m/>
    <x v="9"/>
    <m/>
    <m/>
    <x v="0"/>
    <m/>
  </r>
  <r>
    <x v="0"/>
    <m/>
    <x v="0"/>
    <n v="0"/>
    <m/>
    <m/>
    <m/>
    <x v="9"/>
    <m/>
    <m/>
    <x v="0"/>
    <m/>
  </r>
  <r>
    <x v="0"/>
    <m/>
    <x v="0"/>
    <n v="0"/>
    <m/>
    <m/>
    <m/>
    <x v="9"/>
    <m/>
    <m/>
    <x v="0"/>
    <m/>
  </r>
  <r>
    <x v="0"/>
    <m/>
    <x v="0"/>
    <n v="0"/>
    <m/>
    <m/>
    <m/>
    <x v="9"/>
    <m/>
    <m/>
    <x v="0"/>
    <m/>
  </r>
  <r>
    <x v="0"/>
    <m/>
    <x v="0"/>
    <n v="0"/>
    <m/>
    <m/>
    <m/>
    <x v="10"/>
    <m/>
    <m/>
    <x v="0"/>
    <m/>
  </r>
  <r>
    <x v="0"/>
    <m/>
    <x v="0"/>
    <n v="0"/>
    <m/>
    <m/>
    <m/>
    <x v="10"/>
    <m/>
    <m/>
    <x v="0"/>
    <m/>
  </r>
  <r>
    <x v="0"/>
    <m/>
    <x v="0"/>
    <n v="0"/>
    <m/>
    <m/>
    <m/>
    <x v="10"/>
    <m/>
    <m/>
    <x v="0"/>
    <m/>
  </r>
  <r>
    <x v="0"/>
    <m/>
    <x v="0"/>
    <n v="0"/>
    <m/>
    <m/>
    <m/>
    <x v="10"/>
    <m/>
    <m/>
    <x v="0"/>
    <m/>
  </r>
  <r>
    <x v="0"/>
    <m/>
    <x v="0"/>
    <n v="0"/>
    <m/>
    <m/>
    <m/>
    <x v="10"/>
    <m/>
    <m/>
    <x v="0"/>
    <m/>
  </r>
  <r>
    <x v="0"/>
    <m/>
    <x v="0"/>
    <n v="0"/>
    <m/>
    <m/>
    <m/>
    <x v="10"/>
    <m/>
    <m/>
    <x v="0"/>
    <m/>
  </r>
  <r>
    <x v="0"/>
    <m/>
    <x v="0"/>
    <n v="0"/>
    <m/>
    <m/>
    <m/>
    <x v="11"/>
    <m/>
    <m/>
    <x v="0"/>
    <m/>
  </r>
  <r>
    <x v="0"/>
    <m/>
    <x v="0"/>
    <n v="0"/>
    <m/>
    <m/>
    <m/>
    <x v="11"/>
    <m/>
    <m/>
    <x v="0"/>
    <m/>
  </r>
  <r>
    <x v="0"/>
    <m/>
    <x v="0"/>
    <n v="0"/>
    <m/>
    <m/>
    <m/>
    <x v="11"/>
    <m/>
    <m/>
    <x v="0"/>
    <m/>
  </r>
  <r>
    <x v="0"/>
    <m/>
    <x v="0"/>
    <n v="0"/>
    <m/>
    <m/>
    <m/>
    <x v="11"/>
    <m/>
    <m/>
    <x v="0"/>
    <m/>
  </r>
  <r>
    <x v="0"/>
    <m/>
    <x v="0"/>
    <n v="0"/>
    <m/>
    <m/>
    <m/>
    <x v="11"/>
    <m/>
    <m/>
    <x v="0"/>
    <m/>
  </r>
  <r>
    <x v="0"/>
    <m/>
    <x v="0"/>
    <n v="0"/>
    <m/>
    <m/>
    <m/>
    <x v="11"/>
    <m/>
    <m/>
    <x v="0"/>
    <m/>
  </r>
  <r>
    <x v="0"/>
    <m/>
    <x v="0"/>
    <n v="0"/>
    <m/>
    <m/>
    <m/>
    <x v="12"/>
    <m/>
    <m/>
    <x v="0"/>
    <m/>
  </r>
  <r>
    <x v="0"/>
    <m/>
    <x v="0"/>
    <n v="0"/>
    <m/>
    <m/>
    <m/>
    <x v="12"/>
    <m/>
    <m/>
    <x v="0"/>
    <m/>
  </r>
  <r>
    <x v="0"/>
    <m/>
    <x v="0"/>
    <n v="0"/>
    <m/>
    <m/>
    <m/>
    <x v="12"/>
    <m/>
    <m/>
    <x v="0"/>
    <m/>
  </r>
  <r>
    <x v="0"/>
    <m/>
    <x v="0"/>
    <n v="0"/>
    <m/>
    <m/>
    <m/>
    <x v="12"/>
    <m/>
    <m/>
    <x v="0"/>
    <m/>
  </r>
  <r>
    <x v="0"/>
    <m/>
    <x v="0"/>
    <n v="0"/>
    <m/>
    <m/>
    <m/>
    <x v="12"/>
    <m/>
    <m/>
    <x v="0"/>
    <m/>
  </r>
  <r>
    <x v="0"/>
    <m/>
    <x v="0"/>
    <n v="0"/>
    <m/>
    <m/>
    <m/>
    <x v="12"/>
    <m/>
    <m/>
    <x v="0"/>
    <m/>
  </r>
  <r>
    <x v="0"/>
    <m/>
    <x v="0"/>
    <n v="0"/>
    <m/>
    <m/>
    <m/>
    <x v="13"/>
    <m/>
    <m/>
    <x v="0"/>
    <m/>
  </r>
  <r>
    <x v="0"/>
    <m/>
    <x v="0"/>
    <n v="0"/>
    <m/>
    <m/>
    <m/>
    <x v="13"/>
    <m/>
    <m/>
    <x v="0"/>
    <m/>
  </r>
  <r>
    <x v="0"/>
    <m/>
    <x v="0"/>
    <n v="0"/>
    <m/>
    <m/>
    <m/>
    <x v="13"/>
    <m/>
    <m/>
    <x v="0"/>
    <m/>
  </r>
  <r>
    <x v="0"/>
    <m/>
    <x v="0"/>
    <n v="0"/>
    <m/>
    <m/>
    <m/>
    <x v="13"/>
    <m/>
    <m/>
    <x v="0"/>
    <m/>
  </r>
  <r>
    <x v="0"/>
    <m/>
    <x v="0"/>
    <n v="0"/>
    <m/>
    <m/>
    <m/>
    <x v="13"/>
    <m/>
    <m/>
    <x v="0"/>
    <m/>
  </r>
  <r>
    <x v="0"/>
    <m/>
    <x v="0"/>
    <n v="0"/>
    <m/>
    <m/>
    <m/>
    <x v="13"/>
    <m/>
    <m/>
    <x v="0"/>
    <m/>
  </r>
  <r>
    <x v="0"/>
    <m/>
    <x v="0"/>
    <n v="0"/>
    <m/>
    <m/>
    <m/>
    <x v="14"/>
    <m/>
    <m/>
    <x v="0"/>
    <m/>
  </r>
  <r>
    <x v="0"/>
    <m/>
    <x v="0"/>
    <n v="0"/>
    <m/>
    <m/>
    <m/>
    <x v="14"/>
    <m/>
    <m/>
    <x v="0"/>
    <m/>
  </r>
  <r>
    <x v="0"/>
    <m/>
    <x v="0"/>
    <n v="0"/>
    <m/>
    <m/>
    <m/>
    <x v="14"/>
    <m/>
    <m/>
    <x v="0"/>
    <m/>
  </r>
  <r>
    <x v="0"/>
    <m/>
    <x v="0"/>
    <n v="0"/>
    <m/>
    <m/>
    <m/>
    <x v="14"/>
    <m/>
    <m/>
    <x v="0"/>
    <m/>
  </r>
  <r>
    <x v="0"/>
    <m/>
    <x v="0"/>
    <n v="0"/>
    <m/>
    <m/>
    <m/>
    <x v="14"/>
    <m/>
    <m/>
    <x v="0"/>
    <m/>
  </r>
  <r>
    <x v="0"/>
    <m/>
    <x v="0"/>
    <n v="0"/>
    <m/>
    <m/>
    <m/>
    <x v="14"/>
    <m/>
    <m/>
    <x v="0"/>
    <m/>
  </r>
  <r>
    <x v="0"/>
    <m/>
    <x v="0"/>
    <n v="0"/>
    <m/>
    <m/>
    <m/>
    <x v="15"/>
    <m/>
    <m/>
    <x v="0"/>
    <m/>
  </r>
  <r>
    <x v="0"/>
    <m/>
    <x v="0"/>
    <n v="0"/>
    <m/>
    <m/>
    <m/>
    <x v="15"/>
    <m/>
    <m/>
    <x v="0"/>
    <m/>
  </r>
  <r>
    <x v="0"/>
    <m/>
    <x v="0"/>
    <n v="0"/>
    <m/>
    <m/>
    <m/>
    <x v="15"/>
    <m/>
    <m/>
    <x v="0"/>
    <m/>
  </r>
  <r>
    <x v="0"/>
    <m/>
    <x v="0"/>
    <n v="0"/>
    <m/>
    <m/>
    <m/>
    <x v="15"/>
    <m/>
    <m/>
    <x v="0"/>
    <m/>
  </r>
  <r>
    <x v="0"/>
    <m/>
    <x v="0"/>
    <n v="0"/>
    <m/>
    <m/>
    <m/>
    <x v="15"/>
    <m/>
    <m/>
    <x v="0"/>
    <m/>
  </r>
  <r>
    <x v="0"/>
    <m/>
    <x v="0"/>
    <n v="0"/>
    <m/>
    <m/>
    <m/>
    <x v="15"/>
    <m/>
    <m/>
    <x v="0"/>
    <m/>
  </r>
  <r>
    <x v="2"/>
    <m/>
    <x v="2"/>
    <n v="780"/>
    <m/>
    <m/>
    <m/>
    <x v="16"/>
    <m/>
    <m/>
    <x v="0"/>
    <m/>
  </r>
  <r>
    <x v="3"/>
    <m/>
    <x v="3"/>
    <n v="78"/>
    <m/>
    <m/>
    <m/>
    <x v="16"/>
    <m/>
    <m/>
    <x v="0"/>
    <m/>
  </r>
  <r>
    <x v="0"/>
    <m/>
    <x v="0"/>
    <n v="0"/>
    <m/>
    <m/>
    <m/>
    <x v="16"/>
    <m/>
    <m/>
    <x v="0"/>
    <m/>
  </r>
  <r>
    <x v="0"/>
    <m/>
    <x v="0"/>
    <n v="0"/>
    <m/>
    <m/>
    <m/>
    <x v="16"/>
    <m/>
    <m/>
    <x v="0"/>
    <m/>
  </r>
  <r>
    <x v="0"/>
    <m/>
    <x v="0"/>
    <n v="0"/>
    <m/>
    <m/>
    <m/>
    <x v="16"/>
    <m/>
    <m/>
    <x v="0"/>
    <m/>
  </r>
  <r>
    <x v="0"/>
    <m/>
    <x v="0"/>
    <n v="0"/>
    <m/>
    <m/>
    <m/>
    <x v="16"/>
    <m/>
    <m/>
    <x v="0"/>
    <m/>
  </r>
  <r>
    <x v="2"/>
    <m/>
    <x v="2"/>
    <n v="780"/>
    <m/>
    <m/>
    <m/>
    <x v="17"/>
    <m/>
    <m/>
    <x v="0"/>
    <m/>
  </r>
  <r>
    <x v="3"/>
    <m/>
    <x v="3"/>
    <n v="78"/>
    <m/>
    <m/>
    <m/>
    <x v="17"/>
    <m/>
    <m/>
    <x v="0"/>
    <m/>
  </r>
  <r>
    <x v="0"/>
    <m/>
    <x v="0"/>
    <n v="0"/>
    <m/>
    <m/>
    <m/>
    <x v="17"/>
    <m/>
    <m/>
    <x v="0"/>
    <m/>
  </r>
  <r>
    <x v="0"/>
    <m/>
    <x v="0"/>
    <n v="0"/>
    <m/>
    <m/>
    <m/>
    <x v="17"/>
    <m/>
    <m/>
    <x v="0"/>
    <m/>
  </r>
  <r>
    <x v="0"/>
    <m/>
    <x v="0"/>
    <n v="0"/>
    <m/>
    <m/>
    <m/>
    <x v="17"/>
    <m/>
    <m/>
    <x v="0"/>
    <m/>
  </r>
  <r>
    <x v="0"/>
    <m/>
    <x v="0"/>
    <n v="0"/>
    <m/>
    <m/>
    <m/>
    <x v="17"/>
    <m/>
    <m/>
    <x v="0"/>
    <m/>
  </r>
  <r>
    <x v="4"/>
    <m/>
    <x v="4"/>
    <n v="2420"/>
    <m/>
    <m/>
    <m/>
    <x v="18"/>
    <m/>
    <m/>
    <x v="0"/>
    <m/>
  </r>
  <r>
    <x v="0"/>
    <m/>
    <x v="0"/>
    <n v="0"/>
    <m/>
    <m/>
    <m/>
    <x v="18"/>
    <m/>
    <m/>
    <x v="0"/>
    <m/>
  </r>
  <r>
    <x v="0"/>
    <m/>
    <x v="0"/>
    <n v="0"/>
    <m/>
    <m/>
    <m/>
    <x v="18"/>
    <m/>
    <m/>
    <x v="0"/>
    <m/>
  </r>
  <r>
    <x v="0"/>
    <m/>
    <x v="0"/>
    <n v="0"/>
    <m/>
    <m/>
    <m/>
    <x v="18"/>
    <m/>
    <m/>
    <x v="0"/>
    <m/>
  </r>
  <r>
    <x v="0"/>
    <m/>
    <x v="0"/>
    <n v="0"/>
    <m/>
    <m/>
    <m/>
    <x v="18"/>
    <m/>
    <m/>
    <x v="0"/>
    <m/>
  </r>
  <r>
    <x v="0"/>
    <m/>
    <x v="0"/>
    <n v="0"/>
    <m/>
    <m/>
    <m/>
    <x v="18"/>
    <m/>
    <m/>
    <x v="0"/>
    <m/>
  </r>
  <r>
    <x v="4"/>
    <m/>
    <x v="4"/>
    <n v="2420"/>
    <m/>
    <m/>
    <m/>
    <x v="19"/>
    <m/>
    <m/>
    <x v="0"/>
    <m/>
  </r>
  <r>
    <x v="0"/>
    <m/>
    <x v="0"/>
    <n v="0"/>
    <m/>
    <m/>
    <m/>
    <x v="19"/>
    <m/>
    <m/>
    <x v="0"/>
    <m/>
  </r>
  <r>
    <x v="0"/>
    <m/>
    <x v="0"/>
    <n v="0"/>
    <m/>
    <m/>
    <m/>
    <x v="19"/>
    <m/>
    <m/>
    <x v="0"/>
    <m/>
  </r>
  <r>
    <x v="0"/>
    <m/>
    <x v="0"/>
    <n v="0"/>
    <m/>
    <m/>
    <m/>
    <x v="19"/>
    <m/>
    <m/>
    <x v="0"/>
    <m/>
  </r>
  <r>
    <x v="0"/>
    <m/>
    <x v="0"/>
    <n v="0"/>
    <m/>
    <m/>
    <m/>
    <x v="19"/>
    <m/>
    <m/>
    <x v="0"/>
    <m/>
  </r>
  <r>
    <x v="0"/>
    <m/>
    <x v="0"/>
    <n v="0"/>
    <m/>
    <m/>
    <m/>
    <x v="19"/>
    <m/>
    <m/>
    <x v="0"/>
    <m/>
  </r>
  <r>
    <x v="4"/>
    <m/>
    <x v="4"/>
    <n v="1463.0000000000002"/>
    <m/>
    <m/>
    <m/>
    <x v="20"/>
    <m/>
    <m/>
    <x v="0"/>
    <m/>
  </r>
  <r>
    <x v="0"/>
    <m/>
    <x v="0"/>
    <n v="0"/>
    <m/>
    <m/>
    <m/>
    <x v="20"/>
    <m/>
    <m/>
    <x v="0"/>
    <m/>
  </r>
  <r>
    <x v="5"/>
    <m/>
    <x v="5"/>
    <n v="7980"/>
    <m/>
    <m/>
    <m/>
    <x v="20"/>
    <m/>
    <m/>
    <x v="0"/>
    <m/>
  </r>
  <r>
    <x v="6"/>
    <m/>
    <x v="6"/>
    <n v="10640"/>
    <m/>
    <m/>
    <m/>
    <x v="20"/>
    <m/>
    <m/>
    <x v="0"/>
    <m/>
  </r>
  <r>
    <x v="0"/>
    <m/>
    <x v="0"/>
    <n v="0"/>
    <m/>
    <m/>
    <m/>
    <x v="20"/>
    <m/>
    <m/>
    <x v="0"/>
    <m/>
  </r>
  <r>
    <x v="0"/>
    <m/>
    <x v="0"/>
    <n v="0"/>
    <m/>
    <m/>
    <m/>
    <x v="20"/>
    <m/>
    <m/>
    <x v="0"/>
    <m/>
  </r>
  <r>
    <x v="4"/>
    <m/>
    <x v="4"/>
    <n v="1892.0000000000002"/>
    <m/>
    <m/>
    <m/>
    <x v="21"/>
    <m/>
    <m/>
    <x v="0"/>
    <m/>
  </r>
  <r>
    <x v="0"/>
    <m/>
    <x v="0"/>
    <n v="0"/>
    <m/>
    <m/>
    <m/>
    <x v="21"/>
    <m/>
    <m/>
    <x v="0"/>
    <m/>
  </r>
  <r>
    <x v="5"/>
    <m/>
    <x v="5"/>
    <n v="10320"/>
    <m/>
    <m/>
    <m/>
    <x v="21"/>
    <m/>
    <m/>
    <x v="0"/>
    <m/>
  </r>
  <r>
    <x v="6"/>
    <m/>
    <x v="6"/>
    <n v="13760"/>
    <m/>
    <m/>
    <m/>
    <x v="21"/>
    <m/>
    <m/>
    <x v="0"/>
    <m/>
  </r>
  <r>
    <x v="0"/>
    <m/>
    <x v="0"/>
    <n v="0"/>
    <m/>
    <m/>
    <m/>
    <x v="21"/>
    <m/>
    <m/>
    <x v="0"/>
    <m/>
  </r>
  <r>
    <x v="0"/>
    <m/>
    <x v="0"/>
    <n v="0"/>
    <m/>
    <m/>
    <m/>
    <x v="21"/>
    <m/>
    <m/>
    <x v="0"/>
    <m/>
  </r>
  <r>
    <x v="4"/>
    <m/>
    <x v="4"/>
    <n v="2354"/>
    <m/>
    <m/>
    <m/>
    <x v="22"/>
    <m/>
    <m/>
    <x v="0"/>
    <m/>
  </r>
  <r>
    <x v="0"/>
    <m/>
    <x v="0"/>
    <n v="0"/>
    <m/>
    <m/>
    <m/>
    <x v="22"/>
    <m/>
    <m/>
    <x v="0"/>
    <m/>
  </r>
  <r>
    <x v="0"/>
    <m/>
    <x v="0"/>
    <n v="0"/>
    <m/>
    <m/>
    <m/>
    <x v="22"/>
    <m/>
    <m/>
    <x v="0"/>
    <m/>
  </r>
  <r>
    <x v="0"/>
    <m/>
    <x v="0"/>
    <n v="0"/>
    <m/>
    <m/>
    <m/>
    <x v="22"/>
    <m/>
    <m/>
    <x v="0"/>
    <m/>
  </r>
  <r>
    <x v="0"/>
    <m/>
    <x v="0"/>
    <n v="0"/>
    <m/>
    <m/>
    <m/>
    <x v="22"/>
    <m/>
    <m/>
    <x v="0"/>
    <m/>
  </r>
  <r>
    <x v="0"/>
    <m/>
    <x v="0"/>
    <n v="0"/>
    <m/>
    <m/>
    <m/>
    <x v="22"/>
    <m/>
    <m/>
    <x v="0"/>
    <m/>
  </r>
  <r>
    <x v="4"/>
    <m/>
    <x v="4"/>
    <n v="2068"/>
    <m/>
    <m/>
    <m/>
    <x v="23"/>
    <m/>
    <m/>
    <x v="0"/>
    <m/>
  </r>
  <r>
    <x v="0"/>
    <m/>
    <x v="0"/>
    <n v="0"/>
    <m/>
    <m/>
    <m/>
    <x v="23"/>
    <m/>
    <m/>
    <x v="0"/>
    <m/>
  </r>
  <r>
    <x v="0"/>
    <m/>
    <x v="0"/>
    <n v="0"/>
    <m/>
    <m/>
    <m/>
    <x v="23"/>
    <m/>
    <m/>
    <x v="0"/>
    <m/>
  </r>
  <r>
    <x v="0"/>
    <m/>
    <x v="0"/>
    <n v="0"/>
    <m/>
    <m/>
    <m/>
    <x v="23"/>
    <m/>
    <m/>
    <x v="0"/>
    <m/>
  </r>
  <r>
    <x v="0"/>
    <m/>
    <x v="0"/>
    <n v="0"/>
    <m/>
    <m/>
    <m/>
    <x v="23"/>
    <m/>
    <m/>
    <x v="0"/>
    <m/>
  </r>
  <r>
    <x v="0"/>
    <m/>
    <x v="0"/>
    <n v="0"/>
    <m/>
    <m/>
    <m/>
    <x v="23"/>
    <m/>
    <m/>
    <x v="0"/>
    <m/>
  </r>
  <r>
    <x v="2"/>
    <m/>
    <x v="2"/>
    <n v="640"/>
    <m/>
    <m/>
    <m/>
    <x v="24"/>
    <m/>
    <m/>
    <x v="0"/>
    <m/>
  </r>
  <r>
    <x v="3"/>
    <m/>
    <x v="3"/>
    <n v="64"/>
    <m/>
    <m/>
    <m/>
    <x v="24"/>
    <m/>
    <m/>
    <x v="0"/>
    <m/>
  </r>
  <r>
    <x v="0"/>
    <m/>
    <x v="0"/>
    <n v="0"/>
    <m/>
    <m/>
    <m/>
    <x v="24"/>
    <m/>
    <m/>
    <x v="0"/>
    <m/>
  </r>
  <r>
    <x v="0"/>
    <m/>
    <x v="0"/>
    <n v="0"/>
    <m/>
    <m/>
    <m/>
    <x v="24"/>
    <m/>
    <m/>
    <x v="0"/>
    <m/>
  </r>
  <r>
    <x v="0"/>
    <m/>
    <x v="0"/>
    <n v="0"/>
    <m/>
    <m/>
    <m/>
    <x v="24"/>
    <m/>
    <m/>
    <x v="0"/>
    <m/>
  </r>
  <r>
    <x v="0"/>
    <m/>
    <x v="0"/>
    <n v="0"/>
    <m/>
    <m/>
    <m/>
    <x v="24"/>
    <m/>
    <m/>
    <x v="0"/>
    <m/>
  </r>
  <r>
    <x v="0"/>
    <m/>
    <x v="0"/>
    <n v="0"/>
    <m/>
    <m/>
    <m/>
    <x v="25"/>
    <m/>
    <m/>
    <x v="0"/>
    <m/>
  </r>
  <r>
    <x v="0"/>
    <m/>
    <x v="0"/>
    <n v="0"/>
    <m/>
    <m/>
    <m/>
    <x v="25"/>
    <m/>
    <m/>
    <x v="0"/>
    <m/>
  </r>
  <r>
    <x v="0"/>
    <m/>
    <x v="0"/>
    <n v="0"/>
    <m/>
    <m/>
    <m/>
    <x v="25"/>
    <m/>
    <m/>
    <x v="0"/>
    <m/>
  </r>
  <r>
    <x v="0"/>
    <m/>
    <x v="0"/>
    <n v="0"/>
    <m/>
    <m/>
    <m/>
    <x v="25"/>
    <m/>
    <m/>
    <x v="0"/>
    <m/>
  </r>
  <r>
    <x v="0"/>
    <m/>
    <x v="0"/>
    <n v="0"/>
    <m/>
    <m/>
    <m/>
    <x v="25"/>
    <m/>
    <m/>
    <x v="0"/>
    <m/>
  </r>
  <r>
    <x v="0"/>
    <m/>
    <x v="0"/>
    <n v="0"/>
    <m/>
    <m/>
    <m/>
    <x v="25"/>
    <m/>
    <m/>
    <x v="0"/>
    <m/>
  </r>
  <r>
    <x v="0"/>
    <m/>
    <x v="0"/>
    <n v="0"/>
    <m/>
    <m/>
    <m/>
    <x v="26"/>
    <m/>
    <m/>
    <x v="0"/>
    <m/>
  </r>
  <r>
    <x v="0"/>
    <m/>
    <x v="0"/>
    <n v="0"/>
    <m/>
    <m/>
    <m/>
    <x v="26"/>
    <m/>
    <m/>
    <x v="0"/>
    <m/>
  </r>
  <r>
    <x v="0"/>
    <m/>
    <x v="0"/>
    <n v="0"/>
    <m/>
    <m/>
    <m/>
    <x v="26"/>
    <m/>
    <m/>
    <x v="0"/>
    <m/>
  </r>
  <r>
    <x v="0"/>
    <m/>
    <x v="0"/>
    <n v="0"/>
    <m/>
    <m/>
    <m/>
    <x v="26"/>
    <m/>
    <m/>
    <x v="0"/>
    <m/>
  </r>
  <r>
    <x v="0"/>
    <m/>
    <x v="0"/>
    <n v="0"/>
    <m/>
    <m/>
    <m/>
    <x v="26"/>
    <m/>
    <m/>
    <x v="0"/>
    <m/>
  </r>
  <r>
    <x v="0"/>
    <m/>
    <x v="0"/>
    <n v="0"/>
    <m/>
    <m/>
    <m/>
    <x v="26"/>
    <m/>
    <m/>
    <x v="0"/>
    <m/>
  </r>
  <r>
    <x v="4"/>
    <m/>
    <x v="4"/>
    <n v="2013.0000000000002"/>
    <m/>
    <m/>
    <m/>
    <x v="27"/>
    <m/>
    <m/>
    <x v="0"/>
    <m/>
  </r>
  <r>
    <x v="0"/>
    <m/>
    <x v="0"/>
    <n v="0"/>
    <m/>
    <m/>
    <m/>
    <x v="27"/>
    <m/>
    <m/>
    <x v="0"/>
    <m/>
  </r>
  <r>
    <x v="0"/>
    <m/>
    <x v="0"/>
    <n v="0"/>
    <m/>
    <m/>
    <m/>
    <x v="27"/>
    <m/>
    <m/>
    <x v="0"/>
    <m/>
  </r>
  <r>
    <x v="0"/>
    <m/>
    <x v="0"/>
    <n v="0"/>
    <m/>
    <m/>
    <m/>
    <x v="27"/>
    <m/>
    <m/>
    <x v="0"/>
    <m/>
  </r>
  <r>
    <x v="0"/>
    <m/>
    <x v="0"/>
    <n v="0"/>
    <m/>
    <m/>
    <m/>
    <x v="27"/>
    <m/>
    <m/>
    <x v="0"/>
    <m/>
  </r>
  <r>
    <x v="0"/>
    <m/>
    <x v="0"/>
    <n v="0"/>
    <m/>
    <m/>
    <m/>
    <x v="27"/>
    <m/>
    <m/>
    <x v="0"/>
    <m/>
  </r>
  <r>
    <x v="0"/>
    <m/>
    <x v="0"/>
    <n v="0"/>
    <m/>
    <m/>
    <m/>
    <x v="28"/>
    <m/>
    <m/>
    <x v="0"/>
    <m/>
  </r>
  <r>
    <x v="0"/>
    <m/>
    <x v="0"/>
    <n v="0"/>
    <m/>
    <m/>
    <m/>
    <x v="28"/>
    <m/>
    <m/>
    <x v="0"/>
    <m/>
  </r>
  <r>
    <x v="0"/>
    <m/>
    <x v="0"/>
    <n v="0"/>
    <m/>
    <m/>
    <m/>
    <x v="28"/>
    <m/>
    <m/>
    <x v="0"/>
    <m/>
  </r>
  <r>
    <x v="0"/>
    <m/>
    <x v="0"/>
    <n v="0"/>
    <m/>
    <m/>
    <m/>
    <x v="28"/>
    <m/>
    <m/>
    <x v="0"/>
    <m/>
  </r>
  <r>
    <x v="0"/>
    <m/>
    <x v="0"/>
    <n v="0"/>
    <m/>
    <m/>
    <m/>
    <x v="28"/>
    <m/>
    <m/>
    <x v="0"/>
    <m/>
  </r>
  <r>
    <x v="0"/>
    <m/>
    <x v="0"/>
    <n v="0"/>
    <m/>
    <m/>
    <m/>
    <x v="28"/>
    <m/>
    <m/>
    <x v="0"/>
    <m/>
  </r>
  <r>
    <x v="4"/>
    <m/>
    <x v="4"/>
    <n v="2343"/>
    <m/>
    <m/>
    <m/>
    <x v="29"/>
    <m/>
    <m/>
    <x v="0"/>
    <m/>
  </r>
  <r>
    <x v="0"/>
    <m/>
    <x v="0"/>
    <n v="0"/>
    <m/>
    <m/>
    <m/>
    <x v="29"/>
    <m/>
    <m/>
    <x v="0"/>
    <m/>
  </r>
  <r>
    <x v="0"/>
    <m/>
    <x v="0"/>
    <n v="0"/>
    <m/>
    <m/>
    <m/>
    <x v="29"/>
    <m/>
    <m/>
    <x v="0"/>
    <m/>
  </r>
  <r>
    <x v="0"/>
    <m/>
    <x v="0"/>
    <n v="0"/>
    <m/>
    <m/>
    <m/>
    <x v="29"/>
    <m/>
    <m/>
    <x v="0"/>
    <m/>
  </r>
  <r>
    <x v="0"/>
    <m/>
    <x v="0"/>
    <n v="0"/>
    <m/>
    <m/>
    <m/>
    <x v="29"/>
    <m/>
    <m/>
    <x v="0"/>
    <m/>
  </r>
  <r>
    <x v="0"/>
    <m/>
    <x v="0"/>
    <n v="0"/>
    <m/>
    <m/>
    <m/>
    <x v="29"/>
    <m/>
    <m/>
    <x v="0"/>
    <m/>
  </r>
  <r>
    <x v="4"/>
    <m/>
    <x v="4"/>
    <n v="2387"/>
    <m/>
    <m/>
    <m/>
    <x v="30"/>
    <m/>
    <m/>
    <x v="0"/>
    <m/>
  </r>
  <r>
    <x v="0"/>
    <m/>
    <x v="0"/>
    <n v="0"/>
    <m/>
    <m/>
    <m/>
    <x v="30"/>
    <m/>
    <m/>
    <x v="0"/>
    <m/>
  </r>
  <r>
    <x v="0"/>
    <m/>
    <x v="0"/>
    <n v="0"/>
    <m/>
    <m/>
    <m/>
    <x v="30"/>
    <m/>
    <m/>
    <x v="0"/>
    <m/>
  </r>
  <r>
    <x v="0"/>
    <m/>
    <x v="0"/>
    <n v="0"/>
    <m/>
    <m/>
    <m/>
    <x v="30"/>
    <m/>
    <m/>
    <x v="0"/>
    <m/>
  </r>
  <r>
    <x v="0"/>
    <m/>
    <x v="0"/>
    <n v="0"/>
    <m/>
    <m/>
    <m/>
    <x v="30"/>
    <m/>
    <m/>
    <x v="0"/>
    <m/>
  </r>
  <r>
    <x v="0"/>
    <m/>
    <x v="0"/>
    <n v="0"/>
    <m/>
    <m/>
    <m/>
    <x v="30"/>
    <m/>
    <m/>
    <x v="0"/>
    <m/>
  </r>
  <r>
    <x v="7"/>
    <m/>
    <x v="7"/>
    <n v="1537"/>
    <m/>
    <m/>
    <m/>
    <x v="31"/>
    <m/>
    <m/>
    <x v="0"/>
    <m/>
  </r>
  <r>
    <x v="0"/>
    <m/>
    <x v="0"/>
    <n v="0"/>
    <m/>
    <m/>
    <m/>
    <x v="31"/>
    <m/>
    <m/>
    <x v="0"/>
    <m/>
  </r>
  <r>
    <x v="0"/>
    <m/>
    <x v="0"/>
    <n v="0"/>
    <m/>
    <m/>
    <m/>
    <x v="31"/>
    <m/>
    <m/>
    <x v="0"/>
    <m/>
  </r>
  <r>
    <x v="0"/>
    <m/>
    <x v="0"/>
    <n v="0"/>
    <m/>
    <m/>
    <m/>
    <x v="31"/>
    <m/>
    <m/>
    <x v="0"/>
    <m/>
  </r>
  <r>
    <x v="0"/>
    <m/>
    <x v="0"/>
    <n v="0"/>
    <m/>
    <m/>
    <m/>
    <x v="31"/>
    <m/>
    <m/>
    <x v="0"/>
    <m/>
  </r>
  <r>
    <x v="0"/>
    <m/>
    <x v="0"/>
    <n v="0"/>
    <m/>
    <m/>
    <m/>
    <x v="31"/>
    <m/>
    <m/>
    <x v="0"/>
    <m/>
  </r>
  <r>
    <x v="7"/>
    <m/>
    <x v="7"/>
    <n v="1508"/>
    <m/>
    <m/>
    <m/>
    <x v="32"/>
    <m/>
    <m/>
    <x v="0"/>
    <m/>
  </r>
  <r>
    <x v="0"/>
    <m/>
    <x v="0"/>
    <n v="0"/>
    <m/>
    <m/>
    <m/>
    <x v="32"/>
    <m/>
    <m/>
    <x v="0"/>
    <m/>
  </r>
  <r>
    <x v="0"/>
    <m/>
    <x v="0"/>
    <n v="0"/>
    <m/>
    <m/>
    <m/>
    <x v="32"/>
    <m/>
    <m/>
    <x v="0"/>
    <m/>
  </r>
  <r>
    <x v="0"/>
    <m/>
    <x v="0"/>
    <n v="0"/>
    <m/>
    <m/>
    <m/>
    <x v="32"/>
    <m/>
    <m/>
    <x v="0"/>
    <m/>
  </r>
  <r>
    <x v="0"/>
    <m/>
    <x v="0"/>
    <n v="0"/>
    <m/>
    <m/>
    <m/>
    <x v="32"/>
    <m/>
    <m/>
    <x v="0"/>
    <m/>
  </r>
  <r>
    <x v="0"/>
    <m/>
    <x v="0"/>
    <n v="0"/>
    <m/>
    <m/>
    <m/>
    <x v="32"/>
    <m/>
    <m/>
    <x v="0"/>
    <m/>
  </r>
  <r>
    <x v="8"/>
    <m/>
    <x v="8"/>
    <n v="1000"/>
    <m/>
    <m/>
    <m/>
    <x v="33"/>
    <m/>
    <m/>
    <x v="0"/>
    <m/>
  </r>
  <r>
    <x v="0"/>
    <m/>
    <x v="0"/>
    <n v="0"/>
    <m/>
    <m/>
    <m/>
    <x v="33"/>
    <m/>
    <m/>
    <x v="0"/>
    <m/>
  </r>
  <r>
    <x v="0"/>
    <m/>
    <x v="0"/>
    <n v="0"/>
    <m/>
    <m/>
    <m/>
    <x v="33"/>
    <m/>
    <m/>
    <x v="0"/>
    <m/>
  </r>
  <r>
    <x v="0"/>
    <m/>
    <x v="0"/>
    <n v="0"/>
    <m/>
    <m/>
    <m/>
    <x v="33"/>
    <m/>
    <m/>
    <x v="0"/>
    <m/>
  </r>
  <r>
    <x v="0"/>
    <m/>
    <x v="0"/>
    <n v="0"/>
    <m/>
    <m/>
    <m/>
    <x v="33"/>
    <m/>
    <m/>
    <x v="0"/>
    <m/>
  </r>
  <r>
    <x v="0"/>
    <m/>
    <x v="0"/>
    <n v="0"/>
    <m/>
    <m/>
    <m/>
    <x v="33"/>
    <m/>
    <m/>
    <x v="0"/>
    <m/>
  </r>
  <r>
    <x v="8"/>
    <m/>
    <x v="8"/>
    <n v="820"/>
    <m/>
    <m/>
    <m/>
    <x v="34"/>
    <m/>
    <m/>
    <x v="0"/>
    <m/>
  </r>
  <r>
    <x v="0"/>
    <m/>
    <x v="0"/>
    <n v="0"/>
    <m/>
    <m/>
    <m/>
    <x v="34"/>
    <m/>
    <m/>
    <x v="0"/>
    <m/>
  </r>
  <r>
    <x v="0"/>
    <m/>
    <x v="0"/>
    <n v="0"/>
    <m/>
    <m/>
    <m/>
    <x v="34"/>
    <m/>
    <m/>
    <x v="0"/>
    <m/>
  </r>
  <r>
    <x v="0"/>
    <m/>
    <x v="0"/>
    <n v="0"/>
    <m/>
    <m/>
    <m/>
    <x v="34"/>
    <m/>
    <m/>
    <x v="0"/>
    <m/>
  </r>
  <r>
    <x v="0"/>
    <m/>
    <x v="0"/>
    <n v="0"/>
    <m/>
    <m/>
    <m/>
    <x v="34"/>
    <m/>
    <m/>
    <x v="0"/>
    <m/>
  </r>
  <r>
    <x v="0"/>
    <m/>
    <x v="0"/>
    <n v="0"/>
    <m/>
    <m/>
    <m/>
    <x v="34"/>
    <m/>
    <m/>
    <x v="0"/>
    <m/>
  </r>
  <r>
    <x v="4"/>
    <m/>
    <x v="4"/>
    <n v="1925.0000000000002"/>
    <m/>
    <m/>
    <m/>
    <x v="35"/>
    <m/>
    <m/>
    <x v="0"/>
    <m/>
  </r>
  <r>
    <x v="0"/>
    <m/>
    <x v="0"/>
    <n v="0"/>
    <m/>
    <m/>
    <m/>
    <x v="35"/>
    <m/>
    <m/>
    <x v="0"/>
    <m/>
  </r>
  <r>
    <x v="0"/>
    <m/>
    <x v="0"/>
    <n v="0"/>
    <m/>
    <m/>
    <m/>
    <x v="35"/>
    <m/>
    <m/>
    <x v="0"/>
    <m/>
  </r>
  <r>
    <x v="0"/>
    <m/>
    <x v="0"/>
    <n v="0"/>
    <m/>
    <m/>
    <m/>
    <x v="35"/>
    <m/>
    <m/>
    <x v="0"/>
    <m/>
  </r>
  <r>
    <x v="0"/>
    <m/>
    <x v="0"/>
    <n v="0"/>
    <m/>
    <m/>
    <m/>
    <x v="35"/>
    <m/>
    <m/>
    <x v="0"/>
    <m/>
  </r>
  <r>
    <x v="0"/>
    <m/>
    <x v="0"/>
    <n v="0"/>
    <m/>
    <m/>
    <m/>
    <x v="35"/>
    <m/>
    <m/>
    <x v="0"/>
    <m/>
  </r>
  <r>
    <x v="0"/>
    <m/>
    <x v="0"/>
    <n v="0"/>
    <m/>
    <m/>
    <m/>
    <x v="36"/>
    <m/>
    <m/>
    <x v="0"/>
    <m/>
  </r>
  <r>
    <x v="0"/>
    <m/>
    <x v="0"/>
    <n v="0"/>
    <m/>
    <m/>
    <m/>
    <x v="36"/>
    <m/>
    <m/>
    <x v="0"/>
    <m/>
  </r>
  <r>
    <x v="0"/>
    <m/>
    <x v="0"/>
    <n v="0"/>
    <m/>
    <m/>
    <m/>
    <x v="36"/>
    <m/>
    <m/>
    <x v="0"/>
    <m/>
  </r>
  <r>
    <x v="0"/>
    <m/>
    <x v="0"/>
    <n v="0"/>
    <m/>
    <m/>
    <m/>
    <x v="36"/>
    <m/>
    <m/>
    <x v="0"/>
    <m/>
  </r>
  <r>
    <x v="0"/>
    <m/>
    <x v="0"/>
    <n v="0"/>
    <m/>
    <m/>
    <m/>
    <x v="36"/>
    <m/>
    <m/>
    <x v="0"/>
    <m/>
  </r>
  <r>
    <x v="0"/>
    <m/>
    <x v="0"/>
    <n v="0"/>
    <m/>
    <m/>
    <m/>
    <x v="36"/>
    <m/>
    <m/>
    <x v="0"/>
    <m/>
  </r>
  <r>
    <x v="0"/>
    <m/>
    <x v="0"/>
    <n v="0"/>
    <m/>
    <m/>
    <m/>
    <x v="37"/>
    <m/>
    <m/>
    <x v="0"/>
    <m/>
  </r>
  <r>
    <x v="0"/>
    <m/>
    <x v="0"/>
    <n v="0"/>
    <m/>
    <m/>
    <m/>
    <x v="37"/>
    <m/>
    <m/>
    <x v="0"/>
    <m/>
  </r>
  <r>
    <x v="0"/>
    <m/>
    <x v="0"/>
    <n v="0"/>
    <m/>
    <m/>
    <m/>
    <x v="37"/>
    <m/>
    <m/>
    <x v="0"/>
    <m/>
  </r>
  <r>
    <x v="0"/>
    <m/>
    <x v="0"/>
    <n v="0"/>
    <m/>
    <m/>
    <m/>
    <x v="37"/>
    <m/>
    <m/>
    <x v="0"/>
    <m/>
  </r>
  <r>
    <x v="0"/>
    <m/>
    <x v="0"/>
    <n v="0"/>
    <m/>
    <m/>
    <m/>
    <x v="37"/>
    <m/>
    <m/>
    <x v="0"/>
    <m/>
  </r>
  <r>
    <x v="0"/>
    <m/>
    <x v="0"/>
    <n v="0"/>
    <m/>
    <m/>
    <m/>
    <x v="37"/>
    <m/>
    <m/>
    <x v="0"/>
    <m/>
  </r>
  <r>
    <x v="0"/>
    <m/>
    <x v="0"/>
    <n v="0"/>
    <m/>
    <m/>
    <m/>
    <x v="38"/>
    <m/>
    <m/>
    <x v="0"/>
    <m/>
  </r>
  <r>
    <x v="0"/>
    <m/>
    <x v="0"/>
    <n v="0"/>
    <m/>
    <m/>
    <m/>
    <x v="38"/>
    <m/>
    <m/>
    <x v="0"/>
    <m/>
  </r>
  <r>
    <x v="0"/>
    <m/>
    <x v="0"/>
    <n v="0"/>
    <m/>
    <m/>
    <m/>
    <x v="38"/>
    <m/>
    <m/>
    <x v="0"/>
    <m/>
  </r>
  <r>
    <x v="0"/>
    <m/>
    <x v="0"/>
    <n v="0"/>
    <m/>
    <m/>
    <m/>
    <x v="38"/>
    <m/>
    <m/>
    <x v="0"/>
    <m/>
  </r>
  <r>
    <x v="0"/>
    <m/>
    <x v="0"/>
    <n v="0"/>
    <m/>
    <m/>
    <m/>
    <x v="38"/>
    <m/>
    <m/>
    <x v="0"/>
    <m/>
  </r>
  <r>
    <x v="0"/>
    <m/>
    <x v="0"/>
    <n v="0"/>
    <m/>
    <m/>
    <m/>
    <x v="38"/>
    <m/>
    <m/>
    <x v="0"/>
    <m/>
  </r>
  <r>
    <x v="4"/>
    <m/>
    <x v="4"/>
    <n v="3124.0000000000005"/>
    <m/>
    <m/>
    <m/>
    <x v="39"/>
    <m/>
    <m/>
    <x v="0"/>
    <m/>
  </r>
  <r>
    <x v="0"/>
    <m/>
    <x v="0"/>
    <n v="0"/>
    <m/>
    <m/>
    <m/>
    <x v="39"/>
    <m/>
    <m/>
    <x v="0"/>
    <m/>
  </r>
  <r>
    <x v="0"/>
    <m/>
    <x v="0"/>
    <n v="0"/>
    <m/>
    <m/>
    <m/>
    <x v="39"/>
    <m/>
    <m/>
    <x v="0"/>
    <m/>
  </r>
  <r>
    <x v="0"/>
    <m/>
    <x v="0"/>
    <n v="0"/>
    <m/>
    <m/>
    <m/>
    <x v="39"/>
    <m/>
    <m/>
    <x v="0"/>
    <m/>
  </r>
  <r>
    <x v="0"/>
    <m/>
    <x v="0"/>
    <n v="0"/>
    <m/>
    <m/>
    <m/>
    <x v="39"/>
    <m/>
    <m/>
    <x v="0"/>
    <m/>
  </r>
  <r>
    <x v="0"/>
    <m/>
    <x v="0"/>
    <n v="0"/>
    <m/>
    <m/>
    <m/>
    <x v="39"/>
    <m/>
    <m/>
    <x v="0"/>
    <m/>
  </r>
  <r>
    <x v="0"/>
    <m/>
    <x v="0"/>
    <n v="0"/>
    <m/>
    <m/>
    <m/>
    <x v="40"/>
    <m/>
    <m/>
    <x v="0"/>
    <m/>
  </r>
  <r>
    <x v="0"/>
    <m/>
    <x v="0"/>
    <n v="0"/>
    <m/>
    <m/>
    <m/>
    <x v="40"/>
    <m/>
    <m/>
    <x v="0"/>
    <m/>
  </r>
  <r>
    <x v="0"/>
    <m/>
    <x v="0"/>
    <n v="0"/>
    <m/>
    <m/>
    <m/>
    <x v="40"/>
    <m/>
    <m/>
    <x v="0"/>
    <m/>
  </r>
  <r>
    <x v="0"/>
    <m/>
    <x v="0"/>
    <n v="0"/>
    <m/>
    <m/>
    <m/>
    <x v="40"/>
    <m/>
    <m/>
    <x v="0"/>
    <m/>
  </r>
  <r>
    <x v="0"/>
    <m/>
    <x v="0"/>
    <n v="0"/>
    <m/>
    <m/>
    <m/>
    <x v="40"/>
    <m/>
    <m/>
    <x v="0"/>
    <m/>
  </r>
  <r>
    <x v="0"/>
    <m/>
    <x v="0"/>
    <n v="0"/>
    <m/>
    <m/>
    <m/>
    <x v="40"/>
    <m/>
    <m/>
    <x v="0"/>
    <m/>
  </r>
  <r>
    <x v="4"/>
    <m/>
    <x v="4"/>
    <n v="2044.5"/>
    <m/>
    <m/>
    <m/>
    <x v="41"/>
    <m/>
    <m/>
    <x v="0"/>
    <m/>
  </r>
  <r>
    <x v="0"/>
    <m/>
    <x v="0"/>
    <n v="0"/>
    <m/>
    <m/>
    <m/>
    <x v="41"/>
    <m/>
    <m/>
    <x v="0"/>
    <m/>
  </r>
  <r>
    <x v="0"/>
    <m/>
    <x v="0"/>
    <n v="0"/>
    <m/>
    <m/>
    <m/>
    <x v="41"/>
    <m/>
    <m/>
    <x v="0"/>
    <m/>
  </r>
  <r>
    <x v="0"/>
    <m/>
    <x v="0"/>
    <n v="0"/>
    <m/>
    <m/>
    <m/>
    <x v="41"/>
    <m/>
    <m/>
    <x v="0"/>
    <m/>
  </r>
  <r>
    <x v="0"/>
    <m/>
    <x v="0"/>
    <n v="0"/>
    <m/>
    <m/>
    <m/>
    <x v="41"/>
    <m/>
    <m/>
    <x v="0"/>
    <m/>
  </r>
  <r>
    <x v="0"/>
    <m/>
    <x v="0"/>
    <n v="0"/>
    <m/>
    <m/>
    <m/>
    <x v="41"/>
    <m/>
    <m/>
    <x v="0"/>
    <m/>
  </r>
  <r>
    <x v="4"/>
    <m/>
    <x v="4"/>
    <n v="2030"/>
    <m/>
    <m/>
    <m/>
    <x v="42"/>
    <m/>
    <m/>
    <x v="0"/>
    <m/>
  </r>
  <r>
    <x v="0"/>
    <m/>
    <x v="0"/>
    <n v="0"/>
    <m/>
    <m/>
    <m/>
    <x v="42"/>
    <m/>
    <m/>
    <x v="0"/>
    <m/>
  </r>
  <r>
    <x v="0"/>
    <m/>
    <x v="0"/>
    <n v="0"/>
    <m/>
    <m/>
    <m/>
    <x v="42"/>
    <m/>
    <m/>
    <x v="0"/>
    <m/>
  </r>
  <r>
    <x v="0"/>
    <m/>
    <x v="0"/>
    <n v="0"/>
    <m/>
    <m/>
    <m/>
    <x v="42"/>
    <m/>
    <m/>
    <x v="0"/>
    <m/>
  </r>
  <r>
    <x v="0"/>
    <m/>
    <x v="0"/>
    <n v="0"/>
    <m/>
    <m/>
    <m/>
    <x v="42"/>
    <m/>
    <m/>
    <x v="0"/>
    <m/>
  </r>
  <r>
    <x v="0"/>
    <m/>
    <x v="0"/>
    <n v="0"/>
    <m/>
    <m/>
    <m/>
    <x v="42"/>
    <m/>
    <m/>
    <x v="0"/>
    <m/>
  </r>
  <r>
    <x v="0"/>
    <m/>
    <x v="0"/>
    <n v="0"/>
    <m/>
    <m/>
    <m/>
    <x v="43"/>
    <m/>
    <m/>
    <x v="0"/>
    <m/>
  </r>
  <r>
    <x v="0"/>
    <m/>
    <x v="0"/>
    <n v="0"/>
    <m/>
    <m/>
    <m/>
    <x v="43"/>
    <m/>
    <m/>
    <x v="0"/>
    <m/>
  </r>
  <r>
    <x v="0"/>
    <m/>
    <x v="0"/>
    <n v="0"/>
    <m/>
    <m/>
    <m/>
    <x v="43"/>
    <m/>
    <m/>
    <x v="0"/>
    <m/>
  </r>
  <r>
    <x v="0"/>
    <m/>
    <x v="0"/>
    <n v="0"/>
    <m/>
    <m/>
    <m/>
    <x v="43"/>
    <m/>
    <m/>
    <x v="0"/>
    <m/>
  </r>
  <r>
    <x v="0"/>
    <m/>
    <x v="0"/>
    <n v="0"/>
    <m/>
    <m/>
    <m/>
    <x v="43"/>
    <m/>
    <m/>
    <x v="0"/>
    <m/>
  </r>
  <r>
    <x v="0"/>
    <m/>
    <x v="0"/>
    <n v="0"/>
    <m/>
    <m/>
    <m/>
    <x v="43"/>
    <m/>
    <m/>
    <x v="0"/>
    <m/>
  </r>
  <r>
    <x v="9"/>
    <m/>
    <x v="9"/>
    <n v="574.20000000000005"/>
    <m/>
    <m/>
    <m/>
    <x v="44"/>
    <m/>
    <m/>
    <x v="0"/>
    <m/>
  </r>
  <r>
    <x v="10"/>
    <m/>
    <x v="0"/>
    <n v="348"/>
    <m/>
    <m/>
    <m/>
    <x v="44"/>
    <m/>
    <m/>
    <x v="0"/>
    <m/>
  </r>
  <r>
    <x v="5"/>
    <m/>
    <x v="5"/>
    <n v="10440"/>
    <m/>
    <m/>
    <m/>
    <x v="44"/>
    <m/>
    <m/>
    <x v="0"/>
    <m/>
  </r>
  <r>
    <x v="6"/>
    <m/>
    <x v="6"/>
    <n v="13920"/>
    <m/>
    <m/>
    <m/>
    <x v="44"/>
    <m/>
    <m/>
    <x v="0"/>
    <m/>
  </r>
  <r>
    <x v="0"/>
    <m/>
    <x v="0"/>
    <n v="0"/>
    <m/>
    <m/>
    <m/>
    <x v="44"/>
    <m/>
    <m/>
    <x v="0"/>
    <m/>
  </r>
  <r>
    <x v="0"/>
    <m/>
    <x v="0"/>
    <n v="0"/>
    <m/>
    <m/>
    <m/>
    <x v="44"/>
    <m/>
    <m/>
    <x v="0"/>
    <m/>
  </r>
  <r>
    <x v="9"/>
    <m/>
    <x v="9"/>
    <n v="953.7"/>
    <m/>
    <m/>
    <m/>
    <x v="45"/>
    <m/>
    <m/>
    <x v="0"/>
    <m/>
  </r>
  <r>
    <x v="10"/>
    <m/>
    <x v="0"/>
    <n v="578"/>
    <m/>
    <m/>
    <m/>
    <x v="45"/>
    <m/>
    <m/>
    <x v="0"/>
    <m/>
  </r>
  <r>
    <x v="5"/>
    <m/>
    <x v="5"/>
    <n v="17340"/>
    <m/>
    <m/>
    <m/>
    <x v="45"/>
    <m/>
    <m/>
    <x v="0"/>
    <m/>
  </r>
  <r>
    <x v="6"/>
    <m/>
    <x v="6"/>
    <n v="23120"/>
    <m/>
    <m/>
    <m/>
    <x v="45"/>
    <m/>
    <m/>
    <x v="0"/>
    <m/>
  </r>
  <r>
    <x v="0"/>
    <m/>
    <x v="0"/>
    <n v="0"/>
    <m/>
    <m/>
    <m/>
    <x v="45"/>
    <m/>
    <m/>
    <x v="0"/>
    <m/>
  </r>
  <r>
    <x v="0"/>
    <m/>
    <x v="0"/>
    <n v="0"/>
    <m/>
    <m/>
    <m/>
    <x v="45"/>
    <m/>
    <m/>
    <x v="0"/>
    <m/>
  </r>
  <r>
    <x v="9"/>
    <m/>
    <x v="9"/>
    <n v="574.20000000000005"/>
    <m/>
    <m/>
    <m/>
    <x v="46"/>
    <m/>
    <m/>
    <x v="0"/>
    <m/>
  </r>
  <r>
    <x v="10"/>
    <m/>
    <x v="0"/>
    <n v="348"/>
    <m/>
    <m/>
    <m/>
    <x v="46"/>
    <m/>
    <m/>
    <x v="0"/>
    <m/>
  </r>
  <r>
    <x v="5"/>
    <m/>
    <x v="5"/>
    <n v="10440"/>
    <m/>
    <m/>
    <m/>
    <x v="46"/>
    <m/>
    <m/>
    <x v="0"/>
    <m/>
  </r>
  <r>
    <x v="6"/>
    <m/>
    <x v="6"/>
    <n v="13920"/>
    <m/>
    <m/>
    <m/>
    <x v="46"/>
    <m/>
    <m/>
    <x v="0"/>
    <m/>
  </r>
  <r>
    <x v="0"/>
    <m/>
    <x v="0"/>
    <n v="0"/>
    <m/>
    <m/>
    <m/>
    <x v="46"/>
    <m/>
    <m/>
    <x v="0"/>
    <m/>
  </r>
  <r>
    <x v="0"/>
    <m/>
    <x v="0"/>
    <n v="0"/>
    <m/>
    <m/>
    <m/>
    <x v="46"/>
    <m/>
    <m/>
    <x v="0"/>
    <m/>
  </r>
  <r>
    <x v="0"/>
    <m/>
    <x v="0"/>
    <n v="0"/>
    <m/>
    <m/>
    <m/>
    <x v="47"/>
    <m/>
    <m/>
    <x v="0"/>
    <m/>
  </r>
  <r>
    <x v="0"/>
    <m/>
    <x v="0"/>
    <n v="0"/>
    <m/>
    <m/>
    <m/>
    <x v="47"/>
    <m/>
    <m/>
    <x v="0"/>
    <m/>
  </r>
  <r>
    <x v="0"/>
    <m/>
    <x v="0"/>
    <n v="0"/>
    <m/>
    <m/>
    <m/>
    <x v="47"/>
    <m/>
    <m/>
    <x v="0"/>
    <m/>
  </r>
  <r>
    <x v="0"/>
    <m/>
    <x v="0"/>
    <n v="0"/>
    <m/>
    <m/>
    <m/>
    <x v="47"/>
    <m/>
    <m/>
    <x v="0"/>
    <m/>
  </r>
  <r>
    <x v="0"/>
    <m/>
    <x v="0"/>
    <n v="0"/>
    <m/>
    <m/>
    <m/>
    <x v="47"/>
    <m/>
    <m/>
    <x v="0"/>
    <m/>
  </r>
  <r>
    <x v="0"/>
    <m/>
    <x v="0"/>
    <n v="0"/>
    <m/>
    <m/>
    <m/>
    <x v="47"/>
    <m/>
    <m/>
    <x v="0"/>
    <m/>
  </r>
  <r>
    <x v="0"/>
    <m/>
    <x v="0"/>
    <n v="0"/>
    <m/>
    <m/>
    <m/>
    <x v="48"/>
    <m/>
    <m/>
    <x v="0"/>
    <m/>
  </r>
  <r>
    <x v="0"/>
    <m/>
    <x v="0"/>
    <n v="0"/>
    <m/>
    <m/>
    <m/>
    <x v="48"/>
    <m/>
    <m/>
    <x v="0"/>
    <m/>
  </r>
  <r>
    <x v="0"/>
    <m/>
    <x v="0"/>
    <n v="0"/>
    <m/>
    <m/>
    <m/>
    <x v="48"/>
    <m/>
    <m/>
    <x v="0"/>
    <m/>
  </r>
  <r>
    <x v="0"/>
    <m/>
    <x v="0"/>
    <n v="0"/>
    <m/>
    <m/>
    <m/>
    <x v="48"/>
    <m/>
    <m/>
    <x v="0"/>
    <m/>
  </r>
  <r>
    <x v="0"/>
    <m/>
    <x v="0"/>
    <n v="0"/>
    <m/>
    <m/>
    <m/>
    <x v="48"/>
    <m/>
    <m/>
    <x v="0"/>
    <m/>
  </r>
  <r>
    <x v="0"/>
    <m/>
    <x v="0"/>
    <n v="0"/>
    <m/>
    <m/>
    <m/>
    <x v="48"/>
    <m/>
    <m/>
    <x v="0"/>
    <m/>
  </r>
  <r>
    <x v="0"/>
    <m/>
    <x v="0"/>
    <n v="0"/>
    <m/>
    <m/>
    <m/>
    <x v="49"/>
    <m/>
    <m/>
    <x v="0"/>
    <m/>
  </r>
  <r>
    <x v="0"/>
    <m/>
    <x v="0"/>
    <n v="0"/>
    <m/>
    <m/>
    <m/>
    <x v="49"/>
    <m/>
    <m/>
    <x v="0"/>
    <m/>
  </r>
  <r>
    <x v="0"/>
    <m/>
    <x v="0"/>
    <n v="0"/>
    <m/>
    <m/>
    <m/>
    <x v="49"/>
    <m/>
    <m/>
    <x v="0"/>
    <m/>
  </r>
  <r>
    <x v="0"/>
    <m/>
    <x v="0"/>
    <n v="0"/>
    <m/>
    <m/>
    <m/>
    <x v="49"/>
    <m/>
    <m/>
    <x v="0"/>
    <m/>
  </r>
  <r>
    <x v="0"/>
    <m/>
    <x v="0"/>
    <n v="0"/>
    <m/>
    <m/>
    <m/>
    <x v="49"/>
    <m/>
    <m/>
    <x v="0"/>
    <m/>
  </r>
  <r>
    <x v="0"/>
    <m/>
    <x v="0"/>
    <n v="0"/>
    <m/>
    <m/>
    <m/>
    <x v="49"/>
    <m/>
    <m/>
    <x v="0"/>
    <m/>
  </r>
  <r>
    <x v="0"/>
    <m/>
    <x v="0"/>
    <n v="0"/>
    <m/>
    <m/>
    <m/>
    <x v="50"/>
    <m/>
    <m/>
    <x v="0"/>
    <m/>
  </r>
  <r>
    <x v="0"/>
    <m/>
    <x v="0"/>
    <n v="0"/>
    <m/>
    <m/>
    <m/>
    <x v="50"/>
    <m/>
    <m/>
    <x v="0"/>
    <m/>
  </r>
  <r>
    <x v="0"/>
    <m/>
    <x v="0"/>
    <n v="0"/>
    <m/>
    <m/>
    <m/>
    <x v="50"/>
    <m/>
    <m/>
    <x v="0"/>
    <m/>
  </r>
  <r>
    <x v="0"/>
    <m/>
    <x v="0"/>
    <n v="0"/>
    <m/>
    <m/>
    <m/>
    <x v="50"/>
    <m/>
    <m/>
    <x v="0"/>
    <m/>
  </r>
  <r>
    <x v="0"/>
    <m/>
    <x v="0"/>
    <n v="0"/>
    <m/>
    <m/>
    <m/>
    <x v="50"/>
    <m/>
    <m/>
    <x v="0"/>
    <m/>
  </r>
  <r>
    <x v="0"/>
    <m/>
    <x v="0"/>
    <n v="0"/>
    <m/>
    <m/>
    <m/>
    <x v="50"/>
    <m/>
    <m/>
    <x v="0"/>
    <m/>
  </r>
  <r>
    <x v="8"/>
    <m/>
    <x v="8"/>
    <n v="300"/>
    <m/>
    <m/>
    <m/>
    <x v="51"/>
    <m/>
    <m/>
    <x v="0"/>
    <m/>
  </r>
  <r>
    <x v="11"/>
    <m/>
    <x v="0"/>
    <n v="370"/>
    <m/>
    <m/>
    <m/>
    <x v="51"/>
    <m/>
    <m/>
    <x v="0"/>
    <m/>
  </r>
  <r>
    <x v="0"/>
    <m/>
    <x v="0"/>
    <n v="0"/>
    <m/>
    <m/>
    <m/>
    <x v="51"/>
    <m/>
    <m/>
    <x v="0"/>
    <m/>
  </r>
  <r>
    <x v="0"/>
    <m/>
    <x v="0"/>
    <n v="0"/>
    <m/>
    <m/>
    <m/>
    <x v="51"/>
    <m/>
    <m/>
    <x v="0"/>
    <m/>
  </r>
  <r>
    <x v="0"/>
    <m/>
    <x v="0"/>
    <n v="0"/>
    <m/>
    <m/>
    <m/>
    <x v="51"/>
    <m/>
    <m/>
    <x v="0"/>
    <m/>
  </r>
  <r>
    <x v="0"/>
    <m/>
    <x v="0"/>
    <n v="0"/>
    <m/>
    <m/>
    <m/>
    <x v="51"/>
    <m/>
    <m/>
    <x v="0"/>
    <m/>
  </r>
  <r>
    <x v="4"/>
    <m/>
    <x v="4"/>
    <n v="3333.0000000000005"/>
    <m/>
    <m/>
    <m/>
    <x v="52"/>
    <m/>
    <m/>
    <x v="0"/>
    <m/>
  </r>
  <r>
    <x v="11"/>
    <m/>
    <x v="0"/>
    <n v="1515"/>
    <m/>
    <m/>
    <m/>
    <x v="52"/>
    <m/>
    <m/>
    <x v="0"/>
    <m/>
  </r>
  <r>
    <x v="0"/>
    <m/>
    <x v="0"/>
    <n v="0"/>
    <m/>
    <m/>
    <m/>
    <x v="52"/>
    <m/>
    <m/>
    <x v="0"/>
    <m/>
  </r>
  <r>
    <x v="0"/>
    <m/>
    <x v="0"/>
    <n v="0"/>
    <m/>
    <m/>
    <m/>
    <x v="52"/>
    <m/>
    <m/>
    <x v="0"/>
    <m/>
  </r>
  <r>
    <x v="0"/>
    <m/>
    <x v="0"/>
    <n v="0"/>
    <m/>
    <m/>
    <m/>
    <x v="52"/>
    <m/>
    <m/>
    <x v="0"/>
    <m/>
  </r>
  <r>
    <x v="0"/>
    <m/>
    <x v="0"/>
    <n v="0"/>
    <m/>
    <m/>
    <m/>
    <x v="52"/>
    <m/>
    <m/>
    <x v="0"/>
    <m/>
  </r>
  <r>
    <x v="12"/>
    <m/>
    <x v="0"/>
    <n v="523.19999999999993"/>
    <m/>
    <m/>
    <m/>
    <x v="53"/>
    <m/>
    <m/>
    <x v="0"/>
    <m/>
  </r>
  <r>
    <x v="11"/>
    <m/>
    <x v="0"/>
    <n v="545"/>
    <m/>
    <m/>
    <m/>
    <x v="53"/>
    <m/>
    <m/>
    <x v="0"/>
    <m/>
  </r>
  <r>
    <x v="0"/>
    <m/>
    <x v="0"/>
    <n v="0"/>
    <m/>
    <m/>
    <m/>
    <x v="53"/>
    <m/>
    <m/>
    <x v="0"/>
    <m/>
  </r>
  <r>
    <x v="0"/>
    <m/>
    <x v="0"/>
    <n v="0"/>
    <m/>
    <m/>
    <m/>
    <x v="53"/>
    <m/>
    <m/>
    <x v="0"/>
    <m/>
  </r>
  <r>
    <x v="0"/>
    <m/>
    <x v="0"/>
    <n v="0"/>
    <m/>
    <m/>
    <m/>
    <x v="53"/>
    <m/>
    <m/>
    <x v="0"/>
    <m/>
  </r>
  <r>
    <x v="0"/>
    <m/>
    <x v="0"/>
    <n v="0"/>
    <m/>
    <m/>
    <m/>
    <x v="53"/>
    <m/>
    <m/>
    <x v="0"/>
    <m/>
  </r>
  <r>
    <x v="13"/>
    <m/>
    <x v="10"/>
    <n v="1280"/>
    <m/>
    <m/>
    <m/>
    <x v="54"/>
    <m/>
    <m/>
    <x v="0"/>
    <m/>
  </r>
  <r>
    <x v="0"/>
    <m/>
    <x v="0"/>
    <n v="0"/>
    <m/>
    <m/>
    <m/>
    <x v="54"/>
    <m/>
    <m/>
    <x v="0"/>
    <m/>
  </r>
  <r>
    <x v="0"/>
    <m/>
    <x v="0"/>
    <n v="0"/>
    <m/>
    <m/>
    <m/>
    <x v="54"/>
    <m/>
    <m/>
    <x v="0"/>
    <m/>
  </r>
  <r>
    <x v="0"/>
    <m/>
    <x v="0"/>
    <n v="0"/>
    <m/>
    <m/>
    <m/>
    <x v="54"/>
    <m/>
    <m/>
    <x v="0"/>
    <m/>
  </r>
  <r>
    <x v="0"/>
    <m/>
    <x v="0"/>
    <n v="0"/>
    <m/>
    <m/>
    <m/>
    <x v="54"/>
    <m/>
    <m/>
    <x v="0"/>
    <m/>
  </r>
  <r>
    <x v="0"/>
    <m/>
    <x v="0"/>
    <n v="0"/>
    <m/>
    <m/>
    <m/>
    <x v="54"/>
    <m/>
    <m/>
    <x v="0"/>
    <m/>
  </r>
  <r>
    <x v="13"/>
    <m/>
    <x v="10"/>
    <n v="800"/>
    <m/>
    <m/>
    <m/>
    <x v="55"/>
    <m/>
    <m/>
    <x v="0"/>
    <m/>
  </r>
  <r>
    <x v="0"/>
    <m/>
    <x v="0"/>
    <n v="0"/>
    <m/>
    <m/>
    <m/>
    <x v="55"/>
    <m/>
    <m/>
    <x v="0"/>
    <m/>
  </r>
  <r>
    <x v="0"/>
    <m/>
    <x v="0"/>
    <n v="0"/>
    <m/>
    <m/>
    <m/>
    <x v="55"/>
    <m/>
    <m/>
    <x v="0"/>
    <m/>
  </r>
  <r>
    <x v="0"/>
    <m/>
    <x v="0"/>
    <n v="0"/>
    <m/>
    <m/>
    <m/>
    <x v="55"/>
    <m/>
    <m/>
    <x v="0"/>
    <m/>
  </r>
  <r>
    <x v="0"/>
    <m/>
    <x v="0"/>
    <n v="0"/>
    <m/>
    <m/>
    <m/>
    <x v="55"/>
    <m/>
    <m/>
    <x v="0"/>
    <m/>
  </r>
  <r>
    <x v="0"/>
    <m/>
    <x v="0"/>
    <n v="0"/>
    <m/>
    <m/>
    <m/>
    <x v="55"/>
    <m/>
    <m/>
    <x v="0"/>
    <m/>
  </r>
  <r>
    <x v="13"/>
    <m/>
    <x v="10"/>
    <n v="959.2"/>
    <m/>
    <m/>
    <m/>
    <x v="56"/>
    <m/>
    <m/>
    <x v="0"/>
    <m/>
  </r>
  <r>
    <x v="0"/>
    <m/>
    <x v="0"/>
    <n v="0"/>
    <m/>
    <m/>
    <m/>
    <x v="56"/>
    <m/>
    <m/>
    <x v="0"/>
    <m/>
  </r>
  <r>
    <x v="0"/>
    <m/>
    <x v="0"/>
    <n v="0"/>
    <m/>
    <m/>
    <m/>
    <x v="56"/>
    <m/>
    <m/>
    <x v="0"/>
    <m/>
  </r>
  <r>
    <x v="0"/>
    <m/>
    <x v="0"/>
    <n v="0"/>
    <m/>
    <m/>
    <m/>
    <x v="56"/>
    <m/>
    <m/>
    <x v="0"/>
    <m/>
  </r>
  <r>
    <x v="0"/>
    <m/>
    <x v="0"/>
    <n v="0"/>
    <m/>
    <m/>
    <m/>
    <x v="56"/>
    <m/>
    <m/>
    <x v="0"/>
    <m/>
  </r>
  <r>
    <x v="0"/>
    <m/>
    <x v="0"/>
    <n v="0"/>
    <m/>
    <m/>
    <m/>
    <x v="56"/>
    <m/>
    <m/>
    <x v="0"/>
    <m/>
  </r>
  <r>
    <x v="14"/>
    <m/>
    <x v="0"/>
    <n v="3525"/>
    <m/>
    <m/>
    <m/>
    <x v="3"/>
    <m/>
    <m/>
    <x v="0"/>
    <m/>
  </r>
  <r>
    <x v="0"/>
    <m/>
    <x v="0"/>
    <n v="0"/>
    <m/>
    <m/>
    <m/>
    <x v="3"/>
    <m/>
    <m/>
    <x v="0"/>
    <m/>
  </r>
  <r>
    <x v="5"/>
    <m/>
    <x v="5"/>
    <n v="8460"/>
    <m/>
    <m/>
    <m/>
    <x v="3"/>
    <m/>
    <m/>
    <x v="0"/>
    <m/>
  </r>
  <r>
    <x v="6"/>
    <m/>
    <x v="6"/>
    <n v="11280"/>
    <m/>
    <m/>
    <m/>
    <x v="3"/>
    <m/>
    <m/>
    <x v="0"/>
    <m/>
  </r>
  <r>
    <x v="15"/>
    <m/>
    <x v="11"/>
    <n v="28.114999999999998"/>
    <m/>
    <m/>
    <m/>
    <x v="3"/>
    <m/>
    <m/>
    <x v="0"/>
    <m/>
  </r>
  <r>
    <x v="0"/>
    <m/>
    <x v="0"/>
    <n v="0"/>
    <m/>
    <m/>
    <m/>
    <x v="3"/>
    <m/>
    <m/>
    <x v="0"/>
    <m/>
  </r>
  <r>
    <x v="8"/>
    <m/>
    <x v="8"/>
    <n v="720"/>
    <m/>
    <m/>
    <m/>
    <x v="5"/>
    <m/>
    <m/>
    <x v="0"/>
    <m/>
  </r>
  <r>
    <x v="0"/>
    <m/>
    <x v="0"/>
    <n v="0"/>
    <m/>
    <m/>
    <m/>
    <x v="5"/>
    <m/>
    <m/>
    <x v="0"/>
    <m/>
  </r>
  <r>
    <x v="0"/>
    <m/>
    <x v="0"/>
    <n v="0"/>
    <m/>
    <m/>
    <m/>
    <x v="5"/>
    <m/>
    <m/>
    <x v="0"/>
    <m/>
  </r>
  <r>
    <x v="0"/>
    <m/>
    <x v="0"/>
    <n v="0"/>
    <m/>
    <m/>
    <m/>
    <x v="5"/>
    <m/>
    <m/>
    <x v="0"/>
    <m/>
  </r>
  <r>
    <x v="15"/>
    <m/>
    <x v="11"/>
    <n v="36.021999999999998"/>
    <m/>
    <m/>
    <m/>
    <x v="5"/>
    <m/>
    <m/>
    <x v="0"/>
    <m/>
  </r>
  <r>
    <x v="0"/>
    <m/>
    <x v="0"/>
    <n v="0"/>
    <m/>
    <m/>
    <m/>
    <x v="5"/>
    <m/>
    <m/>
    <x v="0"/>
    <m/>
  </r>
  <r>
    <x v="8"/>
    <m/>
    <x v="8"/>
    <n v="540"/>
    <m/>
    <m/>
    <m/>
    <x v="4"/>
    <m/>
    <m/>
    <x v="0"/>
    <m/>
  </r>
  <r>
    <x v="0"/>
    <m/>
    <x v="0"/>
    <n v="0"/>
    <m/>
    <m/>
    <m/>
    <x v="4"/>
    <m/>
    <m/>
    <x v="0"/>
    <m/>
  </r>
  <r>
    <x v="0"/>
    <m/>
    <x v="0"/>
    <n v="0"/>
    <m/>
    <m/>
    <m/>
    <x v="4"/>
    <m/>
    <m/>
    <x v="0"/>
    <m/>
  </r>
  <r>
    <x v="0"/>
    <m/>
    <x v="0"/>
    <n v="0"/>
    <m/>
    <m/>
    <m/>
    <x v="4"/>
    <m/>
    <m/>
    <x v="0"/>
    <m/>
  </r>
  <r>
    <x v="15"/>
    <m/>
    <x v="11"/>
    <n v="26.789000000000001"/>
    <m/>
    <m/>
    <m/>
    <x v="4"/>
    <m/>
    <m/>
    <x v="0"/>
    <m/>
  </r>
  <r>
    <x v="0"/>
    <m/>
    <x v="0"/>
    <n v="0"/>
    <m/>
    <m/>
    <m/>
    <x v="4"/>
    <m/>
    <m/>
    <x v="0"/>
    <m/>
  </r>
  <r>
    <x v="9"/>
    <m/>
    <x v="9"/>
    <n v="673.2"/>
    <m/>
    <m/>
    <m/>
    <x v="57"/>
    <m/>
    <m/>
    <x v="0"/>
    <m/>
  </r>
  <r>
    <x v="10"/>
    <m/>
    <x v="0"/>
    <n v="408"/>
    <m/>
    <m/>
    <m/>
    <x v="57"/>
    <m/>
    <m/>
    <x v="0"/>
    <m/>
  </r>
  <r>
    <x v="5"/>
    <m/>
    <x v="5"/>
    <n v="12240"/>
    <m/>
    <m/>
    <m/>
    <x v="57"/>
    <m/>
    <m/>
    <x v="0"/>
    <m/>
  </r>
  <r>
    <x v="6"/>
    <m/>
    <x v="6"/>
    <n v="16320"/>
    <m/>
    <m/>
    <m/>
    <x v="57"/>
    <m/>
    <m/>
    <x v="0"/>
    <m/>
  </r>
  <r>
    <x v="15"/>
    <m/>
    <x v="11"/>
    <n v="40.835999999999999"/>
    <m/>
    <m/>
    <m/>
    <x v="57"/>
    <m/>
    <m/>
    <x v="0"/>
    <m/>
  </r>
  <r>
    <x v="0"/>
    <m/>
    <x v="0"/>
    <n v="0"/>
    <m/>
    <m/>
    <m/>
    <x v="57"/>
    <m/>
    <m/>
    <x v="0"/>
    <m/>
  </r>
  <r>
    <x v="9"/>
    <m/>
    <x v="9"/>
    <n v="871.2"/>
    <m/>
    <m/>
    <m/>
    <x v="7"/>
    <m/>
    <m/>
    <x v="0"/>
    <m/>
  </r>
  <r>
    <x v="10"/>
    <m/>
    <x v="0"/>
    <n v="528"/>
    <m/>
    <m/>
    <m/>
    <x v="7"/>
    <m/>
    <m/>
    <x v="0"/>
    <m/>
  </r>
  <r>
    <x v="5"/>
    <m/>
    <x v="5"/>
    <n v="15840"/>
    <m/>
    <m/>
    <m/>
    <x v="7"/>
    <m/>
    <m/>
    <x v="0"/>
    <m/>
  </r>
  <r>
    <x v="6"/>
    <m/>
    <x v="6"/>
    <n v="21120"/>
    <m/>
    <m/>
    <m/>
    <x v="7"/>
    <m/>
    <m/>
    <x v="0"/>
    <m/>
  </r>
  <r>
    <x v="15"/>
    <m/>
    <x v="11"/>
    <n v="52.872"/>
    <m/>
    <m/>
    <m/>
    <x v="7"/>
    <m/>
    <m/>
    <x v="0"/>
    <m/>
  </r>
  <r>
    <x v="0"/>
    <m/>
    <x v="0"/>
    <n v="0"/>
    <m/>
    <m/>
    <m/>
    <x v="7"/>
    <m/>
    <m/>
    <x v="0"/>
    <m/>
  </r>
  <r>
    <x v="16"/>
    <m/>
    <x v="12"/>
    <n v="680"/>
    <m/>
    <m/>
    <m/>
    <x v="6"/>
    <m/>
    <m/>
    <x v="0"/>
    <m/>
  </r>
  <r>
    <x v="0"/>
    <m/>
    <x v="0"/>
    <n v="0"/>
    <m/>
    <m/>
    <m/>
    <x v="6"/>
    <m/>
    <m/>
    <x v="0"/>
    <m/>
  </r>
  <r>
    <x v="0"/>
    <m/>
    <x v="0"/>
    <n v="0"/>
    <m/>
    <m/>
    <m/>
    <x v="6"/>
    <m/>
    <m/>
    <x v="0"/>
    <m/>
  </r>
  <r>
    <x v="0"/>
    <m/>
    <x v="0"/>
    <n v="0"/>
    <m/>
    <m/>
    <m/>
    <x v="6"/>
    <m/>
    <m/>
    <x v="0"/>
    <m/>
  </r>
  <r>
    <x v="0"/>
    <m/>
    <x v="0"/>
    <n v="0"/>
    <m/>
    <m/>
    <m/>
    <x v="6"/>
    <m/>
    <m/>
    <x v="0"/>
    <m/>
  </r>
  <r>
    <x v="0"/>
    <m/>
    <x v="0"/>
    <n v="0"/>
    <m/>
    <m/>
    <m/>
    <x v="6"/>
    <m/>
    <m/>
    <x v="0"/>
    <m/>
  </r>
  <r>
    <x v="2"/>
    <m/>
    <x v="2"/>
    <n v="600"/>
    <m/>
    <m/>
    <m/>
    <x v="9"/>
    <m/>
    <m/>
    <x v="0"/>
    <m/>
  </r>
  <r>
    <x v="17"/>
    <m/>
    <x v="0"/>
    <n v="600"/>
    <m/>
    <m/>
    <m/>
    <x v="9"/>
    <m/>
    <m/>
    <x v="0"/>
    <m/>
  </r>
  <r>
    <x v="0"/>
    <m/>
    <x v="0"/>
    <n v="0"/>
    <m/>
    <m/>
    <m/>
    <x v="9"/>
    <m/>
    <m/>
    <x v="0"/>
    <m/>
  </r>
  <r>
    <x v="0"/>
    <m/>
    <x v="0"/>
    <n v="0"/>
    <m/>
    <m/>
    <m/>
    <x v="9"/>
    <m/>
    <m/>
    <x v="0"/>
    <m/>
  </r>
  <r>
    <x v="0"/>
    <m/>
    <x v="0"/>
    <n v="0"/>
    <m/>
    <m/>
    <m/>
    <x v="9"/>
    <m/>
    <m/>
    <x v="0"/>
    <m/>
  </r>
  <r>
    <x v="0"/>
    <m/>
    <x v="0"/>
    <n v="0"/>
    <m/>
    <m/>
    <m/>
    <x v="9"/>
    <m/>
    <m/>
    <x v="0"/>
    <m/>
  </r>
  <r>
    <x v="2"/>
    <m/>
    <x v="2"/>
    <n v="520"/>
    <m/>
    <m/>
    <m/>
    <x v="10"/>
    <m/>
    <m/>
    <x v="0"/>
    <m/>
  </r>
  <r>
    <x v="17"/>
    <m/>
    <x v="0"/>
    <n v="520"/>
    <m/>
    <m/>
    <m/>
    <x v="10"/>
    <m/>
    <m/>
    <x v="0"/>
    <m/>
  </r>
  <r>
    <x v="0"/>
    <m/>
    <x v="0"/>
    <n v="0"/>
    <m/>
    <m/>
    <m/>
    <x v="10"/>
    <m/>
    <m/>
    <x v="0"/>
    <m/>
  </r>
  <r>
    <x v="0"/>
    <m/>
    <x v="0"/>
    <n v="0"/>
    <m/>
    <m/>
    <m/>
    <x v="10"/>
    <m/>
    <m/>
    <x v="0"/>
    <m/>
  </r>
  <r>
    <x v="0"/>
    <m/>
    <x v="0"/>
    <n v="0"/>
    <m/>
    <m/>
    <m/>
    <x v="10"/>
    <m/>
    <m/>
    <x v="0"/>
    <m/>
  </r>
  <r>
    <x v="0"/>
    <m/>
    <x v="0"/>
    <n v="0"/>
    <m/>
    <m/>
    <m/>
    <x v="10"/>
    <m/>
    <m/>
    <x v="0"/>
    <m/>
  </r>
  <r>
    <x v="2"/>
    <m/>
    <x v="2"/>
    <n v="520"/>
    <m/>
    <m/>
    <m/>
    <x v="11"/>
    <m/>
    <m/>
    <x v="0"/>
    <m/>
  </r>
  <r>
    <x v="17"/>
    <m/>
    <x v="0"/>
    <n v="520"/>
    <m/>
    <m/>
    <m/>
    <x v="11"/>
    <m/>
    <m/>
    <x v="0"/>
    <m/>
  </r>
  <r>
    <x v="0"/>
    <m/>
    <x v="0"/>
    <n v="0"/>
    <m/>
    <m/>
    <m/>
    <x v="11"/>
    <m/>
    <m/>
    <x v="0"/>
    <m/>
  </r>
  <r>
    <x v="0"/>
    <m/>
    <x v="0"/>
    <n v="0"/>
    <m/>
    <m/>
    <m/>
    <x v="11"/>
    <m/>
    <m/>
    <x v="0"/>
    <m/>
  </r>
  <r>
    <x v="0"/>
    <m/>
    <x v="0"/>
    <n v="0"/>
    <m/>
    <m/>
    <m/>
    <x v="11"/>
    <m/>
    <m/>
    <x v="0"/>
    <m/>
  </r>
  <r>
    <x v="0"/>
    <m/>
    <x v="0"/>
    <n v="0"/>
    <m/>
    <m/>
    <m/>
    <x v="11"/>
    <m/>
    <m/>
    <x v="0"/>
    <m/>
  </r>
  <r>
    <x v="2"/>
    <m/>
    <x v="2"/>
    <n v="320"/>
    <m/>
    <m/>
    <m/>
    <x v="8"/>
    <m/>
    <m/>
    <x v="0"/>
    <m/>
  </r>
  <r>
    <x v="17"/>
    <m/>
    <x v="0"/>
    <n v="320"/>
    <m/>
    <m/>
    <m/>
    <x v="8"/>
    <m/>
    <m/>
    <x v="0"/>
    <m/>
  </r>
  <r>
    <x v="0"/>
    <m/>
    <x v="0"/>
    <n v="0"/>
    <m/>
    <m/>
    <m/>
    <x v="8"/>
    <m/>
    <m/>
    <x v="0"/>
    <m/>
  </r>
  <r>
    <x v="0"/>
    <m/>
    <x v="0"/>
    <n v="0"/>
    <m/>
    <m/>
    <m/>
    <x v="8"/>
    <m/>
    <m/>
    <x v="0"/>
    <m/>
  </r>
  <r>
    <x v="0"/>
    <m/>
    <x v="0"/>
    <n v="0"/>
    <m/>
    <m/>
    <m/>
    <x v="8"/>
    <m/>
    <m/>
    <x v="0"/>
    <m/>
  </r>
  <r>
    <x v="0"/>
    <m/>
    <x v="0"/>
    <n v="0"/>
    <m/>
    <m/>
    <m/>
    <x v="8"/>
    <m/>
    <m/>
    <x v="0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0"/>
    <m/>
    <x v="0"/>
    <n v="0"/>
    <m/>
    <m/>
    <m/>
    <x v="58"/>
    <m/>
    <m/>
    <x v="1"/>
    <m/>
  </r>
  <r>
    <x v="18"/>
    <m/>
    <x v="13"/>
    <m/>
    <m/>
    <m/>
    <m/>
    <x v="59"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 dinámica1" cacheId="10" applyNumberFormats="0" applyBorderFormats="0" applyFontFormats="0" applyPatternFormats="0" applyAlignmentFormats="0" applyWidthHeightFormats="1" dataCaption="Valores" updatedVersion="7" minRefreshableVersion="3" itemPrintTitles="1" createdVersion="4" indent="0" compact="0" compactData="0" multipleFieldFilters="0">
  <location ref="A3:D68" firstHeaderRow="1" firstDataRow="1" firstDataCol="3" rowPageCount="1" colPageCount="1"/>
  <pivotFields count="12">
    <pivotField axis="axisRow" compact="0" outline="0" showAll="0" sortType="ascending" defaultSubtotal="0">
      <items count="19">
        <item x="0"/>
        <item x="3"/>
        <item x="1"/>
        <item x="4"/>
        <item x="8"/>
        <item x="5"/>
        <item x="10"/>
        <item x="17"/>
        <item x="7"/>
        <item x="11"/>
        <item x="14"/>
        <item x="12"/>
        <item x="13"/>
        <item x="6"/>
        <item x="16"/>
        <item x="9"/>
        <item x="15"/>
        <item x="2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m="1" x="14"/>
        <item x="13"/>
        <item sd="0" x="0"/>
        <item x="4"/>
        <item x="8"/>
        <item x="11"/>
        <item x="9"/>
        <item x="5"/>
        <item x="6"/>
        <item x="10"/>
        <item x="2"/>
        <item x="3"/>
        <item x="1"/>
        <item x="7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4">
        <item x="58"/>
        <item m="1" x="97"/>
        <item m="1" x="83"/>
        <item x="5"/>
        <item x="34"/>
        <item x="27"/>
        <item m="1" x="103"/>
        <item m="1" x="67"/>
        <item x="54"/>
        <item x="38"/>
        <item x="0"/>
        <item m="1" x="115"/>
        <item x="33"/>
        <item x="12"/>
        <item x="24"/>
        <item m="1" x="104"/>
        <item m="1" x="102"/>
        <item x="57"/>
        <item x="15"/>
        <item m="1" x="99"/>
        <item x="28"/>
        <item x="29"/>
        <item x="30"/>
        <item x="35"/>
        <item x="43"/>
        <item x="3"/>
        <item x="44"/>
        <item m="1" x="88"/>
        <item x="21"/>
        <item x="48"/>
        <item x="7"/>
        <item x="16"/>
        <item x="40"/>
        <item x="39"/>
        <item x="45"/>
        <item x="50"/>
        <item x="52"/>
        <item x="59"/>
        <item m="1" x="86"/>
        <item m="1" x="116"/>
        <item m="1" x="89"/>
        <item m="1" x="91"/>
        <item m="1" x="106"/>
        <item m="1" x="69"/>
        <item m="1" x="77"/>
        <item m="1" x="79"/>
        <item m="1" x="66"/>
        <item m="1" x="111"/>
        <item m="1" x="81"/>
        <item x="9"/>
        <item m="1" x="62"/>
        <item m="1" x="71"/>
        <item m="1" x="70"/>
        <item m="1" x="121"/>
        <item m="1" x="109"/>
        <item m="1" x="101"/>
        <item m="1" x="119"/>
        <item m="1" x="113"/>
        <item m="1" x="68"/>
        <item m="1" x="63"/>
        <item m="1" x="117"/>
        <item m="1" x="94"/>
        <item m="1" x="73"/>
        <item m="1" x="122"/>
        <item m="1" x="82"/>
        <item m="1" x="90"/>
        <item m="1" x="74"/>
        <item m="1" x="85"/>
        <item m="1" x="84"/>
        <item m="1" x="98"/>
        <item m="1" x="92"/>
        <item m="1" x="72"/>
        <item x="19"/>
        <item x="46"/>
        <item m="1" x="64"/>
        <item x="26"/>
        <item m="1" x="60"/>
        <item m="1" x="75"/>
        <item m="1" x="120"/>
        <item x="22"/>
        <item x="10"/>
        <item m="1" x="110"/>
        <item x="51"/>
        <item m="1" x="61"/>
        <item x="17"/>
        <item m="1" x="96"/>
        <item m="1" x="95"/>
        <item m="1" x="114"/>
        <item m="1" x="118"/>
        <item m="1" x="108"/>
        <item x="13"/>
        <item x="14"/>
        <item x="18"/>
        <item x="25"/>
        <item m="1" x="100"/>
        <item m="1" x="78"/>
        <item m="1" x="65"/>
        <item m="1" x="112"/>
        <item m="1" x="107"/>
        <item m="1" x="105"/>
        <item m="1" x="76"/>
        <item m="1" x="93"/>
        <item m="1" x="80"/>
        <item m="1" x="87"/>
        <item x="1"/>
        <item x="2"/>
        <item x="4"/>
        <item x="6"/>
        <item x="8"/>
        <item x="11"/>
        <item x="20"/>
        <item x="23"/>
        <item x="31"/>
        <item x="32"/>
        <item x="36"/>
        <item x="37"/>
        <item x="41"/>
        <item x="42"/>
        <item x="47"/>
        <item x="49"/>
        <item x="53"/>
        <item x="55"/>
        <item x="5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7">
        <item m="1" x="4"/>
        <item m="1" x="5"/>
        <item m="1" x="3"/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0"/>
    <field x="7"/>
  </rowFields>
  <rowItems count="65">
    <i>
      <x v="1"/>
      <x v="18"/>
      <x v="37"/>
    </i>
    <i>
      <x v="2"/>
    </i>
    <i>
      <x v="3"/>
      <x v="3"/>
      <x v="5"/>
    </i>
    <i r="2">
      <x v="21"/>
    </i>
    <i r="2">
      <x v="22"/>
    </i>
    <i r="2">
      <x v="23"/>
    </i>
    <i r="2">
      <x v="28"/>
    </i>
    <i r="2">
      <x v="33"/>
    </i>
    <i r="2">
      <x v="36"/>
    </i>
    <i r="2">
      <x v="72"/>
    </i>
    <i r="2">
      <x v="79"/>
    </i>
    <i r="2">
      <x v="92"/>
    </i>
    <i r="2">
      <x v="110"/>
    </i>
    <i r="2">
      <x v="111"/>
    </i>
    <i r="2">
      <x v="116"/>
    </i>
    <i r="2">
      <x v="117"/>
    </i>
    <i>
      <x v="4"/>
      <x v="4"/>
      <x v="3"/>
    </i>
    <i r="2">
      <x v="4"/>
    </i>
    <i r="2">
      <x v="12"/>
    </i>
    <i r="2">
      <x v="82"/>
    </i>
    <i r="2">
      <x v="106"/>
    </i>
    <i>
      <x v="5"/>
      <x v="16"/>
      <x v="3"/>
    </i>
    <i r="2">
      <x v="17"/>
    </i>
    <i r="2">
      <x v="25"/>
    </i>
    <i r="2">
      <x v="30"/>
    </i>
    <i r="2">
      <x v="106"/>
    </i>
    <i>
      <x v="6"/>
      <x v="15"/>
      <x v="17"/>
    </i>
    <i r="2">
      <x v="26"/>
    </i>
    <i r="2">
      <x v="30"/>
    </i>
    <i r="2">
      <x v="34"/>
    </i>
    <i r="2">
      <x v="73"/>
    </i>
    <i>
      <x v="7"/>
      <x v="5"/>
      <x v="17"/>
    </i>
    <i r="2">
      <x v="25"/>
    </i>
    <i r="2">
      <x v="26"/>
    </i>
    <i r="2">
      <x v="28"/>
    </i>
    <i r="2">
      <x v="30"/>
    </i>
    <i r="2">
      <x v="34"/>
    </i>
    <i r="2">
      <x v="73"/>
    </i>
    <i r="2">
      <x v="110"/>
    </i>
    <i>
      <x v="8"/>
      <x v="13"/>
      <x v="17"/>
    </i>
    <i r="2">
      <x v="25"/>
    </i>
    <i r="2">
      <x v="26"/>
    </i>
    <i r="2">
      <x v="28"/>
    </i>
    <i r="2">
      <x v="30"/>
    </i>
    <i r="2">
      <x v="34"/>
    </i>
    <i r="2">
      <x v="73"/>
    </i>
    <i r="2">
      <x v="110"/>
    </i>
    <i>
      <x v="9"/>
      <x v="12"/>
      <x v="8"/>
    </i>
    <i r="2">
      <x v="121"/>
    </i>
    <i r="2">
      <x v="122"/>
    </i>
    <i>
      <x v="10"/>
      <x v="17"/>
      <x v="14"/>
    </i>
    <i r="2">
      <x v="31"/>
    </i>
    <i r="2">
      <x v="49"/>
    </i>
    <i r="2">
      <x v="80"/>
    </i>
    <i r="2">
      <x v="84"/>
    </i>
    <i r="2">
      <x v="108"/>
    </i>
    <i r="2">
      <x v="109"/>
    </i>
    <i>
      <x v="11"/>
      <x v="1"/>
      <x v="14"/>
    </i>
    <i r="2">
      <x v="31"/>
    </i>
    <i r="2">
      <x v="84"/>
    </i>
    <i>
      <x v="12"/>
      <x v="2"/>
      <x v="108"/>
    </i>
    <i>
      <x v="13"/>
      <x v="8"/>
      <x v="112"/>
    </i>
    <i r="2">
      <x v="113"/>
    </i>
    <i>
      <x v="14"/>
      <x v="14"/>
      <x v="107"/>
    </i>
    <i t="grand">
      <x/>
    </i>
  </rowItems>
  <colItems count="1">
    <i/>
  </colItems>
  <pageFields count="1">
    <pageField fld="10" hier="-1"/>
  </pageFields>
  <dataFields count="1">
    <dataField name=" CANTIDAD" fld="3" baseField="7" baseItem="55" numFmtId="1"/>
  </dataFields>
  <formats count="7">
    <format dxfId="6">
      <pivotArea dataOnly="0" labelOnly="1" outline="0" fieldPosition="0">
        <references count="1">
          <reference field="2" count="1">
            <x v="2"/>
          </reference>
        </references>
      </pivotArea>
    </format>
    <format dxfId="5">
      <pivotArea dataOnly="0" labelOnly="1" outline="0" fieldPosition="0">
        <references count="1">
          <reference field="2" count="1">
            <x v="1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field="7" type="button" dataOnly="0" labelOnly="1" outline="0" axis="axisRow" fieldPosition="2"/>
    </format>
    <format dxfId="2">
      <pivotArea dataOnly="0" labelOnly="1" outline="0" fieldPosition="0">
        <references count="1">
          <reference field="2" count="1">
            <x v="2"/>
          </reference>
        </references>
      </pivotArea>
    </format>
    <format dxfId="1">
      <pivotArea dataOnly="0" labelOnly="1" outline="0" fieldPosition="0">
        <references count="1">
          <reference field="2" count="1">
            <x v="1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3B1D-0619-41CC-8089-19DC520EAB2D}">
  <dimension ref="A1:AH193"/>
  <sheetViews>
    <sheetView topLeftCell="A4" zoomScaleNormal="100" workbookViewId="0">
      <pane xSplit="4" ySplit="2" topLeftCell="E6" activePane="bottomRight" state="frozen"/>
      <selection activeCell="E52" sqref="E52"/>
      <selection pane="topRight" activeCell="E52" sqref="E52"/>
      <selection pane="bottomLeft" activeCell="E52" sqref="E52"/>
      <selection pane="bottomRight" activeCell="A4" sqref="A1:XFD1048576"/>
    </sheetView>
  </sheetViews>
  <sheetFormatPr baseColWidth="10" defaultRowHeight="12.75" x14ac:dyDescent="0.2"/>
  <cols>
    <col min="1" max="1" width="10.28515625" style="193" customWidth="1"/>
    <col min="2" max="2" width="8.85546875" style="193" customWidth="1"/>
    <col min="3" max="3" width="9.85546875" style="193" customWidth="1"/>
    <col min="4" max="4" width="8.28515625" style="193" customWidth="1"/>
    <col min="5" max="5" width="16.28515625" style="193" customWidth="1"/>
    <col min="6" max="8" width="9.85546875" style="193" customWidth="1"/>
    <col min="9" max="9" width="13.85546875" style="193" customWidth="1"/>
    <col min="10" max="12" width="9.85546875" style="193" customWidth="1"/>
    <col min="13" max="13" width="13.85546875" style="193" customWidth="1"/>
    <col min="14" max="16" width="9.85546875" style="193" customWidth="1"/>
    <col min="17" max="17" width="13.85546875" style="193" customWidth="1"/>
    <col min="18" max="20" width="9.85546875" style="193" customWidth="1"/>
    <col min="21" max="21" width="13.85546875" style="193" customWidth="1"/>
    <col min="22" max="24" width="9.85546875" style="193" customWidth="1"/>
    <col min="25" max="25" width="13.85546875" style="193" customWidth="1"/>
    <col min="26" max="26" width="9.85546875" style="193" customWidth="1"/>
    <col min="27" max="27" width="6.28515625" style="117" customWidth="1"/>
    <col min="28" max="16384" width="11.42578125" style="117"/>
  </cols>
  <sheetData>
    <row r="1" spans="1:28" hidden="1" x14ac:dyDescent="0.2">
      <c r="B1" s="193">
        <v>1</v>
      </c>
      <c r="C1" s="193">
        <f>B1+1</f>
        <v>2</v>
      </c>
      <c r="D1" s="193">
        <f>C1+1</f>
        <v>3</v>
      </c>
      <c r="E1" s="193">
        <f>D1+1</f>
        <v>4</v>
      </c>
      <c r="F1" s="193">
        <f>E1+1</f>
        <v>5</v>
      </c>
      <c r="I1" s="193">
        <f>F1+1</f>
        <v>6</v>
      </c>
      <c r="J1" s="193">
        <f>I1+1</f>
        <v>7</v>
      </c>
      <c r="M1" s="193">
        <f>J1+1</f>
        <v>8</v>
      </c>
      <c r="N1" s="193">
        <f>M1+1</f>
        <v>9</v>
      </c>
      <c r="Q1" s="193">
        <f>N1+1</f>
        <v>10</v>
      </c>
      <c r="R1" s="193">
        <f>Q1+1</f>
        <v>11</v>
      </c>
      <c r="U1" s="193">
        <f>R1+1</f>
        <v>12</v>
      </c>
      <c r="V1" s="193">
        <f>U1+1</f>
        <v>13</v>
      </c>
      <c r="Y1" s="193">
        <f>V1+1</f>
        <v>14</v>
      </c>
      <c r="Z1" s="193">
        <f>Y1+1</f>
        <v>15</v>
      </c>
      <c r="AA1" s="117" t="e">
        <f>#REF!+1</f>
        <v>#REF!</v>
      </c>
    </row>
    <row r="2" spans="1:28" hidden="1" x14ac:dyDescent="0.2"/>
    <row r="3" spans="1:28" ht="31.15" hidden="1" customHeight="1" x14ac:dyDescent="0.2">
      <c r="B3" s="194" t="s">
        <v>291</v>
      </c>
      <c r="C3" s="195"/>
    </row>
    <row r="4" spans="1:28" ht="13.5" customHeight="1" thickBot="1" x14ac:dyDescent="0.25">
      <c r="A4" s="196" t="s">
        <v>1218</v>
      </c>
      <c r="B4" s="197" t="s">
        <v>984</v>
      </c>
      <c r="C4" s="198"/>
      <c r="D4" s="198"/>
      <c r="E4" s="197"/>
      <c r="F4" s="199"/>
      <c r="G4" s="199"/>
      <c r="H4" s="199"/>
      <c r="I4" s="200" t="s">
        <v>742</v>
      </c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spans="1:28" s="157" customFormat="1" ht="34.5" thickBot="1" x14ac:dyDescent="0.25">
      <c r="A5" s="201" t="s">
        <v>292</v>
      </c>
      <c r="B5" s="202" t="s">
        <v>293</v>
      </c>
      <c r="C5" s="203" t="s">
        <v>1195</v>
      </c>
      <c r="D5" s="204" t="s">
        <v>1203</v>
      </c>
      <c r="E5" s="205" t="s">
        <v>4</v>
      </c>
      <c r="F5" s="206" t="s">
        <v>1202</v>
      </c>
      <c r="G5" s="203" t="s">
        <v>1196</v>
      </c>
      <c r="H5" s="204" t="s">
        <v>1204</v>
      </c>
      <c r="I5" s="207" t="s">
        <v>5</v>
      </c>
      <c r="J5" s="205" t="s">
        <v>1209</v>
      </c>
      <c r="K5" s="203" t="s">
        <v>1197</v>
      </c>
      <c r="L5" s="204" t="s">
        <v>1205</v>
      </c>
      <c r="M5" s="205" t="s">
        <v>6</v>
      </c>
      <c r="N5" s="206" t="s">
        <v>1217</v>
      </c>
      <c r="O5" s="203" t="s">
        <v>1198</v>
      </c>
      <c r="P5" s="204" t="s">
        <v>1206</v>
      </c>
      <c r="Q5" s="205" t="s">
        <v>7</v>
      </c>
      <c r="R5" s="206" t="s">
        <v>963</v>
      </c>
      <c r="S5" s="203" t="s">
        <v>1199</v>
      </c>
      <c r="T5" s="204" t="s">
        <v>1207</v>
      </c>
      <c r="U5" s="208" t="s">
        <v>8</v>
      </c>
      <c r="V5" s="209" t="s">
        <v>921</v>
      </c>
      <c r="W5" s="203" t="s">
        <v>1200</v>
      </c>
      <c r="X5" s="204" t="s">
        <v>1208</v>
      </c>
      <c r="Y5" s="205" t="s">
        <v>13</v>
      </c>
      <c r="Z5" s="206" t="s">
        <v>1210</v>
      </c>
      <c r="AA5" s="156" t="s">
        <v>1201</v>
      </c>
    </row>
    <row r="6" spans="1:28" x14ac:dyDescent="0.2">
      <c r="A6" s="212">
        <v>1</v>
      </c>
      <c r="B6" s="213" t="s">
        <v>1029</v>
      </c>
      <c r="C6" s="213" t="s">
        <v>915</v>
      </c>
      <c r="D6" s="214">
        <v>4</v>
      </c>
      <c r="E6" s="215" t="s">
        <v>181</v>
      </c>
      <c r="F6" s="216">
        <v>1</v>
      </c>
      <c r="G6" s="213" t="s">
        <v>915</v>
      </c>
      <c r="H6" s="214">
        <v>4</v>
      </c>
      <c r="I6" s="215"/>
      <c r="J6" s="216"/>
      <c r="K6" s="213" t="s">
        <v>915</v>
      </c>
      <c r="L6" s="214">
        <v>4</v>
      </c>
      <c r="M6" s="215"/>
      <c r="N6" s="216"/>
      <c r="O6" s="213" t="s">
        <v>915</v>
      </c>
      <c r="P6" s="214">
        <v>4</v>
      </c>
      <c r="Q6" s="217"/>
      <c r="R6" s="218"/>
      <c r="S6" s="213" t="s">
        <v>915</v>
      </c>
      <c r="T6" s="214">
        <v>4</v>
      </c>
      <c r="U6" s="217"/>
      <c r="V6" s="218"/>
      <c r="W6" s="213" t="s">
        <v>915</v>
      </c>
      <c r="X6" s="214">
        <v>4</v>
      </c>
      <c r="Y6" s="217"/>
      <c r="Z6" s="218"/>
      <c r="AA6" s="165"/>
    </row>
    <row r="7" spans="1:28" x14ac:dyDescent="0.2">
      <c r="A7" s="212">
        <v>2</v>
      </c>
      <c r="B7" s="213" t="s">
        <v>1030</v>
      </c>
      <c r="C7" s="213" t="s">
        <v>295</v>
      </c>
      <c r="D7" s="214">
        <v>50</v>
      </c>
      <c r="E7" s="214" t="s">
        <v>909</v>
      </c>
      <c r="F7" s="216">
        <v>0.33</v>
      </c>
      <c r="G7" s="213" t="s">
        <v>295</v>
      </c>
      <c r="H7" s="214">
        <v>50</v>
      </c>
      <c r="I7" s="215" t="s">
        <v>1876</v>
      </c>
      <c r="J7" s="220">
        <v>0.2</v>
      </c>
      <c r="K7" s="213" t="s">
        <v>295</v>
      </c>
      <c r="L7" s="214">
        <v>50</v>
      </c>
      <c r="M7" s="215" t="s">
        <v>840</v>
      </c>
      <c r="N7" s="216">
        <v>6</v>
      </c>
      <c r="O7" s="213" t="s">
        <v>295</v>
      </c>
      <c r="P7" s="214">
        <v>50</v>
      </c>
      <c r="Q7" s="217" t="s">
        <v>918</v>
      </c>
      <c r="R7" s="218">
        <v>8</v>
      </c>
      <c r="S7" s="213" t="s">
        <v>295</v>
      </c>
      <c r="T7" s="214">
        <v>50</v>
      </c>
      <c r="U7" s="217" t="s">
        <v>839</v>
      </c>
      <c r="V7" s="218">
        <v>1</v>
      </c>
      <c r="W7" s="213" t="s">
        <v>295</v>
      </c>
      <c r="X7" s="214">
        <v>50</v>
      </c>
      <c r="Y7" s="217"/>
      <c r="Z7" s="218"/>
      <c r="AA7" s="165"/>
    </row>
    <row r="8" spans="1:28" x14ac:dyDescent="0.2">
      <c r="A8" s="212">
        <v>3</v>
      </c>
      <c r="B8" s="213" t="s">
        <v>1031</v>
      </c>
      <c r="C8" s="213" t="s">
        <v>295</v>
      </c>
      <c r="D8" s="214">
        <v>50</v>
      </c>
      <c r="E8" s="214" t="s">
        <v>912</v>
      </c>
      <c r="F8" s="221">
        <v>2</v>
      </c>
      <c r="G8" s="213" t="s">
        <v>295</v>
      </c>
      <c r="H8" s="214">
        <v>50</v>
      </c>
      <c r="I8" s="215"/>
      <c r="J8" s="216"/>
      <c r="K8" s="213" t="s">
        <v>295</v>
      </c>
      <c r="L8" s="214">
        <v>50</v>
      </c>
      <c r="M8" s="215" t="s">
        <v>840</v>
      </c>
      <c r="N8" s="216">
        <v>6</v>
      </c>
      <c r="O8" s="213" t="s">
        <v>295</v>
      </c>
      <c r="P8" s="214">
        <v>50</v>
      </c>
      <c r="Q8" s="217" t="s">
        <v>918</v>
      </c>
      <c r="R8" s="218">
        <v>8</v>
      </c>
      <c r="S8" s="213" t="s">
        <v>295</v>
      </c>
      <c r="T8" s="214">
        <v>50</v>
      </c>
      <c r="U8" s="217"/>
      <c r="V8" s="218"/>
      <c r="W8" s="213" t="s">
        <v>295</v>
      </c>
      <c r="X8" s="214">
        <v>50</v>
      </c>
      <c r="Y8" s="217"/>
      <c r="Z8" s="218"/>
      <c r="AA8" s="165"/>
    </row>
    <row r="9" spans="1:28" x14ac:dyDescent="0.2">
      <c r="A9" s="212">
        <v>4</v>
      </c>
      <c r="B9" s="213" t="s">
        <v>1032</v>
      </c>
      <c r="C9" s="213" t="s">
        <v>295</v>
      </c>
      <c r="D9" s="214">
        <v>50</v>
      </c>
      <c r="E9" s="214" t="s">
        <v>909</v>
      </c>
      <c r="F9" s="216">
        <v>0.33</v>
      </c>
      <c r="G9" s="213" t="s">
        <v>295</v>
      </c>
      <c r="H9" s="214">
        <v>50</v>
      </c>
      <c r="I9" s="215" t="s">
        <v>1876</v>
      </c>
      <c r="J9" s="220">
        <v>0.2</v>
      </c>
      <c r="K9" s="213" t="s">
        <v>295</v>
      </c>
      <c r="L9" s="214">
        <v>50</v>
      </c>
      <c r="M9" s="215" t="s">
        <v>840</v>
      </c>
      <c r="N9" s="216">
        <v>6</v>
      </c>
      <c r="O9" s="213" t="s">
        <v>295</v>
      </c>
      <c r="P9" s="214">
        <v>50</v>
      </c>
      <c r="Q9" s="217" t="s">
        <v>918</v>
      </c>
      <c r="R9" s="218">
        <v>8</v>
      </c>
      <c r="S9" s="213" t="s">
        <v>295</v>
      </c>
      <c r="T9" s="214">
        <v>50</v>
      </c>
      <c r="U9" s="217" t="s">
        <v>839</v>
      </c>
      <c r="V9" s="218">
        <v>1</v>
      </c>
      <c r="W9" s="213" t="s">
        <v>295</v>
      </c>
      <c r="X9" s="214">
        <v>50</v>
      </c>
      <c r="Y9" s="217"/>
      <c r="Z9" s="218"/>
      <c r="AA9" s="165"/>
    </row>
    <row r="10" spans="1:28" x14ac:dyDescent="0.2">
      <c r="A10" s="212">
        <v>5</v>
      </c>
      <c r="B10" s="213" t="s">
        <v>1033</v>
      </c>
      <c r="C10" s="213" t="s">
        <v>295</v>
      </c>
      <c r="D10" s="214">
        <v>50</v>
      </c>
      <c r="E10" s="215" t="s">
        <v>224</v>
      </c>
      <c r="F10" s="216">
        <v>0.88</v>
      </c>
      <c r="G10" s="213" t="s">
        <v>295</v>
      </c>
      <c r="H10" s="214">
        <v>50</v>
      </c>
      <c r="I10" s="215"/>
      <c r="J10" s="216"/>
      <c r="K10" s="213" t="s">
        <v>295</v>
      </c>
      <c r="L10" s="214">
        <v>50</v>
      </c>
      <c r="M10" s="215"/>
      <c r="N10" s="216"/>
      <c r="O10" s="213" t="s">
        <v>295</v>
      </c>
      <c r="P10" s="214">
        <v>50</v>
      </c>
      <c r="Q10" s="217"/>
      <c r="R10" s="218"/>
      <c r="S10" s="213" t="s">
        <v>295</v>
      </c>
      <c r="T10" s="214">
        <v>50</v>
      </c>
      <c r="U10" s="217"/>
      <c r="V10" s="218"/>
      <c r="W10" s="213" t="s">
        <v>295</v>
      </c>
      <c r="X10" s="214">
        <v>50</v>
      </c>
      <c r="Y10" s="217"/>
      <c r="Z10" s="218"/>
      <c r="AA10" s="165"/>
      <c r="AB10" s="117" t="s">
        <v>978</v>
      </c>
    </row>
    <row r="11" spans="1:28" x14ac:dyDescent="0.2">
      <c r="A11" s="212">
        <v>6</v>
      </c>
      <c r="B11" s="213" t="s">
        <v>1034</v>
      </c>
      <c r="C11" s="213" t="s">
        <v>295</v>
      </c>
      <c r="D11" s="214">
        <v>50</v>
      </c>
      <c r="E11" s="214" t="s">
        <v>912</v>
      </c>
      <c r="F11" s="216">
        <v>2</v>
      </c>
      <c r="G11" s="213" t="s">
        <v>295</v>
      </c>
      <c r="H11" s="214">
        <v>50</v>
      </c>
      <c r="I11" s="214"/>
      <c r="J11" s="220"/>
      <c r="K11" s="213" t="s">
        <v>295</v>
      </c>
      <c r="L11" s="214">
        <v>50</v>
      </c>
      <c r="M11" s="215" t="s">
        <v>840</v>
      </c>
      <c r="N11" s="216">
        <v>6</v>
      </c>
      <c r="O11" s="213" t="s">
        <v>295</v>
      </c>
      <c r="P11" s="214">
        <v>50</v>
      </c>
      <c r="Q11" s="217" t="s">
        <v>918</v>
      </c>
      <c r="R11" s="218">
        <v>8</v>
      </c>
      <c r="S11" s="213" t="s">
        <v>295</v>
      </c>
      <c r="T11" s="214">
        <v>50</v>
      </c>
      <c r="U11" s="217"/>
      <c r="V11" s="218"/>
      <c r="W11" s="213" t="s">
        <v>295</v>
      </c>
      <c r="X11" s="214">
        <v>50</v>
      </c>
      <c r="Y11" s="217"/>
      <c r="Z11" s="218"/>
      <c r="AA11" s="165"/>
    </row>
    <row r="12" spans="1:28" x14ac:dyDescent="0.2">
      <c r="A12" s="212">
        <v>7</v>
      </c>
      <c r="B12" s="213" t="s">
        <v>1035</v>
      </c>
      <c r="C12" s="213" t="s">
        <v>295</v>
      </c>
      <c r="D12" s="214">
        <v>50</v>
      </c>
      <c r="E12" s="215" t="s">
        <v>913</v>
      </c>
      <c r="F12" s="216">
        <v>0.48</v>
      </c>
      <c r="G12" s="213" t="s">
        <v>295</v>
      </c>
      <c r="H12" s="214">
        <v>50</v>
      </c>
      <c r="I12" s="222" t="s">
        <v>725</v>
      </c>
      <c r="J12" s="223">
        <f>25/50</f>
        <v>0.5</v>
      </c>
      <c r="K12" s="213" t="s">
        <v>295</v>
      </c>
      <c r="L12" s="214">
        <v>50</v>
      </c>
      <c r="M12" s="215"/>
      <c r="N12" s="216"/>
      <c r="O12" s="213" t="s">
        <v>295</v>
      </c>
      <c r="P12" s="214">
        <v>50</v>
      </c>
      <c r="Q12" s="217"/>
      <c r="R12" s="218"/>
      <c r="S12" s="213" t="s">
        <v>295</v>
      </c>
      <c r="T12" s="214">
        <v>50</v>
      </c>
      <c r="U12" s="217"/>
      <c r="V12" s="218"/>
      <c r="W12" s="213" t="s">
        <v>295</v>
      </c>
      <c r="X12" s="214">
        <v>50</v>
      </c>
      <c r="Y12" s="217"/>
      <c r="Z12" s="218"/>
      <c r="AA12" s="165"/>
      <c r="AB12" s="117" t="s">
        <v>979</v>
      </c>
    </row>
    <row r="13" spans="1:28" x14ac:dyDescent="0.2">
      <c r="A13" s="212">
        <v>8</v>
      </c>
      <c r="B13" s="213" t="s">
        <v>1036</v>
      </c>
      <c r="C13" s="213" t="s">
        <v>295</v>
      </c>
      <c r="D13" s="214">
        <v>50</v>
      </c>
      <c r="E13" s="215" t="s">
        <v>300</v>
      </c>
      <c r="F13" s="216">
        <v>1.1000000000000001</v>
      </c>
      <c r="G13" s="213" t="s">
        <v>295</v>
      </c>
      <c r="H13" s="214">
        <v>50</v>
      </c>
      <c r="I13" s="214"/>
      <c r="J13" s="220"/>
      <c r="K13" s="213" t="s">
        <v>295</v>
      </c>
      <c r="L13" s="214">
        <v>50</v>
      </c>
      <c r="M13" s="215"/>
      <c r="N13" s="216"/>
      <c r="O13" s="213" t="s">
        <v>295</v>
      </c>
      <c r="P13" s="214">
        <v>50</v>
      </c>
      <c r="Q13" s="217"/>
      <c r="R13" s="218"/>
      <c r="S13" s="213" t="s">
        <v>295</v>
      </c>
      <c r="T13" s="214">
        <v>50</v>
      </c>
      <c r="U13" s="217"/>
      <c r="V13" s="218"/>
      <c r="W13" s="213" t="s">
        <v>295</v>
      </c>
      <c r="X13" s="214">
        <v>50</v>
      </c>
      <c r="Y13" s="217"/>
      <c r="Z13" s="218"/>
      <c r="AA13" s="165"/>
    </row>
    <row r="14" spans="1:28" x14ac:dyDescent="0.2">
      <c r="A14" s="212">
        <v>9</v>
      </c>
      <c r="B14" s="213" t="s">
        <v>1037</v>
      </c>
      <c r="C14" s="213" t="s">
        <v>295</v>
      </c>
      <c r="D14" s="214">
        <v>50</v>
      </c>
      <c r="E14" s="214" t="s">
        <v>909</v>
      </c>
      <c r="F14" s="216">
        <v>0.33</v>
      </c>
      <c r="G14" s="213" t="s">
        <v>295</v>
      </c>
      <c r="H14" s="214">
        <v>50</v>
      </c>
      <c r="I14" s="214"/>
      <c r="J14" s="220"/>
      <c r="K14" s="213" t="s">
        <v>295</v>
      </c>
      <c r="L14" s="214">
        <v>50</v>
      </c>
      <c r="M14" s="215" t="s">
        <v>840</v>
      </c>
      <c r="N14" s="216">
        <v>6</v>
      </c>
      <c r="O14" s="213" t="s">
        <v>295</v>
      </c>
      <c r="P14" s="214">
        <v>50</v>
      </c>
      <c r="Q14" s="217" t="s">
        <v>918</v>
      </c>
      <c r="R14" s="218">
        <v>8</v>
      </c>
      <c r="S14" s="213" t="s">
        <v>295</v>
      </c>
      <c r="T14" s="214">
        <v>50</v>
      </c>
      <c r="U14" s="217"/>
      <c r="V14" s="218"/>
      <c r="W14" s="213" t="s">
        <v>295</v>
      </c>
      <c r="X14" s="214">
        <v>50</v>
      </c>
      <c r="Y14" s="217"/>
      <c r="Z14" s="218"/>
      <c r="AA14" s="165"/>
    </row>
    <row r="15" spans="1:28" x14ac:dyDescent="0.2">
      <c r="A15" s="212">
        <v>10</v>
      </c>
      <c r="B15" s="213" t="s">
        <v>1038</v>
      </c>
      <c r="C15" s="213" t="s">
        <v>295</v>
      </c>
      <c r="D15" s="214">
        <v>50</v>
      </c>
      <c r="E15" s="215" t="s">
        <v>300</v>
      </c>
      <c r="F15" s="216">
        <v>1.1000000000000001</v>
      </c>
      <c r="G15" s="213" t="s">
        <v>295</v>
      </c>
      <c r="H15" s="214">
        <v>50</v>
      </c>
      <c r="I15" s="214"/>
      <c r="J15" s="220"/>
      <c r="K15" s="213" t="s">
        <v>295</v>
      </c>
      <c r="L15" s="214">
        <v>50</v>
      </c>
      <c r="M15" s="215"/>
      <c r="N15" s="216"/>
      <c r="O15" s="213" t="s">
        <v>295</v>
      </c>
      <c r="P15" s="214">
        <v>50</v>
      </c>
      <c r="Q15" s="217"/>
      <c r="R15" s="218"/>
      <c r="S15" s="213" t="s">
        <v>295</v>
      </c>
      <c r="T15" s="214">
        <v>50</v>
      </c>
      <c r="U15" s="217"/>
      <c r="V15" s="218"/>
      <c r="W15" s="213" t="s">
        <v>295</v>
      </c>
      <c r="X15" s="214">
        <v>50</v>
      </c>
      <c r="Y15" s="217"/>
      <c r="Z15" s="218"/>
      <c r="AA15" s="165"/>
    </row>
    <row r="16" spans="1:28" x14ac:dyDescent="0.2">
      <c r="A16" s="212">
        <v>11</v>
      </c>
      <c r="B16" s="213" t="s">
        <v>1039</v>
      </c>
      <c r="C16" s="213" t="s">
        <v>295</v>
      </c>
      <c r="D16" s="214"/>
      <c r="E16" s="214"/>
      <c r="F16" s="220"/>
      <c r="G16" s="213" t="s">
        <v>295</v>
      </c>
      <c r="H16" s="214"/>
      <c r="I16" s="214"/>
      <c r="J16" s="220"/>
      <c r="K16" s="213" t="s">
        <v>295</v>
      </c>
      <c r="L16" s="214"/>
      <c r="M16" s="214"/>
      <c r="N16" s="220"/>
      <c r="O16" s="213" t="s">
        <v>295</v>
      </c>
      <c r="P16" s="214"/>
      <c r="Q16" s="217"/>
      <c r="R16" s="218"/>
      <c r="S16" s="213" t="s">
        <v>295</v>
      </c>
      <c r="T16" s="214"/>
      <c r="U16" s="217"/>
      <c r="V16" s="218"/>
      <c r="W16" s="213" t="s">
        <v>295</v>
      </c>
      <c r="X16" s="214"/>
      <c r="Y16" s="217"/>
      <c r="Z16" s="218"/>
      <c r="AA16" s="165"/>
    </row>
    <row r="17" spans="1:28" x14ac:dyDescent="0.2">
      <c r="A17" s="212">
        <v>12</v>
      </c>
      <c r="B17" s="213" t="s">
        <v>1040</v>
      </c>
      <c r="C17" s="213" t="s">
        <v>295</v>
      </c>
      <c r="D17" s="214">
        <v>50</v>
      </c>
      <c r="E17" s="214" t="s">
        <v>300</v>
      </c>
      <c r="F17" s="220">
        <v>1.1000000000000001</v>
      </c>
      <c r="G17" s="213" t="s">
        <v>295</v>
      </c>
      <c r="H17" s="214">
        <v>50</v>
      </c>
      <c r="I17" s="214"/>
      <c r="J17" s="220"/>
      <c r="K17" s="213" t="s">
        <v>295</v>
      </c>
      <c r="L17" s="214">
        <v>50</v>
      </c>
      <c r="M17" s="214"/>
      <c r="N17" s="220"/>
      <c r="O17" s="213" t="s">
        <v>295</v>
      </c>
      <c r="P17" s="214">
        <v>50</v>
      </c>
      <c r="Q17" s="217"/>
      <c r="R17" s="218"/>
      <c r="S17" s="213" t="s">
        <v>295</v>
      </c>
      <c r="T17" s="214">
        <v>50</v>
      </c>
      <c r="U17" s="217"/>
      <c r="V17" s="218"/>
      <c r="W17" s="213" t="s">
        <v>295</v>
      </c>
      <c r="X17" s="214">
        <v>50</v>
      </c>
      <c r="Y17" s="217"/>
      <c r="Z17" s="218"/>
      <c r="AA17" s="165"/>
    </row>
    <row r="18" spans="1:28" x14ac:dyDescent="0.2">
      <c r="A18" s="212">
        <v>13</v>
      </c>
      <c r="B18" s="213" t="s">
        <v>1041</v>
      </c>
      <c r="C18" s="213" t="s">
        <v>295</v>
      </c>
      <c r="D18" s="214">
        <v>50</v>
      </c>
      <c r="E18" s="214" t="s">
        <v>917</v>
      </c>
      <c r="F18" s="220">
        <v>1.45</v>
      </c>
      <c r="G18" s="213" t="s">
        <v>295</v>
      </c>
      <c r="H18" s="214">
        <v>50</v>
      </c>
      <c r="I18" s="214"/>
      <c r="J18" s="220"/>
      <c r="K18" s="213" t="s">
        <v>295</v>
      </c>
      <c r="L18" s="214">
        <v>50</v>
      </c>
      <c r="M18" s="214"/>
      <c r="N18" s="220"/>
      <c r="O18" s="213" t="s">
        <v>295</v>
      </c>
      <c r="P18" s="214">
        <v>50</v>
      </c>
      <c r="Q18" s="217"/>
      <c r="R18" s="218"/>
      <c r="S18" s="213" t="s">
        <v>295</v>
      </c>
      <c r="T18" s="214">
        <v>50</v>
      </c>
      <c r="U18" s="217"/>
      <c r="V18" s="218"/>
      <c r="W18" s="213" t="s">
        <v>295</v>
      </c>
      <c r="X18" s="214">
        <v>50</v>
      </c>
      <c r="Y18" s="217"/>
      <c r="Z18" s="218"/>
      <c r="AA18" s="165"/>
    </row>
    <row r="19" spans="1:28" x14ac:dyDescent="0.2">
      <c r="A19" s="212">
        <v>14</v>
      </c>
      <c r="B19" s="213" t="s">
        <v>1042</v>
      </c>
      <c r="C19" s="213" t="s">
        <v>295</v>
      </c>
      <c r="D19" s="214"/>
      <c r="E19" s="214"/>
      <c r="F19" s="220"/>
      <c r="G19" s="213" t="s">
        <v>295</v>
      </c>
      <c r="H19" s="214"/>
      <c r="I19" s="214"/>
      <c r="J19" s="220"/>
      <c r="K19" s="213" t="s">
        <v>295</v>
      </c>
      <c r="L19" s="214"/>
      <c r="M19" s="214"/>
      <c r="N19" s="220"/>
      <c r="O19" s="213" t="s">
        <v>295</v>
      </c>
      <c r="P19" s="214"/>
      <c r="Q19" s="217"/>
      <c r="R19" s="218"/>
      <c r="S19" s="213" t="s">
        <v>295</v>
      </c>
      <c r="T19" s="214"/>
      <c r="U19" s="217"/>
      <c r="V19" s="218"/>
      <c r="W19" s="213" t="s">
        <v>295</v>
      </c>
      <c r="X19" s="214"/>
      <c r="Y19" s="217"/>
      <c r="Z19" s="218"/>
      <c r="AA19" s="165"/>
    </row>
    <row r="20" spans="1:28" x14ac:dyDescent="0.2">
      <c r="A20" s="212">
        <v>15</v>
      </c>
      <c r="B20" s="213" t="s">
        <v>1043</v>
      </c>
      <c r="C20" s="213" t="s">
        <v>295</v>
      </c>
      <c r="D20" s="214">
        <v>50</v>
      </c>
      <c r="E20" s="215" t="s">
        <v>300</v>
      </c>
      <c r="F20" s="220">
        <v>1.1000000000000001</v>
      </c>
      <c r="G20" s="213" t="s">
        <v>295</v>
      </c>
      <c r="H20" s="214">
        <v>50</v>
      </c>
      <c r="I20" s="214"/>
      <c r="J20" s="220"/>
      <c r="K20" s="213" t="s">
        <v>295</v>
      </c>
      <c r="L20" s="214">
        <v>50</v>
      </c>
      <c r="M20" s="214"/>
      <c r="N20" s="220"/>
      <c r="O20" s="213" t="s">
        <v>295</v>
      </c>
      <c r="P20" s="214">
        <v>50</v>
      </c>
      <c r="Q20" s="217"/>
      <c r="R20" s="218"/>
      <c r="S20" s="213" t="s">
        <v>295</v>
      </c>
      <c r="T20" s="214">
        <v>50</v>
      </c>
      <c r="U20" s="217"/>
      <c r="V20" s="218"/>
      <c r="W20" s="213" t="s">
        <v>295</v>
      </c>
      <c r="X20" s="214">
        <v>50</v>
      </c>
      <c r="Y20" s="217"/>
      <c r="Z20" s="218"/>
      <c r="AA20" s="165"/>
    </row>
    <row r="21" spans="1:28" x14ac:dyDescent="0.2">
      <c r="A21" s="212">
        <v>16</v>
      </c>
      <c r="B21" s="213" t="s">
        <v>1044</v>
      </c>
      <c r="C21" s="213" t="s">
        <v>915</v>
      </c>
      <c r="D21" s="214">
        <v>7</v>
      </c>
      <c r="E21" s="214" t="s">
        <v>910</v>
      </c>
      <c r="F21" s="220">
        <v>2</v>
      </c>
      <c r="G21" s="213" t="s">
        <v>915</v>
      </c>
      <c r="H21" s="214">
        <v>7</v>
      </c>
      <c r="I21" s="214" t="s">
        <v>11</v>
      </c>
      <c r="J21" s="220">
        <v>0.2</v>
      </c>
      <c r="K21" s="213" t="s">
        <v>915</v>
      </c>
      <c r="L21" s="214">
        <v>7</v>
      </c>
      <c r="M21" s="214"/>
      <c r="N21" s="220"/>
      <c r="O21" s="213" t="s">
        <v>915</v>
      </c>
      <c r="P21" s="214">
        <v>7</v>
      </c>
      <c r="Q21" s="217"/>
      <c r="R21" s="218"/>
      <c r="S21" s="213" t="s">
        <v>915</v>
      </c>
      <c r="T21" s="214">
        <v>7</v>
      </c>
      <c r="U21" s="217"/>
      <c r="V21" s="218"/>
      <c r="W21" s="213" t="s">
        <v>915</v>
      </c>
      <c r="X21" s="214">
        <v>7</v>
      </c>
      <c r="Y21" s="217"/>
      <c r="Z21" s="218"/>
      <c r="AA21" s="165"/>
    </row>
    <row r="22" spans="1:28" x14ac:dyDescent="0.2">
      <c r="A22" s="212">
        <v>17</v>
      </c>
      <c r="B22" s="213" t="s">
        <v>1045</v>
      </c>
      <c r="C22" s="213"/>
      <c r="D22" s="214"/>
      <c r="E22" s="214"/>
      <c r="F22" s="220"/>
      <c r="G22" s="213"/>
      <c r="H22" s="214"/>
      <c r="I22" s="214"/>
      <c r="J22" s="220"/>
      <c r="K22" s="213"/>
      <c r="L22" s="214"/>
      <c r="M22" s="214"/>
      <c r="N22" s="220"/>
      <c r="O22" s="213"/>
      <c r="P22" s="214"/>
      <c r="Q22" s="217"/>
      <c r="R22" s="218"/>
      <c r="S22" s="213"/>
      <c r="T22" s="214"/>
      <c r="U22" s="217"/>
      <c r="V22" s="218"/>
      <c r="W22" s="213"/>
      <c r="X22" s="214"/>
      <c r="Y22" s="217"/>
      <c r="Z22" s="218"/>
      <c r="AA22" s="165"/>
    </row>
    <row r="23" spans="1:28" x14ac:dyDescent="0.2">
      <c r="A23" s="212">
        <v>18</v>
      </c>
      <c r="B23" s="213" t="s">
        <v>1046</v>
      </c>
      <c r="C23" s="213" t="s">
        <v>295</v>
      </c>
      <c r="D23" s="214">
        <v>50</v>
      </c>
      <c r="E23" s="214" t="s">
        <v>888</v>
      </c>
      <c r="F23" s="224">
        <v>15</v>
      </c>
      <c r="G23" s="213" t="s">
        <v>295</v>
      </c>
      <c r="H23" s="214">
        <v>50</v>
      </c>
      <c r="I23" s="214"/>
      <c r="J23" s="220"/>
      <c r="K23" s="213" t="s">
        <v>295</v>
      </c>
      <c r="L23" s="214">
        <v>50</v>
      </c>
      <c r="M23" s="214"/>
      <c r="N23" s="220"/>
      <c r="O23" s="213" t="s">
        <v>295</v>
      </c>
      <c r="P23" s="214">
        <v>50</v>
      </c>
      <c r="Q23" s="217"/>
      <c r="R23" s="218"/>
      <c r="S23" s="213" t="s">
        <v>295</v>
      </c>
      <c r="T23" s="214">
        <v>50</v>
      </c>
      <c r="U23" s="217"/>
      <c r="V23" s="218"/>
      <c r="W23" s="213" t="s">
        <v>295</v>
      </c>
      <c r="X23" s="214">
        <v>50</v>
      </c>
      <c r="Y23" s="217"/>
      <c r="Z23" s="218"/>
      <c r="AA23" s="165"/>
      <c r="AB23" s="117" t="s">
        <v>974</v>
      </c>
    </row>
    <row r="24" spans="1:28" x14ac:dyDescent="0.2">
      <c r="A24" s="212">
        <v>19</v>
      </c>
      <c r="B24" s="213" t="s">
        <v>1047</v>
      </c>
      <c r="C24" s="213"/>
      <c r="D24" s="214"/>
      <c r="E24" s="214"/>
      <c r="F24" s="220"/>
      <c r="G24" s="213"/>
      <c r="H24" s="214"/>
      <c r="I24" s="214"/>
      <c r="J24" s="220"/>
      <c r="K24" s="213"/>
      <c r="L24" s="214"/>
      <c r="M24" s="214"/>
      <c r="N24" s="220"/>
      <c r="O24" s="213"/>
      <c r="P24" s="214"/>
      <c r="Q24" s="217"/>
      <c r="R24" s="218"/>
      <c r="S24" s="213"/>
      <c r="T24" s="214"/>
      <c r="U24" s="217"/>
      <c r="V24" s="218"/>
      <c r="W24" s="213"/>
      <c r="X24" s="214"/>
      <c r="Y24" s="217"/>
      <c r="Z24" s="218"/>
      <c r="AA24" s="165"/>
    </row>
    <row r="25" spans="1:28" x14ac:dyDescent="0.2">
      <c r="A25" s="212">
        <v>20</v>
      </c>
      <c r="B25" s="213" t="s">
        <v>1048</v>
      </c>
      <c r="C25" s="213"/>
      <c r="D25" s="214"/>
      <c r="E25" s="214"/>
      <c r="F25" s="220"/>
      <c r="G25" s="213"/>
      <c r="H25" s="214"/>
      <c r="I25" s="214"/>
      <c r="J25" s="220"/>
      <c r="K25" s="213"/>
      <c r="L25" s="214"/>
      <c r="M25" s="214"/>
      <c r="N25" s="220"/>
      <c r="O25" s="213"/>
      <c r="P25" s="214"/>
      <c r="Q25" s="225"/>
      <c r="R25" s="226"/>
      <c r="S25" s="213"/>
      <c r="T25" s="214"/>
      <c r="U25" s="217"/>
      <c r="V25" s="218"/>
      <c r="W25" s="213"/>
      <c r="X25" s="214"/>
      <c r="Y25" s="225"/>
      <c r="Z25" s="226"/>
      <c r="AA25" s="172"/>
    </row>
    <row r="26" spans="1:28" ht="13.5" customHeight="1" thickBot="1" x14ac:dyDescent="0.25">
      <c r="B26" s="197" t="s">
        <v>983</v>
      </c>
      <c r="C26" s="198"/>
      <c r="D26" s="198"/>
      <c r="E26" s="197"/>
      <c r="F26" s="199"/>
      <c r="G26" s="198"/>
      <c r="H26" s="198"/>
      <c r="I26" s="199"/>
      <c r="J26" s="199"/>
      <c r="K26" s="198"/>
      <c r="L26" s="198"/>
      <c r="M26" s="199"/>
      <c r="N26" s="199"/>
      <c r="O26" s="198"/>
      <c r="P26" s="198"/>
      <c r="Q26" s="199"/>
      <c r="R26" s="199"/>
      <c r="S26" s="198"/>
      <c r="T26" s="198"/>
      <c r="U26" s="199"/>
      <c r="V26" s="199"/>
      <c r="W26" s="198"/>
      <c r="X26" s="198"/>
      <c r="Y26" s="199"/>
      <c r="Z26" s="199"/>
    </row>
    <row r="27" spans="1:28" s="157" customFormat="1" ht="34.5" thickBot="1" x14ac:dyDescent="0.25">
      <c r="A27" s="201" t="s">
        <v>292</v>
      </c>
      <c r="B27" s="202" t="s">
        <v>293</v>
      </c>
      <c r="C27" s="203" t="s">
        <v>1195</v>
      </c>
      <c r="D27" s="204" t="s">
        <v>1203</v>
      </c>
      <c r="E27" s="205" t="s">
        <v>4</v>
      </c>
      <c r="F27" s="206" t="s">
        <v>1202</v>
      </c>
      <c r="G27" s="203" t="s">
        <v>1196</v>
      </c>
      <c r="H27" s="204" t="s">
        <v>1204</v>
      </c>
      <c r="I27" s="207" t="s">
        <v>5</v>
      </c>
      <c r="J27" s="205" t="s">
        <v>1209</v>
      </c>
      <c r="K27" s="203" t="s">
        <v>1197</v>
      </c>
      <c r="L27" s="204" t="s">
        <v>1205</v>
      </c>
      <c r="M27" s="205" t="s">
        <v>6</v>
      </c>
      <c r="N27" s="206" t="s">
        <v>1217</v>
      </c>
      <c r="O27" s="203" t="s">
        <v>1198</v>
      </c>
      <c r="P27" s="204" t="s">
        <v>1206</v>
      </c>
      <c r="Q27" s="205" t="s">
        <v>7</v>
      </c>
      <c r="R27" s="206" t="s">
        <v>963</v>
      </c>
      <c r="S27" s="203" t="s">
        <v>1199</v>
      </c>
      <c r="T27" s="204" t="s">
        <v>1207</v>
      </c>
      <c r="U27" s="208" t="s">
        <v>8</v>
      </c>
      <c r="V27" s="209" t="s">
        <v>921</v>
      </c>
      <c r="W27" s="203" t="s">
        <v>1200</v>
      </c>
      <c r="X27" s="204" t="s">
        <v>1208</v>
      </c>
      <c r="Y27" s="205" t="s">
        <v>13</v>
      </c>
      <c r="Z27" s="206" t="s">
        <v>1210</v>
      </c>
      <c r="AA27" s="156" t="s">
        <v>1201</v>
      </c>
    </row>
    <row r="28" spans="1:28" x14ac:dyDescent="0.2">
      <c r="A28" s="212">
        <v>1</v>
      </c>
      <c r="B28" s="213" t="s">
        <v>1069</v>
      </c>
      <c r="C28" s="213" t="s">
        <v>915</v>
      </c>
      <c r="D28" s="214">
        <v>4</v>
      </c>
      <c r="E28" s="215" t="s">
        <v>181</v>
      </c>
      <c r="F28" s="216">
        <v>1</v>
      </c>
      <c r="G28" s="213" t="s">
        <v>915</v>
      </c>
      <c r="H28" s="214">
        <v>4</v>
      </c>
      <c r="I28" s="215"/>
      <c r="J28" s="216"/>
      <c r="K28" s="213" t="s">
        <v>915</v>
      </c>
      <c r="L28" s="214">
        <v>4</v>
      </c>
      <c r="M28" s="215"/>
      <c r="N28" s="216"/>
      <c r="O28" s="213" t="s">
        <v>915</v>
      </c>
      <c r="P28" s="214">
        <v>4</v>
      </c>
      <c r="Q28" s="217"/>
      <c r="R28" s="218"/>
      <c r="S28" s="213" t="s">
        <v>915</v>
      </c>
      <c r="T28" s="214">
        <v>4</v>
      </c>
      <c r="U28" s="217"/>
      <c r="V28" s="218"/>
      <c r="W28" s="213" t="s">
        <v>915</v>
      </c>
      <c r="X28" s="214">
        <v>4</v>
      </c>
      <c r="Y28" s="217"/>
      <c r="Z28" s="218"/>
      <c r="AA28" s="165"/>
    </row>
    <row r="29" spans="1:28" x14ac:dyDescent="0.2">
      <c r="A29" s="212">
        <v>2</v>
      </c>
      <c r="B29" s="213" t="s">
        <v>1070</v>
      </c>
      <c r="C29" s="213" t="s">
        <v>295</v>
      </c>
      <c r="D29" s="214">
        <v>50</v>
      </c>
      <c r="E29" s="214" t="s">
        <v>909</v>
      </c>
      <c r="F29" s="216">
        <v>0.33</v>
      </c>
      <c r="G29" s="213" t="s">
        <v>295</v>
      </c>
      <c r="H29" s="214">
        <v>50</v>
      </c>
      <c r="I29" s="215" t="s">
        <v>1876</v>
      </c>
      <c r="J29" s="220">
        <v>0.2</v>
      </c>
      <c r="K29" s="213" t="s">
        <v>295</v>
      </c>
      <c r="L29" s="214">
        <v>50</v>
      </c>
      <c r="M29" s="215" t="s">
        <v>840</v>
      </c>
      <c r="N29" s="216">
        <v>6</v>
      </c>
      <c r="O29" s="213" t="s">
        <v>295</v>
      </c>
      <c r="P29" s="214">
        <v>50</v>
      </c>
      <c r="Q29" s="217" t="s">
        <v>918</v>
      </c>
      <c r="R29" s="218">
        <v>8</v>
      </c>
      <c r="S29" s="213" t="s">
        <v>295</v>
      </c>
      <c r="T29" s="214">
        <v>50</v>
      </c>
      <c r="U29" s="217" t="s">
        <v>839</v>
      </c>
      <c r="V29" s="218">
        <v>1</v>
      </c>
      <c r="W29" s="213" t="s">
        <v>295</v>
      </c>
      <c r="X29" s="214">
        <v>50</v>
      </c>
      <c r="Y29" s="217"/>
      <c r="Z29" s="218"/>
      <c r="AA29" s="165"/>
    </row>
    <row r="30" spans="1:28" x14ac:dyDescent="0.2">
      <c r="A30" s="212">
        <v>3</v>
      </c>
      <c r="B30" s="213" t="s">
        <v>1071</v>
      </c>
      <c r="C30" s="213" t="s">
        <v>295</v>
      </c>
      <c r="D30" s="214">
        <v>50</v>
      </c>
      <c r="E30" s="214" t="s">
        <v>912</v>
      </c>
      <c r="F30" s="221">
        <v>2</v>
      </c>
      <c r="G30" s="213" t="s">
        <v>295</v>
      </c>
      <c r="H30" s="214">
        <v>50</v>
      </c>
      <c r="I30" s="215"/>
      <c r="J30" s="216"/>
      <c r="K30" s="213" t="s">
        <v>295</v>
      </c>
      <c r="L30" s="214">
        <v>50</v>
      </c>
      <c r="M30" s="215" t="s">
        <v>840</v>
      </c>
      <c r="N30" s="216">
        <v>6</v>
      </c>
      <c r="O30" s="213" t="s">
        <v>295</v>
      </c>
      <c r="P30" s="214">
        <v>50</v>
      </c>
      <c r="Q30" s="217" t="s">
        <v>918</v>
      </c>
      <c r="R30" s="218">
        <v>8</v>
      </c>
      <c r="S30" s="213" t="s">
        <v>295</v>
      </c>
      <c r="T30" s="214">
        <v>50</v>
      </c>
      <c r="U30" s="217"/>
      <c r="V30" s="218"/>
      <c r="W30" s="213" t="s">
        <v>295</v>
      </c>
      <c r="X30" s="214">
        <v>50</v>
      </c>
      <c r="Y30" s="217"/>
      <c r="Z30" s="218"/>
      <c r="AA30" s="165"/>
    </row>
    <row r="31" spans="1:28" x14ac:dyDescent="0.2">
      <c r="A31" s="212">
        <v>4</v>
      </c>
      <c r="B31" s="213" t="s">
        <v>1072</v>
      </c>
      <c r="C31" s="213" t="s">
        <v>295</v>
      </c>
      <c r="D31" s="214">
        <v>50</v>
      </c>
      <c r="E31" s="214" t="s">
        <v>909</v>
      </c>
      <c r="F31" s="216">
        <v>0.33</v>
      </c>
      <c r="G31" s="213" t="s">
        <v>295</v>
      </c>
      <c r="H31" s="214">
        <v>50</v>
      </c>
      <c r="I31" s="215" t="s">
        <v>1876</v>
      </c>
      <c r="J31" s="220">
        <v>0.2</v>
      </c>
      <c r="K31" s="213" t="s">
        <v>295</v>
      </c>
      <c r="L31" s="214">
        <v>50</v>
      </c>
      <c r="M31" s="215" t="s">
        <v>840</v>
      </c>
      <c r="N31" s="216">
        <v>6</v>
      </c>
      <c r="O31" s="213" t="s">
        <v>295</v>
      </c>
      <c r="P31" s="214">
        <v>50</v>
      </c>
      <c r="Q31" s="217" t="s">
        <v>918</v>
      </c>
      <c r="R31" s="218">
        <v>8</v>
      </c>
      <c r="S31" s="213" t="s">
        <v>295</v>
      </c>
      <c r="T31" s="214">
        <v>50</v>
      </c>
      <c r="U31" s="217" t="s">
        <v>839</v>
      </c>
      <c r="V31" s="218">
        <v>1</v>
      </c>
      <c r="W31" s="213" t="s">
        <v>295</v>
      </c>
      <c r="X31" s="214">
        <v>50</v>
      </c>
      <c r="Y31" s="217"/>
      <c r="Z31" s="218"/>
      <c r="AA31" s="165"/>
    </row>
    <row r="32" spans="1:28" x14ac:dyDescent="0.2">
      <c r="A32" s="212">
        <v>5</v>
      </c>
      <c r="B32" s="213" t="s">
        <v>1073</v>
      </c>
      <c r="C32" s="213" t="s">
        <v>295</v>
      </c>
      <c r="D32" s="214">
        <v>50</v>
      </c>
      <c r="E32" s="215" t="s">
        <v>224</v>
      </c>
      <c r="F32" s="216">
        <v>0.88</v>
      </c>
      <c r="G32" s="213" t="s">
        <v>295</v>
      </c>
      <c r="H32" s="214">
        <v>50</v>
      </c>
      <c r="I32" s="215"/>
      <c r="J32" s="216"/>
      <c r="K32" s="213" t="s">
        <v>295</v>
      </c>
      <c r="L32" s="214">
        <v>50</v>
      </c>
      <c r="M32" s="215"/>
      <c r="N32" s="216"/>
      <c r="O32" s="213" t="s">
        <v>295</v>
      </c>
      <c r="P32" s="214">
        <v>50</v>
      </c>
      <c r="Q32" s="217"/>
      <c r="R32" s="218"/>
      <c r="S32" s="213" t="s">
        <v>295</v>
      </c>
      <c r="T32" s="214">
        <v>50</v>
      </c>
      <c r="U32" s="217"/>
      <c r="V32" s="218"/>
      <c r="W32" s="213" t="s">
        <v>295</v>
      </c>
      <c r="X32" s="214">
        <v>50</v>
      </c>
      <c r="Y32" s="217"/>
      <c r="Z32" s="218"/>
      <c r="AA32" s="165"/>
      <c r="AB32" s="117" t="s">
        <v>978</v>
      </c>
    </row>
    <row r="33" spans="1:28" x14ac:dyDescent="0.2">
      <c r="A33" s="212">
        <v>6</v>
      </c>
      <c r="B33" s="213" t="s">
        <v>1074</v>
      </c>
      <c r="C33" s="213" t="s">
        <v>295</v>
      </c>
      <c r="D33" s="214">
        <v>50</v>
      </c>
      <c r="E33" s="214" t="s">
        <v>912</v>
      </c>
      <c r="F33" s="216">
        <v>2</v>
      </c>
      <c r="G33" s="213" t="s">
        <v>295</v>
      </c>
      <c r="H33" s="214">
        <v>50</v>
      </c>
      <c r="I33" s="214"/>
      <c r="J33" s="220"/>
      <c r="K33" s="213" t="s">
        <v>295</v>
      </c>
      <c r="L33" s="214">
        <v>50</v>
      </c>
      <c r="M33" s="215" t="s">
        <v>840</v>
      </c>
      <c r="N33" s="216">
        <v>6</v>
      </c>
      <c r="O33" s="213" t="s">
        <v>295</v>
      </c>
      <c r="P33" s="214">
        <v>50</v>
      </c>
      <c r="Q33" s="217" t="s">
        <v>918</v>
      </c>
      <c r="R33" s="218">
        <v>8</v>
      </c>
      <c r="S33" s="213" t="s">
        <v>295</v>
      </c>
      <c r="T33" s="214">
        <v>50</v>
      </c>
      <c r="U33" s="217"/>
      <c r="V33" s="218"/>
      <c r="W33" s="213" t="s">
        <v>295</v>
      </c>
      <c r="X33" s="214">
        <v>50</v>
      </c>
      <c r="Y33" s="217"/>
      <c r="Z33" s="218"/>
      <c r="AA33" s="165"/>
    </row>
    <row r="34" spans="1:28" x14ac:dyDescent="0.2">
      <c r="A34" s="212">
        <v>7</v>
      </c>
      <c r="B34" s="213" t="s">
        <v>1075</v>
      </c>
      <c r="C34" s="213" t="s">
        <v>295</v>
      </c>
      <c r="D34" s="214">
        <v>50</v>
      </c>
      <c r="E34" s="215" t="s">
        <v>913</v>
      </c>
      <c r="F34" s="216">
        <v>0.48</v>
      </c>
      <c r="G34" s="213" t="s">
        <v>295</v>
      </c>
      <c r="H34" s="214">
        <v>50</v>
      </c>
      <c r="I34" s="222" t="s">
        <v>725</v>
      </c>
      <c r="J34" s="223">
        <f>25/50</f>
        <v>0.5</v>
      </c>
      <c r="K34" s="213" t="s">
        <v>295</v>
      </c>
      <c r="L34" s="214">
        <v>50</v>
      </c>
      <c r="M34" s="215"/>
      <c r="N34" s="216"/>
      <c r="O34" s="213" t="s">
        <v>295</v>
      </c>
      <c r="P34" s="214">
        <v>50</v>
      </c>
      <c r="Q34" s="217"/>
      <c r="R34" s="218"/>
      <c r="S34" s="213" t="s">
        <v>295</v>
      </c>
      <c r="T34" s="214">
        <v>50</v>
      </c>
      <c r="U34" s="217"/>
      <c r="V34" s="218"/>
      <c r="W34" s="213" t="s">
        <v>295</v>
      </c>
      <c r="X34" s="214">
        <v>50</v>
      </c>
      <c r="Y34" s="217"/>
      <c r="Z34" s="218"/>
      <c r="AA34" s="165"/>
      <c r="AB34" s="117" t="s">
        <v>979</v>
      </c>
    </row>
    <row r="35" spans="1:28" x14ac:dyDescent="0.2">
      <c r="A35" s="212">
        <v>8</v>
      </c>
      <c r="B35" s="213" t="s">
        <v>1076</v>
      </c>
      <c r="C35" s="213" t="s">
        <v>295</v>
      </c>
      <c r="D35" s="214">
        <v>50</v>
      </c>
      <c r="E35" s="215" t="s">
        <v>300</v>
      </c>
      <c r="F35" s="216">
        <v>1.1000000000000001</v>
      </c>
      <c r="G35" s="213" t="s">
        <v>295</v>
      </c>
      <c r="H35" s="214">
        <v>50</v>
      </c>
      <c r="I35" s="214"/>
      <c r="J35" s="220"/>
      <c r="K35" s="213" t="s">
        <v>295</v>
      </c>
      <c r="L35" s="214">
        <v>50</v>
      </c>
      <c r="M35" s="215"/>
      <c r="N35" s="216"/>
      <c r="O35" s="213" t="s">
        <v>295</v>
      </c>
      <c r="P35" s="214">
        <v>50</v>
      </c>
      <c r="Q35" s="217"/>
      <c r="R35" s="218"/>
      <c r="S35" s="213" t="s">
        <v>295</v>
      </c>
      <c r="T35" s="214">
        <v>50</v>
      </c>
      <c r="U35" s="217"/>
      <c r="V35" s="218"/>
      <c r="W35" s="213" t="s">
        <v>295</v>
      </c>
      <c r="X35" s="214">
        <v>50</v>
      </c>
      <c r="Y35" s="217"/>
      <c r="Z35" s="218"/>
      <c r="AA35" s="165"/>
    </row>
    <row r="36" spans="1:28" x14ac:dyDescent="0.2">
      <c r="A36" s="212">
        <v>9</v>
      </c>
      <c r="B36" s="213" t="s">
        <v>1077</v>
      </c>
      <c r="C36" s="213" t="s">
        <v>295</v>
      </c>
      <c r="D36" s="214">
        <v>50</v>
      </c>
      <c r="E36" s="214" t="s">
        <v>909</v>
      </c>
      <c r="F36" s="216">
        <v>0.33</v>
      </c>
      <c r="G36" s="213" t="s">
        <v>295</v>
      </c>
      <c r="H36" s="214">
        <v>50</v>
      </c>
      <c r="I36" s="214"/>
      <c r="J36" s="220"/>
      <c r="K36" s="213" t="s">
        <v>295</v>
      </c>
      <c r="L36" s="214">
        <v>50</v>
      </c>
      <c r="M36" s="215" t="s">
        <v>840</v>
      </c>
      <c r="N36" s="216">
        <v>6</v>
      </c>
      <c r="O36" s="213" t="s">
        <v>295</v>
      </c>
      <c r="P36" s="214">
        <v>50</v>
      </c>
      <c r="Q36" s="217" t="s">
        <v>918</v>
      </c>
      <c r="R36" s="218">
        <v>8</v>
      </c>
      <c r="S36" s="213" t="s">
        <v>295</v>
      </c>
      <c r="T36" s="214">
        <v>50</v>
      </c>
      <c r="U36" s="217"/>
      <c r="V36" s="218"/>
      <c r="W36" s="213" t="s">
        <v>295</v>
      </c>
      <c r="X36" s="214">
        <v>50</v>
      </c>
      <c r="Y36" s="217"/>
      <c r="Z36" s="218"/>
      <c r="AA36" s="165"/>
    </row>
    <row r="37" spans="1:28" x14ac:dyDescent="0.2">
      <c r="A37" s="212">
        <v>10</v>
      </c>
      <c r="B37" s="213" t="s">
        <v>1078</v>
      </c>
      <c r="C37" s="213" t="s">
        <v>295</v>
      </c>
      <c r="D37" s="214">
        <v>50</v>
      </c>
      <c r="E37" s="215" t="s">
        <v>300</v>
      </c>
      <c r="F37" s="216">
        <v>1.1000000000000001</v>
      </c>
      <c r="G37" s="213" t="s">
        <v>295</v>
      </c>
      <c r="H37" s="214">
        <v>50</v>
      </c>
      <c r="I37" s="214"/>
      <c r="J37" s="220"/>
      <c r="K37" s="213" t="s">
        <v>295</v>
      </c>
      <c r="L37" s="214">
        <v>50</v>
      </c>
      <c r="M37" s="215"/>
      <c r="N37" s="216"/>
      <c r="O37" s="213" t="s">
        <v>295</v>
      </c>
      <c r="P37" s="214">
        <v>50</v>
      </c>
      <c r="Q37" s="217"/>
      <c r="R37" s="218"/>
      <c r="S37" s="213" t="s">
        <v>295</v>
      </c>
      <c r="T37" s="214">
        <v>50</v>
      </c>
      <c r="U37" s="217"/>
      <c r="V37" s="218"/>
      <c r="W37" s="213" t="s">
        <v>295</v>
      </c>
      <c r="X37" s="214">
        <v>50</v>
      </c>
      <c r="Y37" s="217"/>
      <c r="Z37" s="218"/>
      <c r="AA37" s="165"/>
    </row>
    <row r="38" spans="1:28" x14ac:dyDescent="0.2">
      <c r="A38" s="212">
        <v>11</v>
      </c>
      <c r="B38" s="213" t="s">
        <v>1079</v>
      </c>
      <c r="C38" s="213" t="s">
        <v>295</v>
      </c>
      <c r="D38" s="214"/>
      <c r="E38" s="214"/>
      <c r="F38" s="220"/>
      <c r="G38" s="213" t="s">
        <v>295</v>
      </c>
      <c r="H38" s="214"/>
      <c r="I38" s="214"/>
      <c r="J38" s="220"/>
      <c r="K38" s="213" t="s">
        <v>295</v>
      </c>
      <c r="L38" s="214"/>
      <c r="M38" s="214"/>
      <c r="N38" s="220"/>
      <c r="O38" s="213" t="s">
        <v>295</v>
      </c>
      <c r="P38" s="214"/>
      <c r="Q38" s="217"/>
      <c r="R38" s="218"/>
      <c r="S38" s="213" t="s">
        <v>295</v>
      </c>
      <c r="T38" s="214"/>
      <c r="U38" s="217"/>
      <c r="V38" s="218"/>
      <c r="W38" s="213" t="s">
        <v>295</v>
      </c>
      <c r="X38" s="214"/>
      <c r="Y38" s="217"/>
      <c r="Z38" s="218"/>
      <c r="AA38" s="165"/>
    </row>
    <row r="39" spans="1:28" x14ac:dyDescent="0.2">
      <c r="A39" s="212">
        <v>12</v>
      </c>
      <c r="B39" s="213" t="s">
        <v>1080</v>
      </c>
      <c r="C39" s="213" t="s">
        <v>295</v>
      </c>
      <c r="D39" s="214">
        <v>50</v>
      </c>
      <c r="E39" s="214" t="s">
        <v>300</v>
      </c>
      <c r="F39" s="220">
        <v>1.1000000000000001</v>
      </c>
      <c r="G39" s="213" t="s">
        <v>295</v>
      </c>
      <c r="H39" s="214">
        <v>50</v>
      </c>
      <c r="I39" s="214"/>
      <c r="J39" s="220"/>
      <c r="K39" s="213" t="s">
        <v>295</v>
      </c>
      <c r="L39" s="214">
        <v>50</v>
      </c>
      <c r="M39" s="214"/>
      <c r="N39" s="220"/>
      <c r="O39" s="213" t="s">
        <v>295</v>
      </c>
      <c r="P39" s="214">
        <v>50</v>
      </c>
      <c r="Q39" s="217"/>
      <c r="R39" s="218"/>
      <c r="S39" s="213" t="s">
        <v>295</v>
      </c>
      <c r="T39" s="214">
        <v>50</v>
      </c>
      <c r="U39" s="217"/>
      <c r="V39" s="218"/>
      <c r="W39" s="213" t="s">
        <v>295</v>
      </c>
      <c r="X39" s="214">
        <v>50</v>
      </c>
      <c r="Y39" s="217"/>
      <c r="Z39" s="218"/>
      <c r="AA39" s="165"/>
    </row>
    <row r="40" spans="1:28" x14ac:dyDescent="0.2">
      <c r="A40" s="212">
        <v>13</v>
      </c>
      <c r="B40" s="213" t="s">
        <v>1081</v>
      </c>
      <c r="C40" s="213" t="s">
        <v>295</v>
      </c>
      <c r="D40" s="214">
        <v>50</v>
      </c>
      <c r="E40" s="214" t="s">
        <v>917</v>
      </c>
      <c r="F40" s="220">
        <v>1.45</v>
      </c>
      <c r="G40" s="213" t="s">
        <v>295</v>
      </c>
      <c r="H40" s="214">
        <v>50</v>
      </c>
      <c r="I40" s="214"/>
      <c r="J40" s="220"/>
      <c r="K40" s="213" t="s">
        <v>295</v>
      </c>
      <c r="L40" s="214">
        <v>50</v>
      </c>
      <c r="M40" s="214"/>
      <c r="N40" s="220"/>
      <c r="O40" s="213" t="s">
        <v>295</v>
      </c>
      <c r="P40" s="214">
        <v>50</v>
      </c>
      <c r="Q40" s="217"/>
      <c r="R40" s="218"/>
      <c r="S40" s="213" t="s">
        <v>295</v>
      </c>
      <c r="T40" s="214">
        <v>50</v>
      </c>
      <c r="U40" s="217"/>
      <c r="V40" s="218"/>
      <c r="W40" s="213" t="s">
        <v>295</v>
      </c>
      <c r="X40" s="214">
        <v>50</v>
      </c>
      <c r="Y40" s="217"/>
      <c r="Z40" s="218"/>
      <c r="AA40" s="165"/>
    </row>
    <row r="41" spans="1:28" x14ac:dyDescent="0.2">
      <c r="A41" s="212">
        <v>14</v>
      </c>
      <c r="B41" s="213" t="s">
        <v>1082</v>
      </c>
      <c r="C41" s="213" t="s">
        <v>295</v>
      </c>
      <c r="D41" s="214"/>
      <c r="E41" s="214"/>
      <c r="F41" s="220"/>
      <c r="G41" s="213" t="s">
        <v>295</v>
      </c>
      <c r="H41" s="214"/>
      <c r="I41" s="214"/>
      <c r="J41" s="220"/>
      <c r="K41" s="213" t="s">
        <v>295</v>
      </c>
      <c r="L41" s="214"/>
      <c r="M41" s="214"/>
      <c r="N41" s="220"/>
      <c r="O41" s="213" t="s">
        <v>295</v>
      </c>
      <c r="P41" s="214"/>
      <c r="Q41" s="217"/>
      <c r="R41" s="218"/>
      <c r="S41" s="213" t="s">
        <v>295</v>
      </c>
      <c r="T41" s="214"/>
      <c r="U41" s="217"/>
      <c r="V41" s="218"/>
      <c r="W41" s="213" t="s">
        <v>295</v>
      </c>
      <c r="X41" s="214"/>
      <c r="Y41" s="217"/>
      <c r="Z41" s="218"/>
      <c r="AA41" s="165"/>
    </row>
    <row r="42" spans="1:28" x14ac:dyDescent="0.2">
      <c r="A42" s="212">
        <v>15</v>
      </c>
      <c r="B42" s="213" t="s">
        <v>1083</v>
      </c>
      <c r="C42" s="213" t="s">
        <v>295</v>
      </c>
      <c r="D42" s="214">
        <v>50</v>
      </c>
      <c r="E42" s="215" t="s">
        <v>300</v>
      </c>
      <c r="F42" s="220">
        <v>1.1000000000000001</v>
      </c>
      <c r="G42" s="213" t="s">
        <v>295</v>
      </c>
      <c r="H42" s="214">
        <v>50</v>
      </c>
      <c r="I42" s="214"/>
      <c r="J42" s="220"/>
      <c r="K42" s="213" t="s">
        <v>295</v>
      </c>
      <c r="L42" s="214">
        <v>50</v>
      </c>
      <c r="M42" s="214"/>
      <c r="N42" s="220"/>
      <c r="O42" s="213" t="s">
        <v>295</v>
      </c>
      <c r="P42" s="214">
        <v>50</v>
      </c>
      <c r="Q42" s="217"/>
      <c r="R42" s="218"/>
      <c r="S42" s="213" t="s">
        <v>295</v>
      </c>
      <c r="T42" s="214">
        <v>50</v>
      </c>
      <c r="U42" s="217"/>
      <c r="V42" s="218"/>
      <c r="W42" s="213" t="s">
        <v>295</v>
      </c>
      <c r="X42" s="214">
        <v>50</v>
      </c>
      <c r="Y42" s="217"/>
      <c r="Z42" s="218"/>
      <c r="AA42" s="165"/>
    </row>
    <row r="43" spans="1:28" x14ac:dyDescent="0.2">
      <c r="A43" s="212">
        <v>16</v>
      </c>
      <c r="B43" s="213" t="s">
        <v>1084</v>
      </c>
      <c r="C43" s="213" t="s">
        <v>915</v>
      </c>
      <c r="D43" s="214">
        <v>7</v>
      </c>
      <c r="E43" s="214" t="s">
        <v>910</v>
      </c>
      <c r="F43" s="220">
        <v>2</v>
      </c>
      <c r="G43" s="213" t="s">
        <v>915</v>
      </c>
      <c r="H43" s="214">
        <v>7</v>
      </c>
      <c r="I43" s="214" t="s">
        <v>11</v>
      </c>
      <c r="J43" s="220">
        <v>0.2</v>
      </c>
      <c r="K43" s="213" t="s">
        <v>915</v>
      </c>
      <c r="L43" s="214">
        <v>7</v>
      </c>
      <c r="M43" s="214"/>
      <c r="N43" s="220"/>
      <c r="O43" s="213" t="s">
        <v>915</v>
      </c>
      <c r="P43" s="214">
        <v>7</v>
      </c>
      <c r="Q43" s="217"/>
      <c r="R43" s="218"/>
      <c r="S43" s="213" t="s">
        <v>915</v>
      </c>
      <c r="T43" s="214">
        <v>7</v>
      </c>
      <c r="U43" s="217"/>
      <c r="V43" s="218"/>
      <c r="W43" s="213" t="s">
        <v>915</v>
      </c>
      <c r="X43" s="214">
        <v>7</v>
      </c>
      <c r="Y43" s="217"/>
      <c r="Z43" s="218"/>
      <c r="AA43" s="165"/>
    </row>
    <row r="44" spans="1:28" x14ac:dyDescent="0.2">
      <c r="A44" s="212">
        <v>17</v>
      </c>
      <c r="B44" s="213" t="s">
        <v>1085</v>
      </c>
      <c r="C44" s="213"/>
      <c r="D44" s="214"/>
      <c r="E44" s="214"/>
      <c r="F44" s="220"/>
      <c r="G44" s="213"/>
      <c r="H44" s="214"/>
      <c r="I44" s="214"/>
      <c r="J44" s="220"/>
      <c r="K44" s="213"/>
      <c r="L44" s="214"/>
      <c r="M44" s="214"/>
      <c r="N44" s="220"/>
      <c r="O44" s="213"/>
      <c r="P44" s="214"/>
      <c r="Q44" s="217"/>
      <c r="R44" s="218"/>
      <c r="S44" s="213"/>
      <c r="T44" s="214"/>
      <c r="U44" s="217"/>
      <c r="V44" s="218"/>
      <c r="W44" s="213"/>
      <c r="X44" s="214"/>
      <c r="Y44" s="217"/>
      <c r="Z44" s="218"/>
      <c r="AA44" s="165"/>
    </row>
    <row r="45" spans="1:28" x14ac:dyDescent="0.2">
      <c r="A45" s="212">
        <v>18</v>
      </c>
      <c r="B45" s="213" t="s">
        <v>1086</v>
      </c>
      <c r="C45" s="213" t="s">
        <v>295</v>
      </c>
      <c r="D45" s="214">
        <v>50</v>
      </c>
      <c r="E45" s="214" t="s">
        <v>888</v>
      </c>
      <c r="F45" s="224">
        <v>15</v>
      </c>
      <c r="G45" s="213" t="s">
        <v>295</v>
      </c>
      <c r="H45" s="214">
        <v>50</v>
      </c>
      <c r="I45" s="214"/>
      <c r="J45" s="220"/>
      <c r="K45" s="213" t="s">
        <v>295</v>
      </c>
      <c r="L45" s="214">
        <v>50</v>
      </c>
      <c r="M45" s="214"/>
      <c r="N45" s="220"/>
      <c r="O45" s="213" t="s">
        <v>295</v>
      </c>
      <c r="P45" s="214">
        <v>50</v>
      </c>
      <c r="Q45" s="217"/>
      <c r="R45" s="218"/>
      <c r="S45" s="213" t="s">
        <v>295</v>
      </c>
      <c r="T45" s="214">
        <v>50</v>
      </c>
      <c r="U45" s="217"/>
      <c r="V45" s="218"/>
      <c r="W45" s="213" t="s">
        <v>295</v>
      </c>
      <c r="X45" s="214">
        <v>50</v>
      </c>
      <c r="Y45" s="217"/>
      <c r="Z45" s="218"/>
      <c r="AA45" s="165"/>
      <c r="AB45" s="117" t="s">
        <v>974</v>
      </c>
    </row>
    <row r="46" spans="1:28" x14ac:dyDescent="0.2">
      <c r="A46" s="212">
        <v>19</v>
      </c>
      <c r="B46" s="213" t="s">
        <v>1087</v>
      </c>
      <c r="C46" s="213"/>
      <c r="D46" s="214"/>
      <c r="E46" s="214"/>
      <c r="F46" s="220"/>
      <c r="G46" s="213"/>
      <c r="H46" s="214"/>
      <c r="I46" s="214"/>
      <c r="J46" s="220"/>
      <c r="K46" s="213"/>
      <c r="L46" s="214"/>
      <c r="M46" s="214"/>
      <c r="N46" s="220"/>
      <c r="O46" s="213"/>
      <c r="P46" s="214"/>
      <c r="Q46" s="217"/>
      <c r="R46" s="218"/>
      <c r="S46" s="213"/>
      <c r="T46" s="214"/>
      <c r="U46" s="217"/>
      <c r="V46" s="218"/>
      <c r="W46" s="213"/>
      <c r="X46" s="214"/>
      <c r="Y46" s="217"/>
      <c r="Z46" s="218"/>
      <c r="AA46" s="165"/>
    </row>
    <row r="47" spans="1:28" x14ac:dyDescent="0.2">
      <c r="A47" s="212">
        <v>20</v>
      </c>
      <c r="B47" s="213" t="s">
        <v>1088</v>
      </c>
      <c r="C47" s="213"/>
      <c r="D47" s="214"/>
      <c r="E47" s="214"/>
      <c r="F47" s="220"/>
      <c r="G47" s="213"/>
      <c r="H47" s="214"/>
      <c r="I47" s="214"/>
      <c r="J47" s="220"/>
      <c r="K47" s="213"/>
      <c r="L47" s="214"/>
      <c r="M47" s="214"/>
      <c r="N47" s="220"/>
      <c r="O47" s="213"/>
      <c r="P47" s="214"/>
      <c r="Q47" s="225"/>
      <c r="R47" s="226"/>
      <c r="S47" s="213"/>
      <c r="T47" s="214"/>
      <c r="U47" s="217"/>
      <c r="V47" s="218"/>
      <c r="W47" s="213"/>
      <c r="X47" s="214"/>
      <c r="Y47" s="225"/>
      <c r="Z47" s="226"/>
      <c r="AA47" s="172"/>
    </row>
    <row r="48" spans="1:28" ht="13.5" customHeight="1" thickBot="1" x14ac:dyDescent="0.25">
      <c r="B48" s="197" t="s">
        <v>985</v>
      </c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spans="1:34" s="157" customFormat="1" ht="34.5" thickBot="1" x14ac:dyDescent="0.25">
      <c r="A49" s="201" t="s">
        <v>292</v>
      </c>
      <c r="B49" s="202" t="s">
        <v>293</v>
      </c>
      <c r="C49" s="203" t="s">
        <v>1195</v>
      </c>
      <c r="D49" s="204" t="s">
        <v>1203</v>
      </c>
      <c r="E49" s="205" t="s">
        <v>4</v>
      </c>
      <c r="F49" s="206" t="s">
        <v>1202</v>
      </c>
      <c r="G49" s="203" t="s">
        <v>1196</v>
      </c>
      <c r="H49" s="204" t="s">
        <v>1204</v>
      </c>
      <c r="I49" s="207" t="s">
        <v>5</v>
      </c>
      <c r="J49" s="205" t="s">
        <v>1209</v>
      </c>
      <c r="K49" s="203" t="s">
        <v>1197</v>
      </c>
      <c r="L49" s="204" t="s">
        <v>1205</v>
      </c>
      <c r="M49" s="205" t="s">
        <v>6</v>
      </c>
      <c r="N49" s="206" t="s">
        <v>1217</v>
      </c>
      <c r="O49" s="203" t="s">
        <v>1198</v>
      </c>
      <c r="P49" s="204" t="s">
        <v>1206</v>
      </c>
      <c r="Q49" s="205" t="s">
        <v>7</v>
      </c>
      <c r="R49" s="206" t="s">
        <v>963</v>
      </c>
      <c r="S49" s="203" t="s">
        <v>1199</v>
      </c>
      <c r="T49" s="204" t="s">
        <v>1207</v>
      </c>
      <c r="U49" s="208" t="s">
        <v>8</v>
      </c>
      <c r="V49" s="209" t="s">
        <v>921</v>
      </c>
      <c r="W49" s="203" t="s">
        <v>1200</v>
      </c>
      <c r="X49" s="204" t="s">
        <v>1208</v>
      </c>
      <c r="Y49" s="205" t="s">
        <v>13</v>
      </c>
      <c r="Z49" s="206" t="s">
        <v>1210</v>
      </c>
      <c r="AA49" s="156" t="s">
        <v>1201</v>
      </c>
      <c r="AB49" s="117"/>
      <c r="AC49" s="117"/>
      <c r="AD49" s="117"/>
      <c r="AE49" s="117"/>
      <c r="AF49" s="117"/>
      <c r="AG49" s="117"/>
      <c r="AH49" s="117"/>
    </row>
    <row r="50" spans="1:34" x14ac:dyDescent="0.2">
      <c r="A50" s="212">
        <v>1</v>
      </c>
      <c r="B50" s="213" t="s">
        <v>799</v>
      </c>
      <c r="C50" s="213" t="s">
        <v>915</v>
      </c>
      <c r="D50" s="214">
        <v>4</v>
      </c>
      <c r="E50" s="215" t="s">
        <v>181</v>
      </c>
      <c r="F50" s="216">
        <v>1</v>
      </c>
      <c r="G50" s="213" t="s">
        <v>915</v>
      </c>
      <c r="H50" s="214">
        <v>4</v>
      </c>
      <c r="I50" s="215"/>
      <c r="J50" s="216"/>
      <c r="K50" s="213" t="s">
        <v>915</v>
      </c>
      <c r="L50" s="214">
        <v>4</v>
      </c>
      <c r="M50" s="215"/>
      <c r="N50" s="216"/>
      <c r="O50" s="213" t="s">
        <v>915</v>
      </c>
      <c r="P50" s="214">
        <v>4</v>
      </c>
      <c r="Q50" s="217"/>
      <c r="R50" s="218"/>
      <c r="S50" s="213" t="s">
        <v>915</v>
      </c>
      <c r="T50" s="214">
        <v>4</v>
      </c>
      <c r="U50" s="217"/>
      <c r="V50" s="218"/>
      <c r="W50" s="213" t="s">
        <v>915</v>
      </c>
      <c r="X50" s="214">
        <v>4</v>
      </c>
      <c r="Y50" s="217"/>
      <c r="Z50" s="218"/>
      <c r="AA50" s="165"/>
    </row>
    <row r="51" spans="1:34" x14ac:dyDescent="0.2">
      <c r="A51" s="212">
        <v>2</v>
      </c>
      <c r="B51" s="213" t="s">
        <v>800</v>
      </c>
      <c r="C51" s="213" t="s">
        <v>295</v>
      </c>
      <c r="D51" s="214">
        <v>50</v>
      </c>
      <c r="E51" s="214" t="s">
        <v>909</v>
      </c>
      <c r="F51" s="216">
        <v>0.33</v>
      </c>
      <c r="G51" s="213" t="s">
        <v>295</v>
      </c>
      <c r="H51" s="214">
        <v>50</v>
      </c>
      <c r="I51" s="215" t="s">
        <v>1876</v>
      </c>
      <c r="J51" s="220">
        <v>0.2</v>
      </c>
      <c r="K51" s="213" t="s">
        <v>295</v>
      </c>
      <c r="L51" s="214">
        <v>50</v>
      </c>
      <c r="M51" s="215" t="s">
        <v>840</v>
      </c>
      <c r="N51" s="216">
        <v>6</v>
      </c>
      <c r="O51" s="213" t="s">
        <v>295</v>
      </c>
      <c r="P51" s="214">
        <v>50</v>
      </c>
      <c r="Q51" s="217" t="s">
        <v>918</v>
      </c>
      <c r="R51" s="218">
        <v>8</v>
      </c>
      <c r="S51" s="213" t="s">
        <v>295</v>
      </c>
      <c r="T51" s="214">
        <v>50</v>
      </c>
      <c r="U51" s="217" t="s">
        <v>839</v>
      </c>
      <c r="V51" s="218">
        <v>1</v>
      </c>
      <c r="W51" s="213" t="s">
        <v>295</v>
      </c>
      <c r="X51" s="214">
        <v>50</v>
      </c>
      <c r="Y51" s="217"/>
      <c r="Z51" s="218"/>
      <c r="AA51" s="165"/>
    </row>
    <row r="52" spans="1:34" x14ac:dyDescent="0.2">
      <c r="A52" s="212">
        <v>3</v>
      </c>
      <c r="B52" s="213" t="s">
        <v>801</v>
      </c>
      <c r="C52" s="213" t="s">
        <v>295</v>
      </c>
      <c r="D52" s="214">
        <v>50</v>
      </c>
      <c r="E52" s="214" t="s">
        <v>909</v>
      </c>
      <c r="F52" s="236">
        <v>0.33</v>
      </c>
      <c r="G52" s="213" t="s">
        <v>295</v>
      </c>
      <c r="H52" s="214">
        <v>50</v>
      </c>
      <c r="I52" s="215" t="s">
        <v>1876</v>
      </c>
      <c r="J52" s="220">
        <v>0.2</v>
      </c>
      <c r="K52" s="213" t="s">
        <v>295</v>
      </c>
      <c r="L52" s="214">
        <v>50</v>
      </c>
      <c r="M52" s="215" t="s">
        <v>840</v>
      </c>
      <c r="N52" s="216">
        <v>6</v>
      </c>
      <c r="O52" s="213" t="s">
        <v>295</v>
      </c>
      <c r="P52" s="214">
        <v>50</v>
      </c>
      <c r="Q52" s="217" t="s">
        <v>918</v>
      </c>
      <c r="R52" s="218">
        <v>8</v>
      </c>
      <c r="S52" s="213" t="s">
        <v>295</v>
      </c>
      <c r="T52" s="214">
        <v>50</v>
      </c>
      <c r="U52" s="217" t="s">
        <v>839</v>
      </c>
      <c r="V52" s="218">
        <v>1</v>
      </c>
      <c r="W52" s="213" t="s">
        <v>295</v>
      </c>
      <c r="X52" s="214">
        <v>50</v>
      </c>
      <c r="Y52" s="237"/>
      <c r="Z52" s="238"/>
      <c r="AA52" s="165"/>
    </row>
    <row r="53" spans="1:34" x14ac:dyDescent="0.2">
      <c r="A53" s="212">
        <v>4</v>
      </c>
      <c r="B53" s="213" t="s">
        <v>802</v>
      </c>
      <c r="C53" s="213" t="s">
        <v>295</v>
      </c>
      <c r="D53" s="214">
        <v>50</v>
      </c>
      <c r="E53" s="214" t="s">
        <v>224</v>
      </c>
      <c r="F53" s="216">
        <v>0.33</v>
      </c>
      <c r="G53" s="213" t="s">
        <v>295</v>
      </c>
      <c r="H53" s="214">
        <v>50</v>
      </c>
      <c r="I53" s="214"/>
      <c r="J53" s="220"/>
      <c r="K53" s="213" t="s">
        <v>295</v>
      </c>
      <c r="L53" s="214">
        <v>50</v>
      </c>
      <c r="M53" s="215"/>
      <c r="N53" s="216"/>
      <c r="O53" s="213" t="s">
        <v>295</v>
      </c>
      <c r="P53" s="214">
        <v>50</v>
      </c>
      <c r="Q53" s="217"/>
      <c r="R53" s="218"/>
      <c r="S53" s="213" t="s">
        <v>295</v>
      </c>
      <c r="T53" s="214">
        <v>50</v>
      </c>
      <c r="U53" s="217"/>
      <c r="V53" s="218"/>
      <c r="W53" s="213" t="s">
        <v>295</v>
      </c>
      <c r="X53" s="214">
        <v>50</v>
      </c>
      <c r="Y53" s="217"/>
      <c r="Z53" s="218"/>
      <c r="AA53" s="165"/>
      <c r="AB53" s="117" t="s">
        <v>978</v>
      </c>
    </row>
    <row r="54" spans="1:34" x14ac:dyDescent="0.2">
      <c r="A54" s="212">
        <v>5</v>
      </c>
      <c r="B54" s="213" t="s">
        <v>803</v>
      </c>
      <c r="C54" s="213" t="s">
        <v>295</v>
      </c>
      <c r="D54" s="214">
        <v>50</v>
      </c>
      <c r="E54" s="215" t="s">
        <v>300</v>
      </c>
      <c r="F54" s="216">
        <v>1.1000000000000001</v>
      </c>
      <c r="G54" s="213" t="s">
        <v>295</v>
      </c>
      <c r="H54" s="214">
        <v>50</v>
      </c>
      <c r="I54" s="215"/>
      <c r="J54" s="216"/>
      <c r="K54" s="213" t="s">
        <v>295</v>
      </c>
      <c r="L54" s="214">
        <v>50</v>
      </c>
      <c r="M54" s="215" t="s">
        <v>840</v>
      </c>
      <c r="N54" s="216">
        <v>6</v>
      </c>
      <c r="O54" s="213" t="s">
        <v>295</v>
      </c>
      <c r="P54" s="214">
        <v>50</v>
      </c>
      <c r="Q54" s="217" t="s">
        <v>918</v>
      </c>
      <c r="R54" s="218">
        <v>8</v>
      </c>
      <c r="S54" s="213" t="s">
        <v>295</v>
      </c>
      <c r="T54" s="214">
        <v>50</v>
      </c>
      <c r="U54" s="217"/>
      <c r="V54" s="218"/>
      <c r="W54" s="213" t="s">
        <v>295</v>
      </c>
      <c r="X54" s="214">
        <v>50</v>
      </c>
      <c r="Y54" s="217"/>
      <c r="Z54" s="218"/>
      <c r="AA54" s="165"/>
    </row>
    <row r="55" spans="1:34" x14ac:dyDescent="0.2">
      <c r="A55" s="212">
        <v>6</v>
      </c>
      <c r="B55" s="213" t="s">
        <v>804</v>
      </c>
      <c r="C55" s="213" t="s">
        <v>295</v>
      </c>
      <c r="D55" s="214">
        <v>50</v>
      </c>
      <c r="E55" s="215" t="s">
        <v>913</v>
      </c>
      <c r="F55" s="216">
        <v>0.48</v>
      </c>
      <c r="G55" s="213" t="s">
        <v>295</v>
      </c>
      <c r="H55" s="214">
        <v>50</v>
      </c>
      <c r="I55" s="214"/>
      <c r="J55" s="220"/>
      <c r="K55" s="213" t="s">
        <v>295</v>
      </c>
      <c r="L55" s="214">
        <v>50</v>
      </c>
      <c r="M55" s="215"/>
      <c r="N55" s="216"/>
      <c r="O55" s="213" t="s">
        <v>295</v>
      </c>
      <c r="P55" s="214">
        <v>50</v>
      </c>
      <c r="Q55" s="217"/>
      <c r="R55" s="218"/>
      <c r="S55" s="213" t="s">
        <v>295</v>
      </c>
      <c r="T55" s="214">
        <v>50</v>
      </c>
      <c r="U55" s="217"/>
      <c r="V55" s="218"/>
      <c r="W55" s="213" t="s">
        <v>295</v>
      </c>
      <c r="X55" s="214">
        <v>50</v>
      </c>
      <c r="Y55" s="217"/>
      <c r="Z55" s="218"/>
      <c r="AA55" s="165"/>
      <c r="AB55" s="117" t="s">
        <v>979</v>
      </c>
    </row>
    <row r="56" spans="1:34" x14ac:dyDescent="0.2">
      <c r="A56" s="212">
        <v>7</v>
      </c>
      <c r="B56" s="213" t="s">
        <v>805</v>
      </c>
      <c r="C56" s="213" t="s">
        <v>915</v>
      </c>
      <c r="D56" s="222">
        <v>10</v>
      </c>
      <c r="E56" s="227" t="s">
        <v>916</v>
      </c>
      <c r="F56" s="216">
        <v>2</v>
      </c>
      <c r="G56" s="213" t="s">
        <v>915</v>
      </c>
      <c r="H56" s="228">
        <v>50</v>
      </c>
      <c r="I56" s="222" t="s">
        <v>725</v>
      </c>
      <c r="J56" s="223">
        <f>25/50</f>
        <v>0.5</v>
      </c>
      <c r="K56" s="213" t="s">
        <v>915</v>
      </c>
      <c r="L56" s="228">
        <v>50</v>
      </c>
      <c r="M56" s="215"/>
      <c r="N56" s="216"/>
      <c r="O56" s="213" t="s">
        <v>915</v>
      </c>
      <c r="P56" s="228">
        <v>50</v>
      </c>
      <c r="Q56" s="217"/>
      <c r="R56" s="218"/>
      <c r="S56" s="213" t="s">
        <v>915</v>
      </c>
      <c r="T56" s="228">
        <v>50</v>
      </c>
      <c r="U56" s="217"/>
      <c r="V56" s="218"/>
      <c r="W56" s="213" t="s">
        <v>915</v>
      </c>
      <c r="X56" s="228">
        <v>50</v>
      </c>
      <c r="Y56" s="217"/>
      <c r="Z56" s="218"/>
      <c r="AA56" s="165"/>
    </row>
    <row r="57" spans="1:34" x14ac:dyDescent="0.2">
      <c r="A57" s="212">
        <v>8</v>
      </c>
      <c r="B57" s="213" t="s">
        <v>806</v>
      </c>
      <c r="C57" s="213" t="s">
        <v>295</v>
      </c>
      <c r="D57" s="214">
        <v>50</v>
      </c>
      <c r="E57" s="215" t="s">
        <v>909</v>
      </c>
      <c r="F57" s="216">
        <v>0.33</v>
      </c>
      <c r="G57" s="213" t="s">
        <v>295</v>
      </c>
      <c r="H57" s="214">
        <v>50</v>
      </c>
      <c r="I57" s="214"/>
      <c r="J57" s="220"/>
      <c r="K57" s="213" t="s">
        <v>295</v>
      </c>
      <c r="L57" s="214">
        <v>50</v>
      </c>
      <c r="M57" s="215" t="s">
        <v>840</v>
      </c>
      <c r="N57" s="216">
        <v>6</v>
      </c>
      <c r="O57" s="213" t="s">
        <v>295</v>
      </c>
      <c r="P57" s="214">
        <v>50</v>
      </c>
      <c r="Q57" s="217" t="s">
        <v>918</v>
      </c>
      <c r="R57" s="218">
        <v>8</v>
      </c>
      <c r="S57" s="213" t="s">
        <v>295</v>
      </c>
      <c r="T57" s="214">
        <v>50</v>
      </c>
      <c r="U57" s="217"/>
      <c r="V57" s="218"/>
      <c r="W57" s="213" t="s">
        <v>295</v>
      </c>
      <c r="X57" s="214">
        <v>50</v>
      </c>
      <c r="Y57" s="217"/>
      <c r="Z57" s="218"/>
      <c r="AA57" s="165"/>
    </row>
    <row r="58" spans="1:34" x14ac:dyDescent="0.2">
      <c r="A58" s="212">
        <v>9</v>
      </c>
      <c r="B58" s="213" t="s">
        <v>807</v>
      </c>
      <c r="C58" s="213"/>
      <c r="D58" s="214"/>
      <c r="E58" s="215"/>
      <c r="F58" s="216"/>
      <c r="G58" s="213"/>
      <c r="H58" s="214"/>
      <c r="I58" s="214"/>
      <c r="J58" s="220"/>
      <c r="K58" s="213"/>
      <c r="L58" s="214"/>
      <c r="M58" s="215"/>
      <c r="N58" s="216"/>
      <c r="O58" s="213"/>
      <c r="P58" s="214"/>
      <c r="Q58" s="217"/>
      <c r="R58" s="218"/>
      <c r="S58" s="213"/>
      <c r="T58" s="214"/>
      <c r="U58" s="217"/>
      <c r="V58" s="218"/>
      <c r="W58" s="213"/>
      <c r="X58" s="214"/>
      <c r="Y58" s="217"/>
      <c r="Z58" s="218"/>
      <c r="AA58" s="165"/>
    </row>
    <row r="59" spans="1:34" x14ac:dyDescent="0.2">
      <c r="A59" s="212">
        <v>10</v>
      </c>
      <c r="B59" s="213" t="s">
        <v>808</v>
      </c>
      <c r="C59" s="213" t="s">
        <v>295</v>
      </c>
      <c r="D59" s="214">
        <v>50</v>
      </c>
      <c r="E59" s="214" t="s">
        <v>300</v>
      </c>
      <c r="F59" s="220">
        <v>1.1000000000000001</v>
      </c>
      <c r="G59" s="213" t="s">
        <v>295</v>
      </c>
      <c r="H59" s="214">
        <v>50</v>
      </c>
      <c r="I59" s="215"/>
      <c r="J59" s="216"/>
      <c r="K59" s="213" t="s">
        <v>295</v>
      </c>
      <c r="L59" s="214">
        <v>50</v>
      </c>
      <c r="M59" s="215"/>
      <c r="N59" s="216"/>
      <c r="O59" s="213" t="s">
        <v>295</v>
      </c>
      <c r="P59" s="214">
        <v>50</v>
      </c>
      <c r="Q59" s="217"/>
      <c r="R59" s="218"/>
      <c r="S59" s="213" t="s">
        <v>295</v>
      </c>
      <c r="T59" s="214">
        <v>50</v>
      </c>
      <c r="U59" s="217"/>
      <c r="V59" s="218"/>
      <c r="W59" s="213" t="s">
        <v>295</v>
      </c>
      <c r="X59" s="214">
        <v>50</v>
      </c>
      <c r="Y59" s="217"/>
      <c r="Z59" s="218"/>
      <c r="AA59" s="165"/>
    </row>
    <row r="60" spans="1:34" x14ac:dyDescent="0.2">
      <c r="A60" s="212">
        <v>11</v>
      </c>
      <c r="B60" s="213" t="s">
        <v>809</v>
      </c>
      <c r="C60" s="213"/>
      <c r="D60" s="214"/>
      <c r="E60" s="214"/>
      <c r="F60" s="220"/>
      <c r="G60" s="213"/>
      <c r="H60" s="214"/>
      <c r="I60" s="215"/>
      <c r="J60" s="216"/>
      <c r="K60" s="213"/>
      <c r="L60" s="214"/>
      <c r="M60" s="215"/>
      <c r="N60" s="216"/>
      <c r="O60" s="213"/>
      <c r="P60" s="214"/>
      <c r="Q60" s="217"/>
      <c r="R60" s="218"/>
      <c r="S60" s="213"/>
      <c r="T60" s="214"/>
      <c r="U60" s="217"/>
      <c r="V60" s="218"/>
      <c r="W60" s="213"/>
      <c r="X60" s="214"/>
      <c r="Y60" s="217"/>
      <c r="Z60" s="218"/>
      <c r="AA60" s="165"/>
    </row>
    <row r="61" spans="1:34" x14ac:dyDescent="0.2">
      <c r="A61" s="212">
        <v>12</v>
      </c>
      <c r="B61" s="213" t="s">
        <v>810</v>
      </c>
      <c r="C61" s="213" t="s">
        <v>915</v>
      </c>
      <c r="D61" s="214">
        <v>10</v>
      </c>
      <c r="E61" s="214" t="s">
        <v>916</v>
      </c>
      <c r="F61" s="220">
        <v>2</v>
      </c>
      <c r="G61" s="213" t="s">
        <v>915</v>
      </c>
      <c r="H61" s="214">
        <v>10</v>
      </c>
      <c r="I61" s="215"/>
      <c r="J61" s="216"/>
      <c r="K61" s="213" t="s">
        <v>915</v>
      </c>
      <c r="L61" s="214">
        <v>10</v>
      </c>
      <c r="M61" s="215"/>
      <c r="N61" s="216"/>
      <c r="O61" s="213" t="s">
        <v>915</v>
      </c>
      <c r="P61" s="214">
        <v>10</v>
      </c>
      <c r="Q61" s="217"/>
      <c r="R61" s="218"/>
      <c r="S61" s="213" t="s">
        <v>915</v>
      </c>
      <c r="T61" s="214">
        <v>10</v>
      </c>
      <c r="U61" s="217"/>
      <c r="V61" s="218"/>
      <c r="W61" s="213" t="s">
        <v>915</v>
      </c>
      <c r="X61" s="214">
        <v>10</v>
      </c>
      <c r="Y61" s="217"/>
      <c r="Z61" s="218"/>
      <c r="AA61" s="165"/>
    </row>
    <row r="62" spans="1:34" x14ac:dyDescent="0.2">
      <c r="A62" s="212">
        <v>13</v>
      </c>
      <c r="B62" s="213" t="s">
        <v>811</v>
      </c>
      <c r="C62" s="213"/>
      <c r="D62" s="214"/>
      <c r="E62" s="214"/>
      <c r="F62" s="220"/>
      <c r="G62" s="213"/>
      <c r="H62" s="214"/>
      <c r="I62" s="215"/>
      <c r="J62" s="216"/>
      <c r="K62" s="213"/>
      <c r="L62" s="214"/>
      <c r="M62" s="215"/>
      <c r="N62" s="216"/>
      <c r="O62" s="213"/>
      <c r="P62" s="214"/>
      <c r="Q62" s="217"/>
      <c r="R62" s="218"/>
      <c r="S62" s="213"/>
      <c r="T62" s="214"/>
      <c r="U62" s="217"/>
      <c r="V62" s="218"/>
      <c r="W62" s="213"/>
      <c r="X62" s="214"/>
      <c r="Y62" s="217"/>
      <c r="Z62" s="218"/>
      <c r="AA62" s="165"/>
    </row>
    <row r="63" spans="1:34" x14ac:dyDescent="0.2">
      <c r="A63" s="212">
        <v>14</v>
      </c>
      <c r="B63" s="213" t="s">
        <v>812</v>
      </c>
      <c r="C63" s="213" t="s">
        <v>295</v>
      </c>
      <c r="D63" s="214">
        <v>50</v>
      </c>
      <c r="E63" s="214" t="s">
        <v>300</v>
      </c>
      <c r="F63" s="220">
        <v>1.1000000000000001</v>
      </c>
      <c r="G63" s="213" t="s">
        <v>295</v>
      </c>
      <c r="H63" s="214">
        <v>50</v>
      </c>
      <c r="I63" s="215"/>
      <c r="J63" s="216"/>
      <c r="K63" s="213" t="s">
        <v>295</v>
      </c>
      <c r="L63" s="214">
        <v>50</v>
      </c>
      <c r="M63" s="215"/>
      <c r="N63" s="216"/>
      <c r="O63" s="213" t="s">
        <v>295</v>
      </c>
      <c r="P63" s="214">
        <v>50</v>
      </c>
      <c r="Q63" s="217"/>
      <c r="R63" s="218"/>
      <c r="S63" s="213" t="s">
        <v>295</v>
      </c>
      <c r="T63" s="214">
        <v>50</v>
      </c>
      <c r="U63" s="217"/>
      <c r="V63" s="218"/>
      <c r="W63" s="213" t="s">
        <v>295</v>
      </c>
      <c r="X63" s="214">
        <v>50</v>
      </c>
      <c r="Y63" s="217"/>
      <c r="Z63" s="218"/>
      <c r="AA63" s="165"/>
    </row>
    <row r="64" spans="1:34" x14ac:dyDescent="0.2">
      <c r="A64" s="212">
        <v>15</v>
      </c>
      <c r="B64" s="213" t="s">
        <v>813</v>
      </c>
      <c r="C64" s="213" t="s">
        <v>915</v>
      </c>
      <c r="D64" s="214">
        <v>7</v>
      </c>
      <c r="E64" s="214" t="s">
        <v>910</v>
      </c>
      <c r="F64" s="220">
        <v>2</v>
      </c>
      <c r="G64" s="213" t="s">
        <v>915</v>
      </c>
      <c r="H64" s="214">
        <v>7</v>
      </c>
      <c r="I64" s="214" t="s">
        <v>11</v>
      </c>
      <c r="J64" s="216">
        <v>0.2</v>
      </c>
      <c r="K64" s="213" t="s">
        <v>915</v>
      </c>
      <c r="L64" s="214">
        <v>7</v>
      </c>
      <c r="M64" s="215"/>
      <c r="N64" s="216"/>
      <c r="O64" s="213" t="s">
        <v>915</v>
      </c>
      <c r="P64" s="214">
        <v>7</v>
      </c>
      <c r="Q64" s="217"/>
      <c r="R64" s="218"/>
      <c r="S64" s="213" t="s">
        <v>915</v>
      </c>
      <c r="T64" s="214">
        <v>7</v>
      </c>
      <c r="U64" s="217"/>
      <c r="V64" s="218"/>
      <c r="W64" s="213" t="s">
        <v>915</v>
      </c>
      <c r="X64" s="214">
        <v>7</v>
      </c>
      <c r="Y64" s="217"/>
      <c r="Z64" s="218"/>
      <c r="AA64" s="165"/>
    </row>
    <row r="65" spans="1:34" x14ac:dyDescent="0.2">
      <c r="A65" s="212">
        <v>16</v>
      </c>
      <c r="B65" s="213" t="s">
        <v>814</v>
      </c>
      <c r="C65" s="213" t="s">
        <v>295</v>
      </c>
      <c r="D65" s="214">
        <v>50</v>
      </c>
      <c r="E65" s="214" t="s">
        <v>300</v>
      </c>
      <c r="F65" s="220">
        <v>1.1000000000000001</v>
      </c>
      <c r="G65" s="213" t="s">
        <v>295</v>
      </c>
      <c r="H65" s="214">
        <v>50</v>
      </c>
      <c r="I65" s="214"/>
      <c r="J65" s="220">
        <f>0.2</f>
        <v>0.2</v>
      </c>
      <c r="K65" s="213" t="s">
        <v>295</v>
      </c>
      <c r="L65" s="214">
        <v>50</v>
      </c>
      <c r="M65" s="214"/>
      <c r="N65" s="220"/>
      <c r="O65" s="213" t="s">
        <v>295</v>
      </c>
      <c r="P65" s="214">
        <v>50</v>
      </c>
      <c r="Q65" s="217"/>
      <c r="R65" s="218"/>
      <c r="S65" s="213" t="s">
        <v>295</v>
      </c>
      <c r="T65" s="214">
        <v>50</v>
      </c>
      <c r="U65" s="217"/>
      <c r="V65" s="218"/>
      <c r="W65" s="213" t="s">
        <v>295</v>
      </c>
      <c r="X65" s="214">
        <v>50</v>
      </c>
      <c r="Y65" s="217"/>
      <c r="Z65" s="218"/>
      <c r="AA65" s="165"/>
    </row>
    <row r="66" spans="1:34" x14ac:dyDescent="0.2">
      <c r="A66" s="212">
        <v>17</v>
      </c>
      <c r="B66" s="213" t="s">
        <v>815</v>
      </c>
      <c r="C66" s="213"/>
      <c r="D66" s="214"/>
      <c r="E66" s="214"/>
      <c r="F66" s="229"/>
      <c r="G66" s="213"/>
      <c r="H66" s="214"/>
      <c r="I66" s="214"/>
      <c r="J66" s="220"/>
      <c r="K66" s="213"/>
      <c r="L66" s="214"/>
      <c r="M66" s="214"/>
      <c r="N66" s="220"/>
      <c r="O66" s="213"/>
      <c r="P66" s="214"/>
      <c r="Q66" s="217"/>
      <c r="R66" s="218"/>
      <c r="S66" s="213"/>
      <c r="T66" s="214"/>
      <c r="U66" s="217"/>
      <c r="V66" s="218"/>
      <c r="W66" s="213"/>
      <c r="X66" s="214"/>
      <c r="Y66" s="217"/>
      <c r="Z66" s="218"/>
      <c r="AA66" s="165"/>
    </row>
    <row r="67" spans="1:34" x14ac:dyDescent="0.2">
      <c r="A67" s="212">
        <v>18</v>
      </c>
      <c r="B67" s="213" t="s">
        <v>816</v>
      </c>
      <c r="C67" s="213"/>
      <c r="D67" s="214"/>
      <c r="E67" s="214"/>
      <c r="F67" s="220"/>
      <c r="G67" s="213"/>
      <c r="H67" s="214"/>
      <c r="I67" s="214"/>
      <c r="J67" s="220"/>
      <c r="K67" s="213"/>
      <c r="L67" s="214"/>
      <c r="M67" s="214"/>
      <c r="N67" s="220"/>
      <c r="O67" s="213"/>
      <c r="P67" s="214"/>
      <c r="Q67" s="217"/>
      <c r="R67" s="218"/>
      <c r="S67" s="213"/>
      <c r="T67" s="214"/>
      <c r="U67" s="217"/>
      <c r="V67" s="218"/>
      <c r="W67" s="213"/>
      <c r="X67" s="214"/>
      <c r="Y67" s="217"/>
      <c r="Z67" s="218"/>
      <c r="AA67" s="165"/>
    </row>
    <row r="68" spans="1:34" x14ac:dyDescent="0.2">
      <c r="A68" s="212">
        <v>19</v>
      </c>
      <c r="B68" s="213" t="s">
        <v>817</v>
      </c>
      <c r="C68" s="213"/>
      <c r="D68" s="214"/>
      <c r="E68" s="214"/>
      <c r="F68" s="220"/>
      <c r="G68" s="213"/>
      <c r="H68" s="214"/>
      <c r="I68" s="214"/>
      <c r="J68" s="220"/>
      <c r="K68" s="213"/>
      <c r="L68" s="214"/>
      <c r="M68" s="214"/>
      <c r="N68" s="220"/>
      <c r="O68" s="213"/>
      <c r="P68" s="214"/>
      <c r="Q68" s="217"/>
      <c r="R68" s="218"/>
      <c r="S68" s="213"/>
      <c r="T68" s="214"/>
      <c r="U68" s="217"/>
      <c r="V68" s="218"/>
      <c r="W68" s="213"/>
      <c r="X68" s="214"/>
      <c r="Y68" s="217"/>
      <c r="Z68" s="218"/>
      <c r="AA68" s="165"/>
    </row>
    <row r="69" spans="1:34" x14ac:dyDescent="0.2">
      <c r="A69" s="212">
        <v>20</v>
      </c>
      <c r="B69" s="213" t="s">
        <v>818</v>
      </c>
      <c r="C69" s="213"/>
      <c r="D69" s="214"/>
      <c r="E69" s="214"/>
      <c r="F69" s="220"/>
      <c r="G69" s="213"/>
      <c r="H69" s="214"/>
      <c r="I69" s="214"/>
      <c r="J69" s="220"/>
      <c r="K69" s="213"/>
      <c r="L69" s="214"/>
      <c r="M69" s="214"/>
      <c r="N69" s="220"/>
      <c r="O69" s="213"/>
      <c r="P69" s="214"/>
      <c r="Q69" s="225"/>
      <c r="R69" s="226"/>
      <c r="S69" s="213"/>
      <c r="T69" s="214"/>
      <c r="U69" s="217"/>
      <c r="V69" s="218"/>
      <c r="W69" s="213"/>
      <c r="X69" s="214"/>
      <c r="Y69" s="225"/>
      <c r="Z69" s="226"/>
      <c r="AA69" s="172"/>
    </row>
    <row r="70" spans="1:34" ht="13.5" customHeight="1" thickBot="1" x14ac:dyDescent="0.25">
      <c r="B70" s="197" t="s">
        <v>986</v>
      </c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spans="1:34" s="157" customFormat="1" ht="34.5" thickBot="1" x14ac:dyDescent="0.25">
      <c r="A71" s="201" t="s">
        <v>292</v>
      </c>
      <c r="B71" s="202" t="s">
        <v>293</v>
      </c>
      <c r="C71" s="203" t="s">
        <v>1195</v>
      </c>
      <c r="D71" s="204" t="s">
        <v>1203</v>
      </c>
      <c r="E71" s="205" t="s">
        <v>4</v>
      </c>
      <c r="F71" s="206" t="s">
        <v>1202</v>
      </c>
      <c r="G71" s="203" t="s">
        <v>1196</v>
      </c>
      <c r="H71" s="204" t="s">
        <v>1204</v>
      </c>
      <c r="I71" s="207" t="s">
        <v>5</v>
      </c>
      <c r="J71" s="205" t="s">
        <v>1209</v>
      </c>
      <c r="K71" s="203" t="s">
        <v>1197</v>
      </c>
      <c r="L71" s="204" t="s">
        <v>1205</v>
      </c>
      <c r="M71" s="205" t="s">
        <v>6</v>
      </c>
      <c r="N71" s="206" t="s">
        <v>1217</v>
      </c>
      <c r="O71" s="203" t="s">
        <v>1198</v>
      </c>
      <c r="P71" s="204" t="s">
        <v>1206</v>
      </c>
      <c r="Q71" s="205" t="s">
        <v>7</v>
      </c>
      <c r="R71" s="206" t="s">
        <v>963</v>
      </c>
      <c r="S71" s="203" t="s">
        <v>1199</v>
      </c>
      <c r="T71" s="204" t="s">
        <v>1207</v>
      </c>
      <c r="U71" s="208" t="s">
        <v>8</v>
      </c>
      <c r="V71" s="209" t="s">
        <v>921</v>
      </c>
      <c r="W71" s="203" t="s">
        <v>1200</v>
      </c>
      <c r="X71" s="204" t="s">
        <v>1208</v>
      </c>
      <c r="Y71" s="205" t="s">
        <v>13</v>
      </c>
      <c r="Z71" s="206" t="s">
        <v>1210</v>
      </c>
      <c r="AA71" s="156" t="s">
        <v>1201</v>
      </c>
      <c r="AB71" s="117"/>
      <c r="AC71" s="117"/>
      <c r="AD71" s="117"/>
      <c r="AE71" s="117"/>
      <c r="AF71" s="117"/>
      <c r="AG71" s="117"/>
      <c r="AH71" s="117"/>
    </row>
    <row r="72" spans="1:34" x14ac:dyDescent="0.2">
      <c r="A72" s="212">
        <v>1</v>
      </c>
      <c r="B72" s="213" t="s">
        <v>1009</v>
      </c>
      <c r="C72" s="213" t="s">
        <v>915</v>
      </c>
      <c r="D72" s="214">
        <v>4</v>
      </c>
      <c r="E72" s="215" t="s">
        <v>181</v>
      </c>
      <c r="F72" s="216">
        <v>1</v>
      </c>
      <c r="G72" s="213" t="s">
        <v>915</v>
      </c>
      <c r="H72" s="214">
        <v>4</v>
      </c>
      <c r="I72" s="215"/>
      <c r="J72" s="216"/>
      <c r="K72" s="213" t="s">
        <v>915</v>
      </c>
      <c r="L72" s="214">
        <v>4</v>
      </c>
      <c r="M72" s="215"/>
      <c r="N72" s="216"/>
      <c r="O72" s="213" t="s">
        <v>915</v>
      </c>
      <c r="P72" s="214">
        <v>4</v>
      </c>
      <c r="Q72" s="217"/>
      <c r="R72" s="218"/>
      <c r="S72" s="213" t="s">
        <v>915</v>
      </c>
      <c r="T72" s="214">
        <v>4</v>
      </c>
      <c r="U72" s="217"/>
      <c r="V72" s="218"/>
      <c r="W72" s="213" t="s">
        <v>915</v>
      </c>
      <c r="X72" s="214">
        <v>4</v>
      </c>
      <c r="Y72" s="217"/>
      <c r="Z72" s="218"/>
      <c r="AA72" s="165"/>
    </row>
    <row r="73" spans="1:34" x14ac:dyDescent="0.2">
      <c r="A73" s="212">
        <v>2</v>
      </c>
      <c r="B73" s="213" t="s">
        <v>1010</v>
      </c>
      <c r="C73" s="213" t="s">
        <v>295</v>
      </c>
      <c r="D73" s="214">
        <v>50</v>
      </c>
      <c r="E73" s="214" t="s">
        <v>909</v>
      </c>
      <c r="F73" s="216">
        <v>0.33</v>
      </c>
      <c r="G73" s="213" t="s">
        <v>295</v>
      </c>
      <c r="H73" s="214">
        <v>50</v>
      </c>
      <c r="I73" s="215" t="s">
        <v>1876</v>
      </c>
      <c r="J73" s="220">
        <v>0.2</v>
      </c>
      <c r="K73" s="213" t="s">
        <v>295</v>
      </c>
      <c r="L73" s="214">
        <v>50</v>
      </c>
      <c r="M73" s="215" t="s">
        <v>840</v>
      </c>
      <c r="N73" s="216">
        <v>6</v>
      </c>
      <c r="O73" s="213" t="s">
        <v>295</v>
      </c>
      <c r="P73" s="214">
        <v>50</v>
      </c>
      <c r="Q73" s="217" t="s">
        <v>918</v>
      </c>
      <c r="R73" s="218">
        <v>8</v>
      </c>
      <c r="S73" s="213" t="s">
        <v>295</v>
      </c>
      <c r="T73" s="214">
        <v>50</v>
      </c>
      <c r="U73" s="217" t="s">
        <v>839</v>
      </c>
      <c r="V73" s="218">
        <v>1</v>
      </c>
      <c r="W73" s="213" t="s">
        <v>295</v>
      </c>
      <c r="X73" s="214">
        <v>50</v>
      </c>
      <c r="Y73" s="217"/>
      <c r="Z73" s="218"/>
      <c r="AA73" s="165"/>
    </row>
    <row r="74" spans="1:34" x14ac:dyDescent="0.2">
      <c r="A74" s="212">
        <v>3</v>
      </c>
      <c r="B74" s="213" t="s">
        <v>1011</v>
      </c>
      <c r="C74" s="213" t="s">
        <v>295</v>
      </c>
      <c r="D74" s="214">
        <v>50</v>
      </c>
      <c r="E74" s="214" t="s">
        <v>909</v>
      </c>
      <c r="F74" s="236">
        <v>0.33</v>
      </c>
      <c r="G74" s="213" t="s">
        <v>295</v>
      </c>
      <c r="H74" s="214">
        <v>50</v>
      </c>
      <c r="I74" s="215" t="s">
        <v>1876</v>
      </c>
      <c r="J74" s="220">
        <v>0.2</v>
      </c>
      <c r="K74" s="213" t="s">
        <v>295</v>
      </c>
      <c r="L74" s="214">
        <v>50</v>
      </c>
      <c r="M74" s="215" t="s">
        <v>840</v>
      </c>
      <c r="N74" s="216">
        <v>6</v>
      </c>
      <c r="O74" s="213" t="s">
        <v>295</v>
      </c>
      <c r="P74" s="214">
        <v>50</v>
      </c>
      <c r="Q74" s="217" t="s">
        <v>918</v>
      </c>
      <c r="R74" s="218">
        <v>8</v>
      </c>
      <c r="S74" s="213" t="s">
        <v>295</v>
      </c>
      <c r="T74" s="214">
        <v>50</v>
      </c>
      <c r="U74" s="217" t="s">
        <v>839</v>
      </c>
      <c r="V74" s="218">
        <v>1</v>
      </c>
      <c r="W74" s="213" t="s">
        <v>295</v>
      </c>
      <c r="X74" s="214">
        <v>50</v>
      </c>
      <c r="Y74" s="237"/>
      <c r="Z74" s="238"/>
      <c r="AA74" s="165"/>
    </row>
    <row r="75" spans="1:34" x14ac:dyDescent="0.2">
      <c r="A75" s="212">
        <v>4</v>
      </c>
      <c r="B75" s="213" t="s">
        <v>1012</v>
      </c>
      <c r="C75" s="213" t="s">
        <v>295</v>
      </c>
      <c r="D75" s="214">
        <v>50</v>
      </c>
      <c r="E75" s="214" t="s">
        <v>224</v>
      </c>
      <c r="F75" s="216">
        <v>0.33</v>
      </c>
      <c r="G75" s="213" t="s">
        <v>295</v>
      </c>
      <c r="H75" s="214">
        <v>50</v>
      </c>
      <c r="I75" s="214"/>
      <c r="J75" s="220"/>
      <c r="K75" s="213" t="s">
        <v>295</v>
      </c>
      <c r="L75" s="214">
        <v>50</v>
      </c>
      <c r="M75" s="215"/>
      <c r="N75" s="216"/>
      <c r="O75" s="213" t="s">
        <v>295</v>
      </c>
      <c r="P75" s="214">
        <v>50</v>
      </c>
      <c r="Q75" s="217"/>
      <c r="R75" s="218"/>
      <c r="S75" s="213" t="s">
        <v>295</v>
      </c>
      <c r="T75" s="214">
        <v>50</v>
      </c>
      <c r="U75" s="217"/>
      <c r="V75" s="218"/>
      <c r="W75" s="213" t="s">
        <v>295</v>
      </c>
      <c r="X75" s="214">
        <v>50</v>
      </c>
      <c r="Y75" s="217"/>
      <c r="Z75" s="218"/>
      <c r="AA75" s="165"/>
      <c r="AB75" s="117" t="s">
        <v>978</v>
      </c>
    </row>
    <row r="76" spans="1:34" x14ac:dyDescent="0.2">
      <c r="A76" s="212">
        <v>5</v>
      </c>
      <c r="B76" s="213" t="s">
        <v>1013</v>
      </c>
      <c r="C76" s="213" t="s">
        <v>295</v>
      </c>
      <c r="D76" s="214">
        <v>50</v>
      </c>
      <c r="E76" s="215" t="s">
        <v>300</v>
      </c>
      <c r="F76" s="216">
        <v>1.1000000000000001</v>
      </c>
      <c r="G76" s="213" t="s">
        <v>295</v>
      </c>
      <c r="H76" s="214">
        <v>50</v>
      </c>
      <c r="I76" s="215"/>
      <c r="J76" s="216"/>
      <c r="K76" s="213" t="s">
        <v>295</v>
      </c>
      <c r="L76" s="214">
        <v>50</v>
      </c>
      <c r="M76" s="215" t="s">
        <v>840</v>
      </c>
      <c r="N76" s="216">
        <v>6</v>
      </c>
      <c r="O76" s="213" t="s">
        <v>295</v>
      </c>
      <c r="P76" s="214">
        <v>50</v>
      </c>
      <c r="Q76" s="217" t="s">
        <v>918</v>
      </c>
      <c r="R76" s="218">
        <v>8</v>
      </c>
      <c r="S76" s="213" t="s">
        <v>295</v>
      </c>
      <c r="T76" s="214">
        <v>50</v>
      </c>
      <c r="U76" s="217"/>
      <c r="V76" s="218"/>
      <c r="W76" s="213" t="s">
        <v>295</v>
      </c>
      <c r="X76" s="214">
        <v>50</v>
      </c>
      <c r="Y76" s="217"/>
      <c r="Z76" s="218"/>
      <c r="AA76" s="165"/>
    </row>
    <row r="77" spans="1:34" x14ac:dyDescent="0.2">
      <c r="A77" s="212">
        <v>6</v>
      </c>
      <c r="B77" s="213" t="s">
        <v>1014</v>
      </c>
      <c r="C77" s="213" t="s">
        <v>295</v>
      </c>
      <c r="D77" s="214">
        <v>50</v>
      </c>
      <c r="E77" s="215" t="s">
        <v>913</v>
      </c>
      <c r="F77" s="216">
        <v>0.48</v>
      </c>
      <c r="G77" s="213" t="s">
        <v>295</v>
      </c>
      <c r="H77" s="214">
        <v>50</v>
      </c>
      <c r="I77" s="214"/>
      <c r="J77" s="220"/>
      <c r="K77" s="213" t="s">
        <v>295</v>
      </c>
      <c r="L77" s="214">
        <v>50</v>
      </c>
      <c r="M77" s="215"/>
      <c r="N77" s="216"/>
      <c r="O77" s="213" t="s">
        <v>295</v>
      </c>
      <c r="P77" s="214">
        <v>50</v>
      </c>
      <c r="Q77" s="217"/>
      <c r="R77" s="218"/>
      <c r="S77" s="213" t="s">
        <v>295</v>
      </c>
      <c r="T77" s="214">
        <v>50</v>
      </c>
      <c r="U77" s="217"/>
      <c r="V77" s="218"/>
      <c r="W77" s="213" t="s">
        <v>295</v>
      </c>
      <c r="X77" s="214">
        <v>50</v>
      </c>
      <c r="Y77" s="217"/>
      <c r="Z77" s="218"/>
      <c r="AA77" s="165"/>
      <c r="AB77" s="117" t="s">
        <v>979</v>
      </c>
    </row>
    <row r="78" spans="1:34" x14ac:dyDescent="0.2">
      <c r="A78" s="212">
        <v>7</v>
      </c>
      <c r="B78" s="213" t="s">
        <v>1015</v>
      </c>
      <c r="C78" s="213" t="s">
        <v>915</v>
      </c>
      <c r="D78" s="222">
        <v>10</v>
      </c>
      <c r="E78" s="227" t="s">
        <v>916</v>
      </c>
      <c r="F78" s="216">
        <v>2</v>
      </c>
      <c r="G78" s="213" t="s">
        <v>915</v>
      </c>
      <c r="H78" s="228">
        <v>50</v>
      </c>
      <c r="I78" s="222" t="s">
        <v>725</v>
      </c>
      <c r="J78" s="223">
        <f>25/50</f>
        <v>0.5</v>
      </c>
      <c r="K78" s="213" t="s">
        <v>915</v>
      </c>
      <c r="L78" s="228">
        <v>50</v>
      </c>
      <c r="M78" s="215"/>
      <c r="N78" s="216"/>
      <c r="O78" s="213" t="s">
        <v>915</v>
      </c>
      <c r="P78" s="228">
        <v>50</v>
      </c>
      <c r="Q78" s="217"/>
      <c r="R78" s="218"/>
      <c r="S78" s="213" t="s">
        <v>915</v>
      </c>
      <c r="T78" s="228">
        <v>50</v>
      </c>
      <c r="U78" s="217"/>
      <c r="V78" s="218"/>
      <c r="W78" s="213" t="s">
        <v>915</v>
      </c>
      <c r="X78" s="228">
        <v>50</v>
      </c>
      <c r="Y78" s="217"/>
      <c r="Z78" s="218"/>
      <c r="AA78" s="165"/>
    </row>
    <row r="79" spans="1:34" x14ac:dyDescent="0.2">
      <c r="A79" s="212">
        <v>8</v>
      </c>
      <c r="B79" s="213" t="s">
        <v>1016</v>
      </c>
      <c r="C79" s="213" t="s">
        <v>295</v>
      </c>
      <c r="D79" s="214">
        <v>50</v>
      </c>
      <c r="E79" s="215" t="s">
        <v>909</v>
      </c>
      <c r="F79" s="216">
        <v>0.33</v>
      </c>
      <c r="G79" s="213" t="s">
        <v>295</v>
      </c>
      <c r="H79" s="214">
        <v>50</v>
      </c>
      <c r="I79" s="214"/>
      <c r="J79" s="220"/>
      <c r="K79" s="213" t="s">
        <v>295</v>
      </c>
      <c r="L79" s="214">
        <v>50</v>
      </c>
      <c r="M79" s="215" t="s">
        <v>840</v>
      </c>
      <c r="N79" s="216">
        <v>6</v>
      </c>
      <c r="O79" s="213" t="s">
        <v>295</v>
      </c>
      <c r="P79" s="214">
        <v>50</v>
      </c>
      <c r="Q79" s="217" t="s">
        <v>918</v>
      </c>
      <c r="R79" s="218">
        <v>8</v>
      </c>
      <c r="S79" s="213" t="s">
        <v>295</v>
      </c>
      <c r="T79" s="214">
        <v>50</v>
      </c>
      <c r="U79" s="217"/>
      <c r="V79" s="218"/>
      <c r="W79" s="213" t="s">
        <v>295</v>
      </c>
      <c r="X79" s="214">
        <v>50</v>
      </c>
      <c r="Y79" s="217"/>
      <c r="Z79" s="218"/>
      <c r="AA79" s="165"/>
    </row>
    <row r="80" spans="1:34" x14ac:dyDescent="0.2">
      <c r="A80" s="212">
        <v>9</v>
      </c>
      <c r="B80" s="213" t="s">
        <v>1017</v>
      </c>
      <c r="C80" s="230" t="s">
        <v>295</v>
      </c>
      <c r="D80" s="222">
        <v>50</v>
      </c>
      <c r="E80" s="222" t="s">
        <v>964</v>
      </c>
      <c r="F80" s="223">
        <v>0.25</v>
      </c>
      <c r="G80" s="230" t="s">
        <v>295</v>
      </c>
      <c r="H80" s="222">
        <v>50</v>
      </c>
      <c r="I80" s="227"/>
      <c r="J80" s="231"/>
      <c r="K80" s="230" t="s">
        <v>295</v>
      </c>
      <c r="L80" s="222">
        <v>50</v>
      </c>
      <c r="M80" s="227"/>
      <c r="N80" s="231"/>
      <c r="O80" s="230" t="s">
        <v>295</v>
      </c>
      <c r="P80" s="222">
        <v>50</v>
      </c>
      <c r="Q80" s="227"/>
      <c r="R80" s="231"/>
      <c r="S80" s="230" t="s">
        <v>295</v>
      </c>
      <c r="T80" s="222">
        <v>50</v>
      </c>
      <c r="U80" s="227"/>
      <c r="V80" s="231"/>
      <c r="W80" s="230" t="s">
        <v>295</v>
      </c>
      <c r="X80" s="222">
        <v>50</v>
      </c>
      <c r="Y80" s="227"/>
      <c r="Z80" s="231"/>
      <c r="AA80" s="177"/>
      <c r="AB80" s="178" t="s">
        <v>976</v>
      </c>
      <c r="AC80" s="178"/>
    </row>
    <row r="81" spans="1:34" x14ac:dyDescent="0.2">
      <c r="A81" s="212">
        <v>10</v>
      </c>
      <c r="B81" s="213" t="s">
        <v>1018</v>
      </c>
      <c r="C81" s="213" t="s">
        <v>295</v>
      </c>
      <c r="D81" s="214">
        <v>50</v>
      </c>
      <c r="E81" s="214" t="s">
        <v>300</v>
      </c>
      <c r="F81" s="220">
        <v>1.1000000000000001</v>
      </c>
      <c r="G81" s="213" t="s">
        <v>295</v>
      </c>
      <c r="H81" s="214">
        <v>50</v>
      </c>
      <c r="I81" s="215"/>
      <c r="J81" s="216"/>
      <c r="K81" s="213" t="s">
        <v>295</v>
      </c>
      <c r="L81" s="214">
        <v>50</v>
      </c>
      <c r="M81" s="215"/>
      <c r="N81" s="216"/>
      <c r="O81" s="213" t="s">
        <v>295</v>
      </c>
      <c r="P81" s="214">
        <v>50</v>
      </c>
      <c r="Q81" s="217"/>
      <c r="R81" s="218"/>
      <c r="S81" s="213" t="s">
        <v>295</v>
      </c>
      <c r="T81" s="214">
        <v>50</v>
      </c>
      <c r="U81" s="217"/>
      <c r="V81" s="218"/>
      <c r="W81" s="213" t="s">
        <v>295</v>
      </c>
      <c r="X81" s="214">
        <v>50</v>
      </c>
      <c r="Y81" s="217"/>
      <c r="Z81" s="218"/>
      <c r="AA81" s="165"/>
    </row>
    <row r="82" spans="1:34" x14ac:dyDescent="0.2">
      <c r="A82" s="212">
        <v>11</v>
      </c>
      <c r="B82" s="213" t="s">
        <v>1019</v>
      </c>
      <c r="C82" s="213"/>
      <c r="D82" s="214"/>
      <c r="E82" s="214"/>
      <c r="F82" s="220"/>
      <c r="G82" s="213"/>
      <c r="H82" s="214"/>
      <c r="I82" s="215"/>
      <c r="J82" s="216"/>
      <c r="K82" s="213"/>
      <c r="L82" s="214"/>
      <c r="M82" s="215"/>
      <c r="N82" s="216"/>
      <c r="O82" s="213"/>
      <c r="P82" s="214"/>
      <c r="Q82" s="217"/>
      <c r="R82" s="218"/>
      <c r="S82" s="213"/>
      <c r="T82" s="214"/>
      <c r="U82" s="217"/>
      <c r="V82" s="218"/>
      <c r="W82" s="213"/>
      <c r="X82" s="214"/>
      <c r="Y82" s="217"/>
      <c r="Z82" s="218"/>
      <c r="AA82" s="165"/>
    </row>
    <row r="83" spans="1:34" x14ac:dyDescent="0.2">
      <c r="A83" s="212">
        <v>12</v>
      </c>
      <c r="B83" s="213" t="s">
        <v>1020</v>
      </c>
      <c r="C83" s="213" t="s">
        <v>915</v>
      </c>
      <c r="D83" s="214">
        <v>10</v>
      </c>
      <c r="E83" s="214" t="s">
        <v>916</v>
      </c>
      <c r="F83" s="220">
        <v>2</v>
      </c>
      <c r="G83" s="213" t="s">
        <v>915</v>
      </c>
      <c r="H83" s="214">
        <v>10</v>
      </c>
      <c r="I83" s="215"/>
      <c r="J83" s="216"/>
      <c r="K83" s="213" t="s">
        <v>915</v>
      </c>
      <c r="L83" s="214">
        <v>10</v>
      </c>
      <c r="M83" s="215"/>
      <c r="N83" s="216"/>
      <c r="O83" s="213" t="s">
        <v>915</v>
      </c>
      <c r="P83" s="214">
        <v>10</v>
      </c>
      <c r="Q83" s="217"/>
      <c r="R83" s="218"/>
      <c r="S83" s="213" t="s">
        <v>915</v>
      </c>
      <c r="T83" s="214">
        <v>10</v>
      </c>
      <c r="U83" s="217"/>
      <c r="V83" s="218"/>
      <c r="W83" s="213" t="s">
        <v>915</v>
      </c>
      <c r="X83" s="214">
        <v>10</v>
      </c>
      <c r="Y83" s="217"/>
      <c r="Z83" s="218"/>
      <c r="AA83" s="165"/>
    </row>
    <row r="84" spans="1:34" x14ac:dyDescent="0.2">
      <c r="A84" s="212">
        <v>13</v>
      </c>
      <c r="B84" s="213" t="s">
        <v>1021</v>
      </c>
      <c r="C84" s="213"/>
      <c r="D84" s="214"/>
      <c r="E84" s="214"/>
      <c r="F84" s="220"/>
      <c r="G84" s="213"/>
      <c r="H84" s="214"/>
      <c r="I84" s="215"/>
      <c r="J84" s="216"/>
      <c r="K84" s="213"/>
      <c r="L84" s="214"/>
      <c r="M84" s="215"/>
      <c r="N84" s="216"/>
      <c r="O84" s="213"/>
      <c r="P84" s="214"/>
      <c r="Q84" s="217"/>
      <c r="R84" s="218"/>
      <c r="S84" s="213"/>
      <c r="T84" s="214"/>
      <c r="U84" s="217"/>
      <c r="V84" s="218"/>
      <c r="W84" s="213"/>
      <c r="X84" s="214"/>
      <c r="Y84" s="217"/>
      <c r="Z84" s="218"/>
      <c r="AA84" s="165"/>
    </row>
    <row r="85" spans="1:34" x14ac:dyDescent="0.2">
      <c r="A85" s="212">
        <v>14</v>
      </c>
      <c r="B85" s="213" t="s">
        <v>1022</v>
      </c>
      <c r="C85" s="213" t="s">
        <v>295</v>
      </c>
      <c r="D85" s="214">
        <v>50</v>
      </c>
      <c r="E85" s="214" t="s">
        <v>300</v>
      </c>
      <c r="F85" s="220">
        <v>1.1000000000000001</v>
      </c>
      <c r="G85" s="213" t="s">
        <v>295</v>
      </c>
      <c r="H85" s="214">
        <v>50</v>
      </c>
      <c r="I85" s="215"/>
      <c r="J85" s="216"/>
      <c r="K85" s="213" t="s">
        <v>295</v>
      </c>
      <c r="L85" s="214">
        <v>50</v>
      </c>
      <c r="M85" s="215"/>
      <c r="N85" s="216"/>
      <c r="O85" s="213" t="s">
        <v>295</v>
      </c>
      <c r="P85" s="214">
        <v>50</v>
      </c>
      <c r="Q85" s="217"/>
      <c r="R85" s="218"/>
      <c r="S85" s="213" t="s">
        <v>295</v>
      </c>
      <c r="T85" s="214">
        <v>50</v>
      </c>
      <c r="U85" s="217"/>
      <c r="V85" s="218"/>
      <c r="W85" s="213" t="s">
        <v>295</v>
      </c>
      <c r="X85" s="214">
        <v>50</v>
      </c>
      <c r="Y85" s="217"/>
      <c r="Z85" s="218"/>
      <c r="AA85" s="165"/>
    </row>
    <row r="86" spans="1:34" x14ac:dyDescent="0.2">
      <c r="A86" s="212">
        <v>15</v>
      </c>
      <c r="B86" s="213" t="s">
        <v>1023</v>
      </c>
      <c r="C86" s="213" t="s">
        <v>915</v>
      </c>
      <c r="D86" s="214">
        <v>7</v>
      </c>
      <c r="E86" s="214" t="s">
        <v>910</v>
      </c>
      <c r="F86" s="220">
        <v>2</v>
      </c>
      <c r="G86" s="213" t="s">
        <v>915</v>
      </c>
      <c r="H86" s="214">
        <v>7</v>
      </c>
      <c r="I86" s="214" t="s">
        <v>11</v>
      </c>
      <c r="J86" s="216">
        <v>0.2</v>
      </c>
      <c r="K86" s="213" t="s">
        <v>915</v>
      </c>
      <c r="L86" s="214">
        <v>7</v>
      </c>
      <c r="M86" s="215"/>
      <c r="N86" s="216"/>
      <c r="O86" s="213" t="s">
        <v>915</v>
      </c>
      <c r="P86" s="214">
        <v>7</v>
      </c>
      <c r="Q86" s="217"/>
      <c r="R86" s="218"/>
      <c r="S86" s="213" t="s">
        <v>915</v>
      </c>
      <c r="T86" s="214">
        <v>7</v>
      </c>
      <c r="U86" s="217"/>
      <c r="V86" s="218"/>
      <c r="W86" s="213" t="s">
        <v>915</v>
      </c>
      <c r="X86" s="214">
        <v>7</v>
      </c>
      <c r="Y86" s="217"/>
      <c r="Z86" s="218"/>
      <c r="AA86" s="165"/>
    </row>
    <row r="87" spans="1:34" x14ac:dyDescent="0.2">
      <c r="A87" s="212">
        <v>16</v>
      </c>
      <c r="B87" s="213" t="s">
        <v>1024</v>
      </c>
      <c r="C87" s="213" t="s">
        <v>295</v>
      </c>
      <c r="D87" s="214">
        <v>50</v>
      </c>
      <c r="E87" s="214" t="s">
        <v>300</v>
      </c>
      <c r="F87" s="220">
        <v>1.1000000000000001</v>
      </c>
      <c r="G87" s="213" t="s">
        <v>295</v>
      </c>
      <c r="H87" s="214">
        <v>50</v>
      </c>
      <c r="I87" s="214"/>
      <c r="J87" s="220">
        <f>0.2</f>
        <v>0.2</v>
      </c>
      <c r="K87" s="213" t="s">
        <v>295</v>
      </c>
      <c r="L87" s="214">
        <v>50</v>
      </c>
      <c r="M87" s="214"/>
      <c r="N87" s="220"/>
      <c r="O87" s="213" t="s">
        <v>295</v>
      </c>
      <c r="P87" s="214">
        <v>50</v>
      </c>
      <c r="Q87" s="217"/>
      <c r="R87" s="218"/>
      <c r="S87" s="213" t="s">
        <v>295</v>
      </c>
      <c r="T87" s="214">
        <v>50</v>
      </c>
      <c r="U87" s="217"/>
      <c r="V87" s="218"/>
      <c r="W87" s="213" t="s">
        <v>295</v>
      </c>
      <c r="X87" s="214">
        <v>50</v>
      </c>
      <c r="Y87" s="217"/>
      <c r="Z87" s="218"/>
      <c r="AA87" s="165"/>
    </row>
    <row r="88" spans="1:34" x14ac:dyDescent="0.2">
      <c r="A88" s="212">
        <v>17</v>
      </c>
      <c r="B88" s="213" t="s">
        <v>1025</v>
      </c>
      <c r="C88" s="213"/>
      <c r="D88" s="214"/>
      <c r="E88" s="214"/>
      <c r="F88" s="229"/>
      <c r="G88" s="213"/>
      <c r="H88" s="214"/>
      <c r="I88" s="214"/>
      <c r="J88" s="220"/>
      <c r="K88" s="213"/>
      <c r="L88" s="214"/>
      <c r="M88" s="214"/>
      <c r="N88" s="220"/>
      <c r="O88" s="213"/>
      <c r="P88" s="214"/>
      <c r="Q88" s="217"/>
      <c r="R88" s="218"/>
      <c r="S88" s="213"/>
      <c r="T88" s="214"/>
      <c r="U88" s="217"/>
      <c r="V88" s="218"/>
      <c r="W88" s="213"/>
      <c r="X88" s="214"/>
      <c r="Y88" s="217"/>
      <c r="Z88" s="218"/>
      <c r="AA88" s="165"/>
    </row>
    <row r="89" spans="1:34" x14ac:dyDescent="0.2">
      <c r="A89" s="212">
        <v>18</v>
      </c>
      <c r="B89" s="213" t="s">
        <v>1026</v>
      </c>
      <c r="C89" s="213"/>
      <c r="D89" s="214"/>
      <c r="E89" s="214"/>
      <c r="F89" s="220"/>
      <c r="G89" s="213"/>
      <c r="H89" s="214"/>
      <c r="I89" s="214"/>
      <c r="J89" s="220"/>
      <c r="K89" s="213"/>
      <c r="L89" s="214"/>
      <c r="M89" s="214"/>
      <c r="N89" s="220"/>
      <c r="O89" s="213"/>
      <c r="P89" s="214"/>
      <c r="Q89" s="217"/>
      <c r="R89" s="218"/>
      <c r="S89" s="213"/>
      <c r="T89" s="214"/>
      <c r="U89" s="217"/>
      <c r="V89" s="218"/>
      <c r="W89" s="213"/>
      <c r="X89" s="214"/>
      <c r="Y89" s="217"/>
      <c r="Z89" s="218"/>
      <c r="AA89" s="165"/>
    </row>
    <row r="90" spans="1:34" x14ac:dyDescent="0.2">
      <c r="A90" s="212">
        <v>19</v>
      </c>
      <c r="B90" s="213" t="s">
        <v>1027</v>
      </c>
      <c r="C90" s="213"/>
      <c r="D90" s="214"/>
      <c r="E90" s="214"/>
      <c r="F90" s="220"/>
      <c r="G90" s="213"/>
      <c r="H90" s="214"/>
      <c r="I90" s="214"/>
      <c r="J90" s="220"/>
      <c r="K90" s="213"/>
      <c r="L90" s="214"/>
      <c r="M90" s="214"/>
      <c r="N90" s="220"/>
      <c r="O90" s="213"/>
      <c r="P90" s="214"/>
      <c r="Q90" s="217"/>
      <c r="R90" s="218"/>
      <c r="S90" s="213"/>
      <c r="T90" s="214"/>
      <c r="U90" s="217"/>
      <c r="V90" s="218"/>
      <c r="W90" s="213"/>
      <c r="X90" s="214"/>
      <c r="Y90" s="217"/>
      <c r="Z90" s="218"/>
      <c r="AA90" s="165"/>
    </row>
    <row r="91" spans="1:34" x14ac:dyDescent="0.2">
      <c r="A91" s="212">
        <v>20</v>
      </c>
      <c r="B91" s="213" t="s">
        <v>1028</v>
      </c>
      <c r="C91" s="213"/>
      <c r="D91" s="214"/>
      <c r="E91" s="214"/>
      <c r="F91" s="220"/>
      <c r="G91" s="213"/>
      <c r="H91" s="214"/>
      <c r="I91" s="214"/>
      <c r="J91" s="220"/>
      <c r="K91" s="213"/>
      <c r="L91" s="214"/>
      <c r="M91" s="214"/>
      <c r="N91" s="220"/>
      <c r="O91" s="213"/>
      <c r="P91" s="214"/>
      <c r="Q91" s="225"/>
      <c r="R91" s="226"/>
      <c r="S91" s="213"/>
      <c r="T91" s="214"/>
      <c r="U91" s="217"/>
      <c r="V91" s="218"/>
      <c r="W91" s="213"/>
      <c r="X91" s="214"/>
      <c r="Y91" s="225"/>
      <c r="Z91" s="226"/>
      <c r="AA91" s="172"/>
    </row>
    <row r="92" spans="1:34" ht="13.5" thickBot="1" x14ac:dyDescent="0.25">
      <c r="B92" s="197" t="s">
        <v>982</v>
      </c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spans="1:34" s="157" customFormat="1" ht="34.5" thickBot="1" x14ac:dyDescent="0.25">
      <c r="A93" s="201" t="s">
        <v>292</v>
      </c>
      <c r="B93" s="202" t="s">
        <v>293</v>
      </c>
      <c r="C93" s="203" t="s">
        <v>1195</v>
      </c>
      <c r="D93" s="204" t="s">
        <v>1203</v>
      </c>
      <c r="E93" s="205" t="s">
        <v>4</v>
      </c>
      <c r="F93" s="206" t="s">
        <v>1202</v>
      </c>
      <c r="G93" s="203" t="s">
        <v>1196</v>
      </c>
      <c r="H93" s="204" t="s">
        <v>1204</v>
      </c>
      <c r="I93" s="207" t="s">
        <v>5</v>
      </c>
      <c r="J93" s="205" t="s">
        <v>1209</v>
      </c>
      <c r="K93" s="203" t="s">
        <v>1197</v>
      </c>
      <c r="L93" s="204" t="s">
        <v>1205</v>
      </c>
      <c r="M93" s="205" t="s">
        <v>6</v>
      </c>
      <c r="N93" s="206" t="s">
        <v>1217</v>
      </c>
      <c r="O93" s="203" t="s">
        <v>1198</v>
      </c>
      <c r="P93" s="204" t="s">
        <v>1206</v>
      </c>
      <c r="Q93" s="205" t="s">
        <v>7</v>
      </c>
      <c r="R93" s="206" t="s">
        <v>963</v>
      </c>
      <c r="S93" s="203" t="s">
        <v>1199</v>
      </c>
      <c r="T93" s="204" t="s">
        <v>1207</v>
      </c>
      <c r="U93" s="208" t="s">
        <v>8</v>
      </c>
      <c r="V93" s="209" t="s">
        <v>921</v>
      </c>
      <c r="W93" s="203" t="s">
        <v>1200</v>
      </c>
      <c r="X93" s="204" t="s">
        <v>1208</v>
      </c>
      <c r="Y93" s="205" t="s">
        <v>13</v>
      </c>
      <c r="Z93" s="206" t="s">
        <v>1210</v>
      </c>
      <c r="AA93" s="156" t="s">
        <v>1201</v>
      </c>
      <c r="AB93" s="117"/>
      <c r="AC93" s="117"/>
      <c r="AD93" s="117"/>
      <c r="AE93" s="117"/>
      <c r="AF93" s="117"/>
      <c r="AG93" s="117"/>
      <c r="AH93" s="117"/>
    </row>
    <row r="94" spans="1:34" x14ac:dyDescent="0.2">
      <c r="A94" s="212">
        <v>1</v>
      </c>
      <c r="B94" s="213" t="s">
        <v>1049</v>
      </c>
      <c r="C94" s="213" t="s">
        <v>915</v>
      </c>
      <c r="D94" s="214">
        <v>7</v>
      </c>
      <c r="E94" s="214" t="s">
        <v>910</v>
      </c>
      <c r="F94" s="220">
        <v>2</v>
      </c>
      <c r="G94" s="213" t="s">
        <v>915</v>
      </c>
      <c r="H94" s="214">
        <v>7</v>
      </c>
      <c r="I94" s="215" t="s">
        <v>507</v>
      </c>
      <c r="J94" s="216">
        <v>2</v>
      </c>
      <c r="K94" s="213" t="s">
        <v>915</v>
      </c>
      <c r="L94" s="214">
        <v>7</v>
      </c>
      <c r="M94" s="214"/>
      <c r="N94" s="220"/>
      <c r="O94" s="213" t="s">
        <v>915</v>
      </c>
      <c r="P94" s="214">
        <v>7</v>
      </c>
      <c r="Q94" s="233"/>
      <c r="R94" s="234"/>
      <c r="S94" s="213" t="s">
        <v>915</v>
      </c>
      <c r="T94" s="214">
        <v>7</v>
      </c>
      <c r="U94" s="233"/>
      <c r="V94" s="234"/>
      <c r="W94" s="213" t="s">
        <v>915</v>
      </c>
      <c r="X94" s="214">
        <v>7</v>
      </c>
      <c r="Y94" s="233"/>
      <c r="Z94" s="234"/>
      <c r="AA94" s="165"/>
      <c r="AB94" s="117" t="s">
        <v>975</v>
      </c>
    </row>
    <row r="95" spans="1:34" x14ac:dyDescent="0.2">
      <c r="A95" s="212">
        <v>2</v>
      </c>
      <c r="B95" s="213" t="s">
        <v>1050</v>
      </c>
      <c r="C95" s="213" t="s">
        <v>915</v>
      </c>
      <c r="D95" s="214">
        <v>15</v>
      </c>
      <c r="E95" s="214" t="s">
        <v>214</v>
      </c>
      <c r="F95" s="220">
        <v>2</v>
      </c>
      <c r="G95" s="213" t="s">
        <v>915</v>
      </c>
      <c r="H95" s="214">
        <v>15</v>
      </c>
      <c r="I95" s="215"/>
      <c r="J95" s="216"/>
      <c r="K95" s="213" t="s">
        <v>915</v>
      </c>
      <c r="L95" s="214">
        <v>15</v>
      </c>
      <c r="M95" s="214"/>
      <c r="N95" s="220"/>
      <c r="O95" s="213" t="s">
        <v>915</v>
      </c>
      <c r="P95" s="214">
        <v>15</v>
      </c>
      <c r="Q95" s="233"/>
      <c r="R95" s="234"/>
      <c r="S95" s="213" t="s">
        <v>915</v>
      </c>
      <c r="T95" s="214">
        <v>15</v>
      </c>
      <c r="U95" s="233"/>
      <c r="V95" s="234"/>
      <c r="W95" s="213" t="s">
        <v>915</v>
      </c>
      <c r="X95" s="214">
        <v>15</v>
      </c>
      <c r="Y95" s="233"/>
      <c r="Z95" s="234"/>
      <c r="AA95" s="165"/>
    </row>
    <row r="96" spans="1:34" x14ac:dyDescent="0.2">
      <c r="A96" s="212">
        <v>3</v>
      </c>
      <c r="B96" s="213" t="s">
        <v>1051</v>
      </c>
      <c r="C96" s="213" t="s">
        <v>295</v>
      </c>
      <c r="D96" s="214">
        <v>50</v>
      </c>
      <c r="E96" s="214" t="s">
        <v>909</v>
      </c>
      <c r="F96" s="220">
        <v>0.33</v>
      </c>
      <c r="G96" s="213" t="s">
        <v>295</v>
      </c>
      <c r="H96" s="214">
        <v>50</v>
      </c>
      <c r="I96" s="215" t="s">
        <v>1876</v>
      </c>
      <c r="J96" s="220">
        <v>0.2</v>
      </c>
      <c r="K96" s="213" t="s">
        <v>295</v>
      </c>
      <c r="L96" s="214">
        <v>50</v>
      </c>
      <c r="M96" s="214"/>
      <c r="N96" s="220"/>
      <c r="O96" s="213" t="s">
        <v>295</v>
      </c>
      <c r="P96" s="214">
        <v>50</v>
      </c>
      <c r="Q96" s="233"/>
      <c r="R96" s="234"/>
      <c r="S96" s="213" t="s">
        <v>295</v>
      </c>
      <c r="T96" s="214">
        <v>50</v>
      </c>
      <c r="U96" s="233" t="s">
        <v>839</v>
      </c>
      <c r="V96" s="234">
        <v>1</v>
      </c>
      <c r="W96" s="213" t="s">
        <v>295</v>
      </c>
      <c r="X96" s="214">
        <v>50</v>
      </c>
      <c r="Y96" s="233"/>
      <c r="Z96" s="234"/>
      <c r="AA96" s="165"/>
    </row>
    <row r="97" spans="1:28" x14ac:dyDescent="0.2">
      <c r="A97" s="212">
        <v>4</v>
      </c>
      <c r="B97" s="213" t="s">
        <v>1052</v>
      </c>
      <c r="C97" s="213" t="s">
        <v>294</v>
      </c>
      <c r="D97" s="214">
        <v>50</v>
      </c>
      <c r="E97" s="215" t="s">
        <v>912</v>
      </c>
      <c r="F97" s="221">
        <v>2.5</v>
      </c>
      <c r="G97" s="213" t="s">
        <v>294</v>
      </c>
      <c r="H97" s="214">
        <v>50</v>
      </c>
      <c r="I97" s="214"/>
      <c r="J97" s="220"/>
      <c r="K97" s="213" t="s">
        <v>294</v>
      </c>
      <c r="L97" s="214">
        <v>50</v>
      </c>
      <c r="M97" s="215" t="s">
        <v>840</v>
      </c>
      <c r="N97" s="216">
        <v>6</v>
      </c>
      <c r="O97" s="213" t="s">
        <v>294</v>
      </c>
      <c r="P97" s="214">
        <v>50</v>
      </c>
      <c r="Q97" s="233" t="s">
        <v>918</v>
      </c>
      <c r="R97" s="234">
        <v>8</v>
      </c>
      <c r="S97" s="213" t="s">
        <v>294</v>
      </c>
      <c r="T97" s="214">
        <v>50</v>
      </c>
      <c r="U97" s="233" t="s">
        <v>839</v>
      </c>
      <c r="V97" s="234">
        <v>1</v>
      </c>
      <c r="W97" s="213" t="s">
        <v>294</v>
      </c>
      <c r="X97" s="214">
        <v>50</v>
      </c>
      <c r="Y97" s="233"/>
      <c r="Z97" s="234"/>
      <c r="AA97" s="165"/>
      <c r="AB97" s="117" t="s">
        <v>977</v>
      </c>
    </row>
    <row r="98" spans="1:28" x14ac:dyDescent="0.2">
      <c r="A98" s="212">
        <v>5</v>
      </c>
      <c r="B98" s="213" t="s">
        <v>1053</v>
      </c>
      <c r="C98" s="213" t="s">
        <v>915</v>
      </c>
      <c r="D98" s="214">
        <v>15</v>
      </c>
      <c r="E98" s="215" t="s">
        <v>224</v>
      </c>
      <c r="F98" s="216">
        <v>2</v>
      </c>
      <c r="G98" s="213" t="s">
        <v>915</v>
      </c>
      <c r="H98" s="214">
        <v>15</v>
      </c>
      <c r="I98" s="214"/>
      <c r="J98" s="220"/>
      <c r="K98" s="213" t="s">
        <v>915</v>
      </c>
      <c r="L98" s="214">
        <v>15</v>
      </c>
      <c r="M98" s="215"/>
      <c r="N98" s="216"/>
      <c r="O98" s="213" t="s">
        <v>915</v>
      </c>
      <c r="P98" s="214">
        <v>15</v>
      </c>
      <c r="Q98" s="233"/>
      <c r="R98" s="234"/>
      <c r="S98" s="213" t="s">
        <v>915</v>
      </c>
      <c r="T98" s="214">
        <v>15</v>
      </c>
      <c r="U98" s="233"/>
      <c r="V98" s="234"/>
      <c r="W98" s="213" t="s">
        <v>915</v>
      </c>
      <c r="X98" s="214">
        <v>15</v>
      </c>
      <c r="Y98" s="233"/>
      <c r="Z98" s="234"/>
      <c r="AA98" s="165"/>
    </row>
    <row r="99" spans="1:28" x14ac:dyDescent="0.2">
      <c r="A99" s="212">
        <v>6</v>
      </c>
      <c r="B99" s="213" t="s">
        <v>1054</v>
      </c>
      <c r="C99" s="213" t="s">
        <v>295</v>
      </c>
      <c r="D99" s="214">
        <v>50</v>
      </c>
      <c r="E99" s="215" t="s">
        <v>300</v>
      </c>
      <c r="F99" s="216">
        <v>1.1000000000000001</v>
      </c>
      <c r="G99" s="213" t="s">
        <v>295</v>
      </c>
      <c r="H99" s="214">
        <v>50</v>
      </c>
      <c r="I99" s="215"/>
      <c r="J99" s="216"/>
      <c r="K99" s="213" t="s">
        <v>295</v>
      </c>
      <c r="L99" s="214">
        <v>50</v>
      </c>
      <c r="M99" s="215"/>
      <c r="N99" s="216"/>
      <c r="O99" s="213" t="s">
        <v>295</v>
      </c>
      <c r="P99" s="214">
        <v>50</v>
      </c>
      <c r="Q99" s="233"/>
      <c r="R99" s="234"/>
      <c r="S99" s="213" t="s">
        <v>295</v>
      </c>
      <c r="T99" s="214">
        <v>50</v>
      </c>
      <c r="U99" s="233"/>
      <c r="V99" s="234"/>
      <c r="W99" s="213" t="s">
        <v>295</v>
      </c>
      <c r="X99" s="214">
        <v>50</v>
      </c>
      <c r="Y99" s="233"/>
      <c r="Z99" s="234"/>
      <c r="AA99" s="165"/>
    </row>
    <row r="100" spans="1:28" x14ac:dyDescent="0.2">
      <c r="A100" s="212">
        <v>7</v>
      </c>
      <c r="B100" s="213" t="s">
        <v>1055</v>
      </c>
      <c r="C100" s="213" t="s">
        <v>915</v>
      </c>
      <c r="D100" s="222">
        <v>10</v>
      </c>
      <c r="E100" s="227" t="s">
        <v>914</v>
      </c>
      <c r="F100" s="216">
        <v>0.8</v>
      </c>
      <c r="G100" s="213" t="s">
        <v>915</v>
      </c>
      <c r="H100" s="228">
        <v>50</v>
      </c>
      <c r="I100" s="222" t="s">
        <v>725</v>
      </c>
      <c r="J100" s="223">
        <f>25/50</f>
        <v>0.5</v>
      </c>
      <c r="K100" s="213" t="s">
        <v>915</v>
      </c>
      <c r="L100" s="228">
        <v>50</v>
      </c>
      <c r="M100" s="215"/>
      <c r="N100" s="216"/>
      <c r="O100" s="213" t="s">
        <v>915</v>
      </c>
      <c r="P100" s="228">
        <v>50</v>
      </c>
      <c r="Q100" s="233"/>
      <c r="R100" s="234"/>
      <c r="S100" s="213" t="s">
        <v>915</v>
      </c>
      <c r="T100" s="228">
        <v>50</v>
      </c>
      <c r="U100" s="233"/>
      <c r="V100" s="234"/>
      <c r="W100" s="213" t="s">
        <v>915</v>
      </c>
      <c r="X100" s="228">
        <v>50</v>
      </c>
      <c r="Y100" s="233"/>
      <c r="Z100" s="234"/>
      <c r="AA100" s="165"/>
    </row>
    <row r="101" spans="1:28" x14ac:dyDescent="0.2">
      <c r="A101" s="212">
        <v>8</v>
      </c>
      <c r="B101" s="213" t="s">
        <v>1056</v>
      </c>
      <c r="C101" s="213" t="s">
        <v>295</v>
      </c>
      <c r="D101" s="214">
        <v>50</v>
      </c>
      <c r="E101" s="215" t="s">
        <v>300</v>
      </c>
      <c r="F101" s="216">
        <v>1.1000000000000001</v>
      </c>
      <c r="G101" s="213" t="s">
        <v>295</v>
      </c>
      <c r="H101" s="214">
        <v>50</v>
      </c>
      <c r="I101" s="214"/>
      <c r="J101" s="220"/>
      <c r="K101" s="213" t="s">
        <v>295</v>
      </c>
      <c r="L101" s="214">
        <v>50</v>
      </c>
      <c r="M101" s="215"/>
      <c r="N101" s="216"/>
      <c r="O101" s="213" t="s">
        <v>295</v>
      </c>
      <c r="P101" s="214">
        <v>50</v>
      </c>
      <c r="Q101" s="233"/>
      <c r="R101" s="234"/>
      <c r="S101" s="213" t="s">
        <v>295</v>
      </c>
      <c r="T101" s="214">
        <v>50</v>
      </c>
      <c r="U101" s="233"/>
      <c r="V101" s="234"/>
      <c r="W101" s="213" t="s">
        <v>295</v>
      </c>
      <c r="X101" s="214">
        <v>50</v>
      </c>
      <c r="Y101" s="233"/>
      <c r="Z101" s="234"/>
      <c r="AA101" s="165"/>
    </row>
    <row r="102" spans="1:28" x14ac:dyDescent="0.2">
      <c r="A102" s="212">
        <v>9</v>
      </c>
      <c r="B102" s="213" t="s">
        <v>1057</v>
      </c>
      <c r="C102" s="213" t="s">
        <v>295</v>
      </c>
      <c r="D102" s="214">
        <v>50</v>
      </c>
      <c r="E102" s="214" t="s">
        <v>909</v>
      </c>
      <c r="F102" s="216">
        <v>0.33</v>
      </c>
      <c r="G102" s="213" t="s">
        <v>295</v>
      </c>
      <c r="H102" s="214">
        <v>50</v>
      </c>
      <c r="I102" s="215" t="s">
        <v>1876</v>
      </c>
      <c r="J102" s="220">
        <v>0.2</v>
      </c>
      <c r="K102" s="213" t="s">
        <v>295</v>
      </c>
      <c r="L102" s="214">
        <v>50</v>
      </c>
      <c r="M102" s="215" t="s">
        <v>840</v>
      </c>
      <c r="N102" s="216">
        <v>6</v>
      </c>
      <c r="O102" s="213" t="s">
        <v>295</v>
      </c>
      <c r="P102" s="214">
        <v>50</v>
      </c>
      <c r="Q102" s="233" t="s">
        <v>918</v>
      </c>
      <c r="R102" s="234">
        <v>8</v>
      </c>
      <c r="S102" s="213" t="s">
        <v>295</v>
      </c>
      <c r="T102" s="214">
        <v>50</v>
      </c>
      <c r="U102" s="233"/>
      <c r="V102" s="234"/>
      <c r="W102" s="213" t="s">
        <v>295</v>
      </c>
      <c r="X102" s="214">
        <v>50</v>
      </c>
      <c r="Y102" s="233"/>
      <c r="Z102" s="234"/>
      <c r="AA102" s="165"/>
    </row>
    <row r="103" spans="1:28" x14ac:dyDescent="0.2">
      <c r="A103" s="212">
        <v>10</v>
      </c>
      <c r="B103" s="213" t="s">
        <v>1058</v>
      </c>
      <c r="C103" s="213" t="s">
        <v>295</v>
      </c>
      <c r="D103" s="214">
        <v>50</v>
      </c>
      <c r="E103" s="214" t="s">
        <v>300</v>
      </c>
      <c r="F103" s="220">
        <v>1.45</v>
      </c>
      <c r="G103" s="213" t="s">
        <v>295</v>
      </c>
      <c r="H103" s="214">
        <v>50</v>
      </c>
      <c r="I103" s="215"/>
      <c r="J103" s="220"/>
      <c r="K103" s="213" t="s">
        <v>295</v>
      </c>
      <c r="L103" s="214">
        <v>50</v>
      </c>
      <c r="M103" s="215"/>
      <c r="N103" s="216"/>
      <c r="O103" s="213" t="s">
        <v>295</v>
      </c>
      <c r="P103" s="214">
        <v>50</v>
      </c>
      <c r="Q103" s="233"/>
      <c r="R103" s="234"/>
      <c r="S103" s="213" t="s">
        <v>295</v>
      </c>
      <c r="T103" s="214">
        <v>50</v>
      </c>
      <c r="U103" s="233"/>
      <c r="V103" s="234"/>
      <c r="W103" s="213" t="s">
        <v>295</v>
      </c>
      <c r="X103" s="214">
        <v>50</v>
      </c>
      <c r="Y103" s="233"/>
      <c r="Z103" s="234"/>
      <c r="AA103" s="165"/>
    </row>
    <row r="104" spans="1:28" x14ac:dyDescent="0.2">
      <c r="A104" s="212">
        <v>11</v>
      </c>
      <c r="B104" s="213" t="s">
        <v>1059</v>
      </c>
      <c r="C104" s="213"/>
      <c r="D104" s="214"/>
      <c r="E104" s="214"/>
      <c r="F104" s="220"/>
      <c r="G104" s="213"/>
      <c r="H104" s="214"/>
      <c r="I104" s="215"/>
      <c r="J104" s="216"/>
      <c r="K104" s="213"/>
      <c r="L104" s="214"/>
      <c r="M104" s="215"/>
      <c r="N104" s="216"/>
      <c r="O104" s="213"/>
      <c r="P104" s="214"/>
      <c r="Q104" s="233"/>
      <c r="R104" s="234"/>
      <c r="S104" s="213"/>
      <c r="T104" s="214"/>
      <c r="U104" s="233"/>
      <c r="V104" s="234"/>
      <c r="W104" s="213"/>
      <c r="X104" s="214"/>
      <c r="Y104" s="233"/>
      <c r="Z104" s="234"/>
      <c r="AA104" s="165"/>
    </row>
    <row r="105" spans="1:28" x14ac:dyDescent="0.2">
      <c r="A105" s="212">
        <v>12</v>
      </c>
      <c r="B105" s="213" t="s">
        <v>1060</v>
      </c>
      <c r="C105" s="213" t="s">
        <v>295</v>
      </c>
      <c r="D105" s="214">
        <v>50</v>
      </c>
      <c r="E105" s="214" t="s">
        <v>300</v>
      </c>
      <c r="F105" s="220">
        <v>1.1000000000000001</v>
      </c>
      <c r="G105" s="213" t="s">
        <v>295</v>
      </c>
      <c r="H105" s="214">
        <v>50</v>
      </c>
      <c r="I105" s="215"/>
      <c r="J105" s="216"/>
      <c r="K105" s="213" t="s">
        <v>295</v>
      </c>
      <c r="L105" s="214">
        <v>50</v>
      </c>
      <c r="M105" s="215"/>
      <c r="N105" s="216"/>
      <c r="O105" s="213" t="s">
        <v>295</v>
      </c>
      <c r="P105" s="214">
        <v>50</v>
      </c>
      <c r="Q105" s="233"/>
      <c r="R105" s="234"/>
      <c r="S105" s="213" t="s">
        <v>295</v>
      </c>
      <c r="T105" s="214">
        <v>50</v>
      </c>
      <c r="U105" s="233"/>
      <c r="V105" s="234"/>
      <c r="W105" s="213" t="s">
        <v>295</v>
      </c>
      <c r="X105" s="214">
        <v>50</v>
      </c>
      <c r="Y105" s="233"/>
      <c r="Z105" s="234"/>
      <c r="AA105" s="165"/>
    </row>
    <row r="106" spans="1:28" x14ac:dyDescent="0.2">
      <c r="A106" s="212">
        <v>13</v>
      </c>
      <c r="B106" s="213" t="s">
        <v>1061</v>
      </c>
      <c r="C106" s="213" t="s">
        <v>294</v>
      </c>
      <c r="D106" s="214">
        <v>50</v>
      </c>
      <c r="E106" s="214" t="s">
        <v>917</v>
      </c>
      <c r="F106" s="220">
        <v>1.45</v>
      </c>
      <c r="G106" s="213" t="s">
        <v>294</v>
      </c>
      <c r="H106" s="214">
        <v>50</v>
      </c>
      <c r="I106" s="215"/>
      <c r="J106" s="216"/>
      <c r="K106" s="213" t="s">
        <v>294</v>
      </c>
      <c r="L106" s="214">
        <v>50</v>
      </c>
      <c r="M106" s="215"/>
      <c r="N106" s="216"/>
      <c r="O106" s="213" t="s">
        <v>294</v>
      </c>
      <c r="P106" s="214">
        <v>50</v>
      </c>
      <c r="Q106" s="233"/>
      <c r="R106" s="234"/>
      <c r="S106" s="213" t="s">
        <v>294</v>
      </c>
      <c r="T106" s="214">
        <v>50</v>
      </c>
      <c r="U106" s="233"/>
      <c r="V106" s="234"/>
      <c r="W106" s="213" t="s">
        <v>294</v>
      </c>
      <c r="X106" s="214">
        <v>50</v>
      </c>
      <c r="Y106" s="233"/>
      <c r="Z106" s="234"/>
      <c r="AA106" s="165"/>
    </row>
    <row r="107" spans="1:28" x14ac:dyDescent="0.2">
      <c r="A107" s="212">
        <v>14</v>
      </c>
      <c r="B107" s="213" t="s">
        <v>1062</v>
      </c>
      <c r="C107" s="213"/>
      <c r="D107" s="214"/>
      <c r="E107" s="214"/>
      <c r="F107" s="220"/>
      <c r="G107" s="213"/>
      <c r="H107" s="214"/>
      <c r="I107" s="215"/>
      <c r="J107" s="216"/>
      <c r="K107" s="213"/>
      <c r="L107" s="214"/>
      <c r="M107" s="215"/>
      <c r="N107" s="216"/>
      <c r="O107" s="213"/>
      <c r="P107" s="214"/>
      <c r="Q107" s="233"/>
      <c r="R107" s="234"/>
      <c r="S107" s="213"/>
      <c r="T107" s="214"/>
      <c r="U107" s="233"/>
      <c r="V107" s="234"/>
      <c r="W107" s="213"/>
      <c r="X107" s="214"/>
      <c r="Y107" s="233"/>
      <c r="Z107" s="234"/>
      <c r="AA107" s="165"/>
    </row>
    <row r="108" spans="1:28" x14ac:dyDescent="0.2">
      <c r="A108" s="212">
        <v>15</v>
      </c>
      <c r="B108" s="213" t="s">
        <v>1063</v>
      </c>
      <c r="C108" s="213" t="s">
        <v>295</v>
      </c>
      <c r="D108" s="214">
        <v>50</v>
      </c>
      <c r="E108" s="214" t="s">
        <v>300</v>
      </c>
      <c r="F108" s="220">
        <v>1.1000000000000001</v>
      </c>
      <c r="G108" s="213" t="s">
        <v>295</v>
      </c>
      <c r="H108" s="214">
        <v>50</v>
      </c>
      <c r="I108" s="215"/>
      <c r="J108" s="216"/>
      <c r="K108" s="213" t="s">
        <v>295</v>
      </c>
      <c r="L108" s="214">
        <v>50</v>
      </c>
      <c r="M108" s="215" t="s">
        <v>840</v>
      </c>
      <c r="N108" s="216">
        <v>6</v>
      </c>
      <c r="O108" s="213" t="s">
        <v>295</v>
      </c>
      <c r="P108" s="214">
        <v>50</v>
      </c>
      <c r="Q108" s="233" t="s">
        <v>918</v>
      </c>
      <c r="R108" s="234">
        <v>8</v>
      </c>
      <c r="S108" s="213" t="s">
        <v>295</v>
      </c>
      <c r="T108" s="214">
        <v>50</v>
      </c>
      <c r="U108" s="233"/>
      <c r="V108" s="234"/>
      <c r="W108" s="213" t="s">
        <v>295</v>
      </c>
      <c r="X108" s="214">
        <v>50</v>
      </c>
      <c r="Y108" s="233"/>
      <c r="Z108" s="234"/>
      <c r="AA108" s="165"/>
    </row>
    <row r="109" spans="1:28" x14ac:dyDescent="0.2">
      <c r="A109" s="212">
        <v>16</v>
      </c>
      <c r="B109" s="213" t="s">
        <v>1064</v>
      </c>
      <c r="C109" s="213" t="s">
        <v>915</v>
      </c>
      <c r="D109" s="214">
        <v>7</v>
      </c>
      <c r="E109" s="214" t="s">
        <v>910</v>
      </c>
      <c r="F109" s="220">
        <v>2</v>
      </c>
      <c r="G109" s="213" t="s">
        <v>915</v>
      </c>
      <c r="H109" s="214">
        <v>7</v>
      </c>
      <c r="I109" s="214" t="s">
        <v>11</v>
      </c>
      <c r="J109" s="220">
        <f>0.2</f>
        <v>0.2</v>
      </c>
      <c r="K109" s="213" t="s">
        <v>915</v>
      </c>
      <c r="L109" s="214">
        <v>7</v>
      </c>
      <c r="M109" s="214"/>
      <c r="N109" s="220"/>
      <c r="O109" s="213" t="s">
        <v>915</v>
      </c>
      <c r="P109" s="214">
        <v>7</v>
      </c>
      <c r="Q109" s="233"/>
      <c r="R109" s="234"/>
      <c r="S109" s="213" t="s">
        <v>915</v>
      </c>
      <c r="T109" s="214">
        <v>7</v>
      </c>
      <c r="U109" s="233"/>
      <c r="V109" s="234"/>
      <c r="W109" s="213" t="s">
        <v>915</v>
      </c>
      <c r="X109" s="214">
        <v>7</v>
      </c>
      <c r="Y109" s="233"/>
      <c r="Z109" s="234"/>
      <c r="AA109" s="165"/>
    </row>
    <row r="110" spans="1:28" x14ac:dyDescent="0.2">
      <c r="A110" s="212">
        <v>17</v>
      </c>
      <c r="B110" s="213" t="s">
        <v>1065</v>
      </c>
      <c r="C110" s="213"/>
      <c r="D110" s="214"/>
      <c r="E110" s="214"/>
      <c r="F110" s="220"/>
      <c r="G110" s="213"/>
      <c r="H110" s="214"/>
      <c r="I110" s="214"/>
      <c r="J110" s="220"/>
      <c r="K110" s="213"/>
      <c r="L110" s="214"/>
      <c r="M110" s="214"/>
      <c r="N110" s="220"/>
      <c r="O110" s="213"/>
      <c r="P110" s="214"/>
      <c r="Q110" s="233"/>
      <c r="R110" s="234"/>
      <c r="S110" s="213"/>
      <c r="T110" s="214"/>
      <c r="U110" s="233"/>
      <c r="V110" s="234"/>
      <c r="W110" s="213"/>
      <c r="X110" s="214"/>
      <c r="Y110" s="233"/>
      <c r="Z110" s="234"/>
      <c r="AA110" s="165"/>
    </row>
    <row r="111" spans="1:28" x14ac:dyDescent="0.2">
      <c r="A111" s="212">
        <v>18</v>
      </c>
      <c r="B111" s="213" t="s">
        <v>1066</v>
      </c>
      <c r="C111" s="213" t="s">
        <v>295</v>
      </c>
      <c r="D111" s="214">
        <v>50</v>
      </c>
      <c r="E111" s="214" t="s">
        <v>888</v>
      </c>
      <c r="F111" s="224">
        <v>15</v>
      </c>
      <c r="G111" s="213" t="s">
        <v>295</v>
      </c>
      <c r="H111" s="214">
        <v>50</v>
      </c>
      <c r="I111" s="214"/>
      <c r="J111" s="220"/>
      <c r="K111" s="213" t="s">
        <v>295</v>
      </c>
      <c r="L111" s="214">
        <v>50</v>
      </c>
      <c r="M111" s="214"/>
      <c r="N111" s="220"/>
      <c r="O111" s="213" t="s">
        <v>295</v>
      </c>
      <c r="P111" s="214">
        <v>50</v>
      </c>
      <c r="Q111" s="233"/>
      <c r="R111" s="234"/>
      <c r="S111" s="213" t="s">
        <v>295</v>
      </c>
      <c r="T111" s="214">
        <v>50</v>
      </c>
      <c r="U111" s="233"/>
      <c r="V111" s="234"/>
      <c r="W111" s="213" t="s">
        <v>295</v>
      </c>
      <c r="X111" s="214">
        <v>50</v>
      </c>
      <c r="Y111" s="233"/>
      <c r="Z111" s="234"/>
      <c r="AA111" s="165"/>
      <c r="AB111" s="117" t="s">
        <v>974</v>
      </c>
    </row>
    <row r="112" spans="1:28" x14ac:dyDescent="0.2">
      <c r="A112" s="212">
        <v>19</v>
      </c>
      <c r="B112" s="213" t="s">
        <v>1067</v>
      </c>
      <c r="C112" s="213"/>
      <c r="D112" s="214"/>
      <c r="E112" s="214"/>
      <c r="F112" s="220"/>
      <c r="G112" s="213"/>
      <c r="H112" s="214"/>
      <c r="I112" s="214"/>
      <c r="J112" s="220"/>
      <c r="K112" s="213"/>
      <c r="L112" s="214"/>
      <c r="M112" s="214"/>
      <c r="N112" s="220"/>
      <c r="O112" s="213"/>
      <c r="P112" s="214"/>
      <c r="Q112" s="233"/>
      <c r="R112" s="234"/>
      <c r="S112" s="213"/>
      <c r="T112" s="214"/>
      <c r="U112" s="233"/>
      <c r="V112" s="234"/>
      <c r="W112" s="213"/>
      <c r="X112" s="214"/>
      <c r="Y112" s="233"/>
      <c r="Z112" s="234"/>
      <c r="AA112" s="165"/>
    </row>
    <row r="113" spans="1:34" x14ac:dyDescent="0.2">
      <c r="A113" s="212">
        <v>20</v>
      </c>
      <c r="B113" s="213" t="s">
        <v>1068</v>
      </c>
      <c r="C113" s="213"/>
      <c r="D113" s="214"/>
      <c r="E113" s="214"/>
      <c r="F113" s="220"/>
      <c r="G113" s="213"/>
      <c r="H113" s="214"/>
      <c r="I113" s="214"/>
      <c r="J113" s="220"/>
      <c r="K113" s="213"/>
      <c r="L113" s="214"/>
      <c r="M113" s="214"/>
      <c r="N113" s="220"/>
      <c r="O113" s="213"/>
      <c r="P113" s="214"/>
      <c r="Q113" s="233"/>
      <c r="R113" s="234"/>
      <c r="S113" s="213"/>
      <c r="T113" s="214"/>
      <c r="U113" s="233"/>
      <c r="V113" s="234"/>
      <c r="W113" s="213"/>
      <c r="X113" s="214"/>
      <c r="Y113" s="233"/>
      <c r="Z113" s="234"/>
      <c r="AA113" s="165"/>
    </row>
    <row r="114" spans="1:34" ht="13.5" thickBot="1" x14ac:dyDescent="0.25">
      <c r="B114" s="197" t="s">
        <v>981</v>
      </c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spans="1:34" s="157" customFormat="1" ht="34.5" thickBot="1" x14ac:dyDescent="0.25">
      <c r="A115" s="201" t="s">
        <v>292</v>
      </c>
      <c r="B115" s="202" t="s">
        <v>293</v>
      </c>
      <c r="C115" s="203" t="s">
        <v>1195</v>
      </c>
      <c r="D115" s="204" t="s">
        <v>1203</v>
      </c>
      <c r="E115" s="205" t="s">
        <v>4</v>
      </c>
      <c r="F115" s="206" t="s">
        <v>1202</v>
      </c>
      <c r="G115" s="203" t="s">
        <v>1196</v>
      </c>
      <c r="H115" s="204" t="s">
        <v>1204</v>
      </c>
      <c r="I115" s="207" t="s">
        <v>5</v>
      </c>
      <c r="J115" s="205" t="s">
        <v>1209</v>
      </c>
      <c r="K115" s="203" t="s">
        <v>1197</v>
      </c>
      <c r="L115" s="204" t="s">
        <v>1205</v>
      </c>
      <c r="M115" s="205" t="s">
        <v>6</v>
      </c>
      <c r="N115" s="206" t="s">
        <v>1217</v>
      </c>
      <c r="O115" s="203" t="s">
        <v>1198</v>
      </c>
      <c r="P115" s="204" t="s">
        <v>1206</v>
      </c>
      <c r="Q115" s="205" t="s">
        <v>7</v>
      </c>
      <c r="R115" s="206" t="s">
        <v>963</v>
      </c>
      <c r="S115" s="203" t="s">
        <v>1199</v>
      </c>
      <c r="T115" s="204" t="s">
        <v>1207</v>
      </c>
      <c r="U115" s="208" t="s">
        <v>8</v>
      </c>
      <c r="V115" s="209" t="s">
        <v>921</v>
      </c>
      <c r="W115" s="203" t="s">
        <v>1200</v>
      </c>
      <c r="X115" s="204" t="s">
        <v>1208</v>
      </c>
      <c r="Y115" s="205" t="s">
        <v>13</v>
      </c>
      <c r="Z115" s="206" t="s">
        <v>1210</v>
      </c>
      <c r="AA115" s="156" t="s">
        <v>1201</v>
      </c>
      <c r="AB115" s="117"/>
      <c r="AC115" s="117"/>
      <c r="AD115" s="117"/>
      <c r="AE115" s="117"/>
      <c r="AF115" s="117"/>
      <c r="AG115" s="117"/>
      <c r="AH115" s="117"/>
    </row>
    <row r="116" spans="1:34" x14ac:dyDescent="0.2">
      <c r="A116" s="212">
        <v>1</v>
      </c>
      <c r="B116" s="213" t="s">
        <v>1089</v>
      </c>
      <c r="C116" s="213" t="s">
        <v>915</v>
      </c>
      <c r="D116" s="214">
        <v>7</v>
      </c>
      <c r="E116" s="214" t="s">
        <v>910</v>
      </c>
      <c r="F116" s="220">
        <v>2</v>
      </c>
      <c r="G116" s="213" t="s">
        <v>915</v>
      </c>
      <c r="H116" s="214">
        <v>7</v>
      </c>
      <c r="I116" s="215" t="s">
        <v>507</v>
      </c>
      <c r="J116" s="216">
        <v>2</v>
      </c>
      <c r="K116" s="213" t="s">
        <v>915</v>
      </c>
      <c r="L116" s="214">
        <v>7</v>
      </c>
      <c r="M116" s="214"/>
      <c r="N116" s="220"/>
      <c r="O116" s="213" t="s">
        <v>915</v>
      </c>
      <c r="P116" s="214">
        <v>7</v>
      </c>
      <c r="Q116" s="233"/>
      <c r="R116" s="234"/>
      <c r="S116" s="213" t="s">
        <v>915</v>
      </c>
      <c r="T116" s="214">
        <v>7</v>
      </c>
      <c r="U116" s="233"/>
      <c r="V116" s="234"/>
      <c r="W116" s="213" t="s">
        <v>915</v>
      </c>
      <c r="X116" s="214">
        <v>7</v>
      </c>
      <c r="Y116" s="233"/>
      <c r="Z116" s="234"/>
      <c r="AA116" s="165"/>
      <c r="AB116" s="117" t="s">
        <v>975</v>
      </c>
    </row>
    <row r="117" spans="1:34" x14ac:dyDescent="0.2">
      <c r="A117" s="212">
        <v>2</v>
      </c>
      <c r="B117" s="213" t="s">
        <v>1090</v>
      </c>
      <c r="C117" s="213" t="s">
        <v>915</v>
      </c>
      <c r="D117" s="214">
        <v>15</v>
      </c>
      <c r="E117" s="214" t="s">
        <v>214</v>
      </c>
      <c r="F117" s="220">
        <v>2</v>
      </c>
      <c r="G117" s="213" t="s">
        <v>915</v>
      </c>
      <c r="H117" s="214">
        <v>15</v>
      </c>
      <c r="I117" s="215"/>
      <c r="J117" s="216"/>
      <c r="K117" s="213" t="s">
        <v>915</v>
      </c>
      <c r="L117" s="214">
        <v>15</v>
      </c>
      <c r="M117" s="214"/>
      <c r="N117" s="220"/>
      <c r="O117" s="213" t="s">
        <v>915</v>
      </c>
      <c r="P117" s="214">
        <v>15</v>
      </c>
      <c r="Q117" s="233"/>
      <c r="R117" s="234"/>
      <c r="S117" s="213" t="s">
        <v>915</v>
      </c>
      <c r="T117" s="214">
        <v>15</v>
      </c>
      <c r="U117" s="233"/>
      <c r="V117" s="234"/>
      <c r="W117" s="213" t="s">
        <v>915</v>
      </c>
      <c r="X117" s="214">
        <v>15</v>
      </c>
      <c r="Y117" s="233"/>
      <c r="Z117" s="234"/>
      <c r="AA117" s="165"/>
    </row>
    <row r="118" spans="1:34" x14ac:dyDescent="0.2">
      <c r="A118" s="212">
        <v>3</v>
      </c>
      <c r="B118" s="213" t="s">
        <v>1091</v>
      </c>
      <c r="C118" s="213" t="s">
        <v>295</v>
      </c>
      <c r="D118" s="214">
        <v>50</v>
      </c>
      <c r="E118" s="214" t="s">
        <v>909</v>
      </c>
      <c r="F118" s="220">
        <v>0.33</v>
      </c>
      <c r="G118" s="213" t="s">
        <v>295</v>
      </c>
      <c r="H118" s="214">
        <v>50</v>
      </c>
      <c r="I118" s="215" t="s">
        <v>1876</v>
      </c>
      <c r="J118" s="220">
        <v>0.2</v>
      </c>
      <c r="K118" s="213" t="s">
        <v>295</v>
      </c>
      <c r="L118" s="214">
        <v>50</v>
      </c>
      <c r="M118" s="214"/>
      <c r="N118" s="220"/>
      <c r="O118" s="213" t="s">
        <v>295</v>
      </c>
      <c r="P118" s="214">
        <v>50</v>
      </c>
      <c r="Q118" s="233"/>
      <c r="R118" s="234"/>
      <c r="S118" s="213" t="s">
        <v>295</v>
      </c>
      <c r="T118" s="214">
        <v>50</v>
      </c>
      <c r="U118" s="233" t="s">
        <v>839</v>
      </c>
      <c r="V118" s="234">
        <v>1</v>
      </c>
      <c r="W118" s="213" t="s">
        <v>295</v>
      </c>
      <c r="X118" s="214">
        <v>50</v>
      </c>
      <c r="Y118" s="233"/>
      <c r="Z118" s="234"/>
      <c r="AA118" s="165"/>
    </row>
    <row r="119" spans="1:34" x14ac:dyDescent="0.2">
      <c r="A119" s="212">
        <v>4</v>
      </c>
      <c r="B119" s="213" t="s">
        <v>1092</v>
      </c>
      <c r="C119" s="213" t="s">
        <v>294</v>
      </c>
      <c r="D119" s="214">
        <v>50</v>
      </c>
      <c r="E119" s="215" t="s">
        <v>912</v>
      </c>
      <c r="F119" s="221">
        <v>2.5</v>
      </c>
      <c r="G119" s="213" t="s">
        <v>294</v>
      </c>
      <c r="H119" s="214">
        <v>50</v>
      </c>
      <c r="I119" s="214"/>
      <c r="J119" s="220"/>
      <c r="K119" s="213" t="s">
        <v>294</v>
      </c>
      <c r="L119" s="214">
        <v>50</v>
      </c>
      <c r="M119" s="215" t="s">
        <v>840</v>
      </c>
      <c r="N119" s="216">
        <v>6</v>
      </c>
      <c r="O119" s="213" t="s">
        <v>294</v>
      </c>
      <c r="P119" s="214">
        <v>50</v>
      </c>
      <c r="Q119" s="233" t="s">
        <v>918</v>
      </c>
      <c r="R119" s="234">
        <v>8</v>
      </c>
      <c r="S119" s="213" t="s">
        <v>294</v>
      </c>
      <c r="T119" s="214">
        <v>50</v>
      </c>
      <c r="U119" s="233" t="s">
        <v>839</v>
      </c>
      <c r="V119" s="234">
        <v>1</v>
      </c>
      <c r="W119" s="213" t="s">
        <v>294</v>
      </c>
      <c r="X119" s="214">
        <v>50</v>
      </c>
      <c r="Y119" s="233"/>
      <c r="Z119" s="234"/>
      <c r="AA119" s="165"/>
      <c r="AB119" s="117" t="s">
        <v>977</v>
      </c>
    </row>
    <row r="120" spans="1:34" x14ac:dyDescent="0.2">
      <c r="A120" s="212">
        <v>5</v>
      </c>
      <c r="B120" s="213" t="s">
        <v>1093</v>
      </c>
      <c r="C120" s="213" t="s">
        <v>915</v>
      </c>
      <c r="D120" s="214">
        <v>15</v>
      </c>
      <c r="E120" s="215" t="s">
        <v>224</v>
      </c>
      <c r="F120" s="216">
        <v>2</v>
      </c>
      <c r="G120" s="213" t="s">
        <v>915</v>
      </c>
      <c r="H120" s="214">
        <v>15</v>
      </c>
      <c r="I120" s="214"/>
      <c r="J120" s="220"/>
      <c r="K120" s="213" t="s">
        <v>915</v>
      </c>
      <c r="L120" s="214">
        <v>15</v>
      </c>
      <c r="M120" s="215"/>
      <c r="N120" s="216"/>
      <c r="O120" s="213" t="s">
        <v>915</v>
      </c>
      <c r="P120" s="214">
        <v>15</v>
      </c>
      <c r="Q120" s="233"/>
      <c r="R120" s="234"/>
      <c r="S120" s="213" t="s">
        <v>915</v>
      </c>
      <c r="T120" s="214">
        <v>15</v>
      </c>
      <c r="U120" s="233"/>
      <c r="V120" s="234"/>
      <c r="W120" s="213" t="s">
        <v>915</v>
      </c>
      <c r="X120" s="214">
        <v>15</v>
      </c>
      <c r="Y120" s="233"/>
      <c r="Z120" s="234"/>
      <c r="AA120" s="165"/>
    </row>
    <row r="121" spans="1:34" x14ac:dyDescent="0.2">
      <c r="A121" s="212">
        <v>6</v>
      </c>
      <c r="B121" s="213" t="s">
        <v>1094</v>
      </c>
      <c r="C121" s="213" t="s">
        <v>295</v>
      </c>
      <c r="D121" s="214">
        <v>50</v>
      </c>
      <c r="E121" s="215" t="s">
        <v>300</v>
      </c>
      <c r="F121" s="216">
        <v>1.1000000000000001</v>
      </c>
      <c r="G121" s="213" t="s">
        <v>295</v>
      </c>
      <c r="H121" s="214">
        <v>50</v>
      </c>
      <c r="I121" s="215"/>
      <c r="J121" s="216"/>
      <c r="K121" s="213" t="s">
        <v>295</v>
      </c>
      <c r="L121" s="214">
        <v>50</v>
      </c>
      <c r="M121" s="215"/>
      <c r="N121" s="216"/>
      <c r="O121" s="213" t="s">
        <v>295</v>
      </c>
      <c r="P121" s="214">
        <v>50</v>
      </c>
      <c r="Q121" s="233"/>
      <c r="R121" s="234"/>
      <c r="S121" s="213" t="s">
        <v>295</v>
      </c>
      <c r="T121" s="214">
        <v>50</v>
      </c>
      <c r="U121" s="233"/>
      <c r="V121" s="234"/>
      <c r="W121" s="213" t="s">
        <v>295</v>
      </c>
      <c r="X121" s="214">
        <v>50</v>
      </c>
      <c r="Y121" s="233"/>
      <c r="Z121" s="234"/>
      <c r="AA121" s="165"/>
    </row>
    <row r="122" spans="1:34" x14ac:dyDescent="0.2">
      <c r="A122" s="212">
        <v>7</v>
      </c>
      <c r="B122" s="213" t="s">
        <v>1095</v>
      </c>
      <c r="C122" s="213" t="s">
        <v>915</v>
      </c>
      <c r="D122" s="222">
        <v>10</v>
      </c>
      <c r="E122" s="227" t="s">
        <v>914</v>
      </c>
      <c r="F122" s="216">
        <v>0.8</v>
      </c>
      <c r="G122" s="213" t="s">
        <v>915</v>
      </c>
      <c r="H122" s="228">
        <v>50</v>
      </c>
      <c r="I122" s="222" t="s">
        <v>725</v>
      </c>
      <c r="J122" s="223">
        <f>25/50</f>
        <v>0.5</v>
      </c>
      <c r="K122" s="213" t="s">
        <v>915</v>
      </c>
      <c r="L122" s="228">
        <v>50</v>
      </c>
      <c r="M122" s="215"/>
      <c r="N122" s="216"/>
      <c r="O122" s="213" t="s">
        <v>915</v>
      </c>
      <c r="P122" s="228">
        <v>50</v>
      </c>
      <c r="Q122" s="233"/>
      <c r="R122" s="234"/>
      <c r="S122" s="213" t="s">
        <v>915</v>
      </c>
      <c r="T122" s="228">
        <v>50</v>
      </c>
      <c r="U122" s="233"/>
      <c r="V122" s="234"/>
      <c r="W122" s="213" t="s">
        <v>915</v>
      </c>
      <c r="X122" s="228">
        <v>50</v>
      </c>
      <c r="Y122" s="233"/>
      <c r="Z122" s="234"/>
      <c r="AA122" s="165"/>
    </row>
    <row r="123" spans="1:34" x14ac:dyDescent="0.2">
      <c r="A123" s="212">
        <v>8</v>
      </c>
      <c r="B123" s="213" t="s">
        <v>1096</v>
      </c>
      <c r="C123" s="213" t="s">
        <v>295</v>
      </c>
      <c r="D123" s="214">
        <v>50</v>
      </c>
      <c r="E123" s="215" t="s">
        <v>300</v>
      </c>
      <c r="F123" s="216">
        <v>1.1000000000000001</v>
      </c>
      <c r="G123" s="213" t="s">
        <v>295</v>
      </c>
      <c r="H123" s="214">
        <v>50</v>
      </c>
      <c r="I123" s="214"/>
      <c r="J123" s="220"/>
      <c r="K123" s="213" t="s">
        <v>295</v>
      </c>
      <c r="L123" s="214">
        <v>50</v>
      </c>
      <c r="M123" s="215"/>
      <c r="N123" s="216"/>
      <c r="O123" s="213" t="s">
        <v>295</v>
      </c>
      <c r="P123" s="214">
        <v>50</v>
      </c>
      <c r="Q123" s="233"/>
      <c r="R123" s="234"/>
      <c r="S123" s="213" t="s">
        <v>295</v>
      </c>
      <c r="T123" s="214">
        <v>50</v>
      </c>
      <c r="U123" s="233"/>
      <c r="V123" s="234"/>
      <c r="W123" s="213" t="s">
        <v>295</v>
      </c>
      <c r="X123" s="214">
        <v>50</v>
      </c>
      <c r="Y123" s="233"/>
      <c r="Z123" s="234"/>
      <c r="AA123" s="165"/>
    </row>
    <row r="124" spans="1:34" x14ac:dyDescent="0.2">
      <c r="A124" s="212">
        <v>9</v>
      </c>
      <c r="B124" s="213" t="s">
        <v>1097</v>
      </c>
      <c r="C124" s="213" t="s">
        <v>295</v>
      </c>
      <c r="D124" s="214">
        <v>50</v>
      </c>
      <c r="E124" s="214" t="s">
        <v>909</v>
      </c>
      <c r="F124" s="216">
        <v>0.33</v>
      </c>
      <c r="G124" s="213" t="s">
        <v>295</v>
      </c>
      <c r="H124" s="214">
        <v>50</v>
      </c>
      <c r="I124" s="215" t="s">
        <v>1876</v>
      </c>
      <c r="J124" s="220">
        <v>0.2</v>
      </c>
      <c r="K124" s="213" t="s">
        <v>295</v>
      </c>
      <c r="L124" s="214">
        <v>50</v>
      </c>
      <c r="M124" s="215" t="s">
        <v>840</v>
      </c>
      <c r="N124" s="216">
        <v>6</v>
      </c>
      <c r="O124" s="213" t="s">
        <v>295</v>
      </c>
      <c r="P124" s="214">
        <v>50</v>
      </c>
      <c r="Q124" s="233" t="s">
        <v>918</v>
      </c>
      <c r="R124" s="234">
        <v>8</v>
      </c>
      <c r="S124" s="213" t="s">
        <v>295</v>
      </c>
      <c r="T124" s="214">
        <v>50</v>
      </c>
      <c r="U124" s="233"/>
      <c r="V124" s="234"/>
      <c r="W124" s="213" t="s">
        <v>295</v>
      </c>
      <c r="X124" s="214">
        <v>50</v>
      </c>
      <c r="Y124" s="233"/>
      <c r="Z124" s="234"/>
      <c r="AA124" s="165"/>
    </row>
    <row r="125" spans="1:34" x14ac:dyDescent="0.2">
      <c r="A125" s="212">
        <v>10</v>
      </c>
      <c r="B125" s="213" t="s">
        <v>1098</v>
      </c>
      <c r="C125" s="213" t="s">
        <v>295</v>
      </c>
      <c r="D125" s="214">
        <v>50</v>
      </c>
      <c r="E125" s="214" t="s">
        <v>300</v>
      </c>
      <c r="F125" s="220">
        <v>1.45</v>
      </c>
      <c r="G125" s="213" t="s">
        <v>295</v>
      </c>
      <c r="H125" s="214">
        <v>50</v>
      </c>
      <c r="I125" s="215"/>
      <c r="J125" s="220"/>
      <c r="K125" s="213" t="s">
        <v>295</v>
      </c>
      <c r="L125" s="214">
        <v>50</v>
      </c>
      <c r="M125" s="215"/>
      <c r="N125" s="216"/>
      <c r="O125" s="213" t="s">
        <v>295</v>
      </c>
      <c r="P125" s="214">
        <v>50</v>
      </c>
      <c r="Q125" s="233"/>
      <c r="R125" s="234"/>
      <c r="S125" s="213" t="s">
        <v>295</v>
      </c>
      <c r="T125" s="214">
        <v>50</v>
      </c>
      <c r="U125" s="233"/>
      <c r="V125" s="234"/>
      <c r="W125" s="213" t="s">
        <v>295</v>
      </c>
      <c r="X125" s="214">
        <v>50</v>
      </c>
      <c r="Y125" s="233"/>
      <c r="Z125" s="234"/>
      <c r="AA125" s="165"/>
    </row>
    <row r="126" spans="1:34" x14ac:dyDescent="0.2">
      <c r="A126" s="212">
        <v>11</v>
      </c>
      <c r="B126" s="213" t="s">
        <v>1099</v>
      </c>
      <c r="C126" s="213"/>
      <c r="D126" s="214"/>
      <c r="E126" s="214"/>
      <c r="F126" s="220"/>
      <c r="G126" s="213"/>
      <c r="H126" s="214"/>
      <c r="I126" s="215"/>
      <c r="J126" s="216"/>
      <c r="K126" s="213"/>
      <c r="L126" s="214"/>
      <c r="M126" s="215"/>
      <c r="N126" s="216"/>
      <c r="O126" s="213"/>
      <c r="P126" s="214"/>
      <c r="Q126" s="233"/>
      <c r="R126" s="234"/>
      <c r="S126" s="213"/>
      <c r="T126" s="214"/>
      <c r="U126" s="233"/>
      <c r="V126" s="234"/>
      <c r="W126" s="213"/>
      <c r="X126" s="214"/>
      <c r="Y126" s="233"/>
      <c r="Z126" s="234"/>
      <c r="AA126" s="165"/>
    </row>
    <row r="127" spans="1:34" x14ac:dyDescent="0.2">
      <c r="A127" s="212">
        <v>12</v>
      </c>
      <c r="B127" s="213" t="s">
        <v>1100</v>
      </c>
      <c r="C127" s="213" t="s">
        <v>295</v>
      </c>
      <c r="D127" s="214">
        <v>50</v>
      </c>
      <c r="E127" s="214" t="s">
        <v>300</v>
      </c>
      <c r="F127" s="220">
        <v>1.1000000000000001</v>
      </c>
      <c r="G127" s="213" t="s">
        <v>295</v>
      </c>
      <c r="H127" s="214">
        <v>50</v>
      </c>
      <c r="I127" s="215"/>
      <c r="J127" s="216"/>
      <c r="K127" s="213" t="s">
        <v>295</v>
      </c>
      <c r="L127" s="214">
        <v>50</v>
      </c>
      <c r="M127" s="215"/>
      <c r="N127" s="216"/>
      <c r="O127" s="213" t="s">
        <v>295</v>
      </c>
      <c r="P127" s="214">
        <v>50</v>
      </c>
      <c r="Q127" s="233"/>
      <c r="R127" s="234"/>
      <c r="S127" s="213" t="s">
        <v>295</v>
      </c>
      <c r="T127" s="214">
        <v>50</v>
      </c>
      <c r="U127" s="233"/>
      <c r="V127" s="234"/>
      <c r="W127" s="213" t="s">
        <v>295</v>
      </c>
      <c r="X127" s="214">
        <v>50</v>
      </c>
      <c r="Y127" s="233"/>
      <c r="Z127" s="234"/>
      <c r="AA127" s="165"/>
    </row>
    <row r="128" spans="1:34" x14ac:dyDescent="0.2">
      <c r="A128" s="212">
        <v>13</v>
      </c>
      <c r="B128" s="213" t="s">
        <v>1101</v>
      </c>
      <c r="C128" s="213" t="s">
        <v>294</v>
      </c>
      <c r="D128" s="214">
        <v>50</v>
      </c>
      <c r="E128" s="214" t="s">
        <v>917</v>
      </c>
      <c r="F128" s="220">
        <v>1.45</v>
      </c>
      <c r="G128" s="213" t="s">
        <v>294</v>
      </c>
      <c r="H128" s="214">
        <v>50</v>
      </c>
      <c r="I128" s="215"/>
      <c r="J128" s="216"/>
      <c r="K128" s="213" t="s">
        <v>294</v>
      </c>
      <c r="L128" s="214">
        <v>50</v>
      </c>
      <c r="M128" s="215"/>
      <c r="N128" s="216"/>
      <c r="O128" s="213" t="s">
        <v>294</v>
      </c>
      <c r="P128" s="214">
        <v>50</v>
      </c>
      <c r="Q128" s="233"/>
      <c r="R128" s="234"/>
      <c r="S128" s="213" t="s">
        <v>294</v>
      </c>
      <c r="T128" s="214">
        <v>50</v>
      </c>
      <c r="U128" s="233"/>
      <c r="V128" s="234"/>
      <c r="W128" s="213" t="s">
        <v>294</v>
      </c>
      <c r="X128" s="214">
        <v>50</v>
      </c>
      <c r="Y128" s="233"/>
      <c r="Z128" s="234"/>
      <c r="AA128" s="165"/>
    </row>
    <row r="129" spans="1:34" x14ac:dyDescent="0.2">
      <c r="A129" s="212">
        <v>14</v>
      </c>
      <c r="B129" s="213" t="s">
        <v>1102</v>
      </c>
      <c r="C129" s="213"/>
      <c r="D129" s="214"/>
      <c r="E129" s="214"/>
      <c r="F129" s="220"/>
      <c r="G129" s="213"/>
      <c r="H129" s="214"/>
      <c r="I129" s="215"/>
      <c r="J129" s="216"/>
      <c r="K129" s="213"/>
      <c r="L129" s="214"/>
      <c r="M129" s="215"/>
      <c r="N129" s="216"/>
      <c r="O129" s="213"/>
      <c r="P129" s="214"/>
      <c r="Q129" s="233"/>
      <c r="R129" s="234"/>
      <c r="S129" s="213"/>
      <c r="T129" s="214"/>
      <c r="U129" s="233"/>
      <c r="V129" s="234"/>
      <c r="W129" s="213"/>
      <c r="X129" s="214"/>
      <c r="Y129" s="233"/>
      <c r="Z129" s="234"/>
      <c r="AA129" s="165"/>
    </row>
    <row r="130" spans="1:34" x14ac:dyDescent="0.2">
      <c r="A130" s="212">
        <v>15</v>
      </c>
      <c r="B130" s="213" t="s">
        <v>1103</v>
      </c>
      <c r="C130" s="213" t="s">
        <v>295</v>
      </c>
      <c r="D130" s="214">
        <v>50</v>
      </c>
      <c r="E130" s="214" t="s">
        <v>300</v>
      </c>
      <c r="F130" s="220">
        <v>1.1000000000000001</v>
      </c>
      <c r="G130" s="213" t="s">
        <v>295</v>
      </c>
      <c r="H130" s="214">
        <v>50</v>
      </c>
      <c r="I130" s="215"/>
      <c r="J130" s="216"/>
      <c r="K130" s="213" t="s">
        <v>295</v>
      </c>
      <c r="L130" s="214">
        <v>50</v>
      </c>
      <c r="M130" s="215" t="s">
        <v>840</v>
      </c>
      <c r="N130" s="216">
        <v>6</v>
      </c>
      <c r="O130" s="213" t="s">
        <v>295</v>
      </c>
      <c r="P130" s="214">
        <v>50</v>
      </c>
      <c r="Q130" s="233" t="s">
        <v>918</v>
      </c>
      <c r="R130" s="234">
        <v>8</v>
      </c>
      <c r="S130" s="213" t="s">
        <v>295</v>
      </c>
      <c r="T130" s="214">
        <v>50</v>
      </c>
      <c r="U130" s="233"/>
      <c r="V130" s="234"/>
      <c r="W130" s="213" t="s">
        <v>295</v>
      </c>
      <c r="X130" s="214">
        <v>50</v>
      </c>
      <c r="Y130" s="233"/>
      <c r="Z130" s="234"/>
      <c r="AA130" s="165"/>
    </row>
    <row r="131" spans="1:34" x14ac:dyDescent="0.2">
      <c r="A131" s="212">
        <v>16</v>
      </c>
      <c r="B131" s="213" t="s">
        <v>1104</v>
      </c>
      <c r="C131" s="213" t="s">
        <v>915</v>
      </c>
      <c r="D131" s="214">
        <v>7</v>
      </c>
      <c r="E131" s="214" t="s">
        <v>910</v>
      </c>
      <c r="F131" s="220">
        <v>2</v>
      </c>
      <c r="G131" s="213" t="s">
        <v>915</v>
      </c>
      <c r="H131" s="214">
        <v>7</v>
      </c>
      <c r="I131" s="214" t="s">
        <v>11</v>
      </c>
      <c r="J131" s="220">
        <f>0.2</f>
        <v>0.2</v>
      </c>
      <c r="K131" s="213" t="s">
        <v>915</v>
      </c>
      <c r="L131" s="214">
        <v>7</v>
      </c>
      <c r="M131" s="214"/>
      <c r="N131" s="220"/>
      <c r="O131" s="213" t="s">
        <v>915</v>
      </c>
      <c r="P131" s="214">
        <v>7</v>
      </c>
      <c r="Q131" s="233"/>
      <c r="R131" s="234"/>
      <c r="S131" s="213" t="s">
        <v>915</v>
      </c>
      <c r="T131" s="214">
        <v>7</v>
      </c>
      <c r="U131" s="233"/>
      <c r="V131" s="234"/>
      <c r="W131" s="213" t="s">
        <v>915</v>
      </c>
      <c r="X131" s="214">
        <v>7</v>
      </c>
      <c r="Y131" s="233"/>
      <c r="Z131" s="234"/>
      <c r="AA131" s="165"/>
    </row>
    <row r="132" spans="1:34" x14ac:dyDescent="0.2">
      <c r="A132" s="212">
        <v>17</v>
      </c>
      <c r="B132" s="213" t="s">
        <v>1105</v>
      </c>
      <c r="C132" s="213"/>
      <c r="D132" s="214"/>
      <c r="E132" s="214"/>
      <c r="F132" s="220"/>
      <c r="G132" s="213"/>
      <c r="H132" s="214"/>
      <c r="I132" s="214"/>
      <c r="J132" s="220"/>
      <c r="K132" s="213"/>
      <c r="L132" s="214"/>
      <c r="M132" s="214"/>
      <c r="N132" s="220"/>
      <c r="O132" s="213"/>
      <c r="P132" s="214"/>
      <c r="Q132" s="233"/>
      <c r="R132" s="234"/>
      <c r="S132" s="213"/>
      <c r="T132" s="214"/>
      <c r="U132" s="233"/>
      <c r="V132" s="234"/>
      <c r="W132" s="213"/>
      <c r="X132" s="214"/>
      <c r="Y132" s="233"/>
      <c r="Z132" s="234"/>
      <c r="AA132" s="165"/>
    </row>
    <row r="133" spans="1:34" x14ac:dyDescent="0.2">
      <c r="A133" s="212">
        <v>18</v>
      </c>
      <c r="B133" s="213" t="s">
        <v>1106</v>
      </c>
      <c r="C133" s="213" t="s">
        <v>295</v>
      </c>
      <c r="D133" s="214">
        <v>50</v>
      </c>
      <c r="E133" s="214" t="s">
        <v>888</v>
      </c>
      <c r="F133" s="224">
        <v>15</v>
      </c>
      <c r="G133" s="213" t="s">
        <v>295</v>
      </c>
      <c r="H133" s="214">
        <v>50</v>
      </c>
      <c r="I133" s="214"/>
      <c r="J133" s="220"/>
      <c r="K133" s="213" t="s">
        <v>295</v>
      </c>
      <c r="L133" s="214">
        <v>50</v>
      </c>
      <c r="M133" s="214"/>
      <c r="N133" s="220"/>
      <c r="O133" s="213" t="s">
        <v>295</v>
      </c>
      <c r="P133" s="214">
        <v>50</v>
      </c>
      <c r="Q133" s="233"/>
      <c r="R133" s="234"/>
      <c r="S133" s="213" t="s">
        <v>295</v>
      </c>
      <c r="T133" s="214">
        <v>50</v>
      </c>
      <c r="U133" s="233"/>
      <c r="V133" s="234"/>
      <c r="W133" s="213" t="s">
        <v>295</v>
      </c>
      <c r="X133" s="214">
        <v>50</v>
      </c>
      <c r="Y133" s="233"/>
      <c r="Z133" s="234"/>
      <c r="AA133" s="165"/>
      <c r="AB133" s="117" t="s">
        <v>974</v>
      </c>
    </row>
    <row r="134" spans="1:34" x14ac:dyDescent="0.2">
      <c r="A134" s="212">
        <v>19</v>
      </c>
      <c r="B134" s="213" t="s">
        <v>1107</v>
      </c>
      <c r="C134" s="213"/>
      <c r="D134" s="214"/>
      <c r="E134" s="214"/>
      <c r="F134" s="220"/>
      <c r="G134" s="213"/>
      <c r="H134" s="214"/>
      <c r="I134" s="214"/>
      <c r="J134" s="220"/>
      <c r="K134" s="213"/>
      <c r="L134" s="214"/>
      <c r="M134" s="214"/>
      <c r="N134" s="220"/>
      <c r="O134" s="213"/>
      <c r="P134" s="214"/>
      <c r="Q134" s="233"/>
      <c r="R134" s="234"/>
      <c r="S134" s="213"/>
      <c r="T134" s="214"/>
      <c r="U134" s="233"/>
      <c r="V134" s="234"/>
      <c r="W134" s="213"/>
      <c r="X134" s="214"/>
      <c r="Y134" s="233"/>
      <c r="Z134" s="234"/>
      <c r="AA134" s="165"/>
    </row>
    <row r="135" spans="1:34" x14ac:dyDescent="0.2">
      <c r="A135" s="212">
        <v>20</v>
      </c>
      <c r="B135" s="213" t="s">
        <v>1108</v>
      </c>
      <c r="C135" s="213"/>
      <c r="D135" s="214"/>
      <c r="E135" s="214"/>
      <c r="F135" s="220"/>
      <c r="G135" s="213"/>
      <c r="H135" s="214"/>
      <c r="I135" s="214"/>
      <c r="J135" s="220"/>
      <c r="K135" s="213"/>
      <c r="L135" s="214"/>
      <c r="M135" s="214"/>
      <c r="N135" s="220"/>
      <c r="O135" s="213"/>
      <c r="P135" s="214"/>
      <c r="Q135" s="233"/>
      <c r="R135" s="234"/>
      <c r="S135" s="213"/>
      <c r="T135" s="214"/>
      <c r="U135" s="233"/>
      <c r="V135" s="234"/>
      <c r="W135" s="213"/>
      <c r="X135" s="214"/>
      <c r="Y135" s="233"/>
      <c r="Z135" s="234"/>
      <c r="AA135" s="165"/>
    </row>
    <row r="136" spans="1:34" ht="13.5" thickBot="1" x14ac:dyDescent="0.25">
      <c r="B136" s="197" t="s">
        <v>987</v>
      </c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spans="1:34" s="157" customFormat="1" ht="34.5" thickBot="1" x14ac:dyDescent="0.25">
      <c r="A137" s="201" t="s">
        <v>292</v>
      </c>
      <c r="B137" s="202" t="s">
        <v>293</v>
      </c>
      <c r="C137" s="203" t="s">
        <v>1195</v>
      </c>
      <c r="D137" s="204" t="s">
        <v>1203</v>
      </c>
      <c r="E137" s="205" t="s">
        <v>4</v>
      </c>
      <c r="F137" s="206" t="s">
        <v>1202</v>
      </c>
      <c r="G137" s="203" t="s">
        <v>1196</v>
      </c>
      <c r="H137" s="204" t="s">
        <v>1204</v>
      </c>
      <c r="I137" s="207" t="s">
        <v>5</v>
      </c>
      <c r="J137" s="205" t="s">
        <v>1209</v>
      </c>
      <c r="K137" s="203" t="s">
        <v>1197</v>
      </c>
      <c r="L137" s="204" t="s">
        <v>1205</v>
      </c>
      <c r="M137" s="205" t="s">
        <v>6</v>
      </c>
      <c r="N137" s="206" t="s">
        <v>1217</v>
      </c>
      <c r="O137" s="203" t="s">
        <v>1198</v>
      </c>
      <c r="P137" s="204" t="s">
        <v>1206</v>
      </c>
      <c r="Q137" s="205" t="s">
        <v>7</v>
      </c>
      <c r="R137" s="206" t="s">
        <v>963</v>
      </c>
      <c r="S137" s="203" t="s">
        <v>1199</v>
      </c>
      <c r="T137" s="204" t="s">
        <v>1207</v>
      </c>
      <c r="U137" s="208" t="s">
        <v>8</v>
      </c>
      <c r="V137" s="209" t="s">
        <v>921</v>
      </c>
      <c r="W137" s="203" t="s">
        <v>1200</v>
      </c>
      <c r="X137" s="204" t="s">
        <v>1208</v>
      </c>
      <c r="Y137" s="205" t="s">
        <v>13</v>
      </c>
      <c r="Z137" s="206" t="s">
        <v>1210</v>
      </c>
      <c r="AA137" s="156" t="s">
        <v>1201</v>
      </c>
      <c r="AB137" s="117"/>
      <c r="AC137" s="117"/>
      <c r="AD137" s="117"/>
      <c r="AE137" s="117"/>
      <c r="AF137" s="117"/>
      <c r="AG137" s="117"/>
      <c r="AH137" s="117"/>
    </row>
    <row r="138" spans="1:34" x14ac:dyDescent="0.2">
      <c r="A138" s="212">
        <v>1</v>
      </c>
      <c r="B138" s="213" t="s">
        <v>819</v>
      </c>
      <c r="C138" s="213" t="s">
        <v>915</v>
      </c>
      <c r="D138" s="214">
        <v>7</v>
      </c>
      <c r="E138" s="214" t="s">
        <v>910</v>
      </c>
      <c r="F138" s="216">
        <v>2</v>
      </c>
      <c r="G138" s="213" t="s">
        <v>915</v>
      </c>
      <c r="H138" s="214">
        <v>7</v>
      </c>
      <c r="I138" s="215" t="s">
        <v>507</v>
      </c>
      <c r="J138" s="216">
        <v>2</v>
      </c>
      <c r="K138" s="213" t="s">
        <v>915</v>
      </c>
      <c r="L138" s="214">
        <v>7</v>
      </c>
      <c r="M138" s="215"/>
      <c r="N138" s="216"/>
      <c r="O138" s="213" t="s">
        <v>915</v>
      </c>
      <c r="P138" s="214">
        <v>7</v>
      </c>
      <c r="Q138" s="233"/>
      <c r="R138" s="234"/>
      <c r="S138" s="213" t="s">
        <v>915</v>
      </c>
      <c r="T138" s="214">
        <v>7</v>
      </c>
      <c r="U138" s="233"/>
      <c r="V138" s="234"/>
      <c r="W138" s="213" t="s">
        <v>915</v>
      </c>
      <c r="X138" s="214">
        <v>7</v>
      </c>
      <c r="Y138" s="233"/>
      <c r="Z138" s="234"/>
      <c r="AA138" s="165"/>
      <c r="AB138" s="117" t="s">
        <v>975</v>
      </c>
    </row>
    <row r="139" spans="1:34" x14ac:dyDescent="0.2">
      <c r="A139" s="212">
        <v>2</v>
      </c>
      <c r="B139" s="213" t="s">
        <v>820</v>
      </c>
      <c r="C139" s="213" t="s">
        <v>295</v>
      </c>
      <c r="D139" s="214">
        <v>50</v>
      </c>
      <c r="E139" s="214" t="s">
        <v>909</v>
      </c>
      <c r="F139" s="216">
        <v>0.33</v>
      </c>
      <c r="G139" s="213" t="s">
        <v>295</v>
      </c>
      <c r="H139" s="214">
        <v>50</v>
      </c>
      <c r="I139" s="215" t="s">
        <v>1876</v>
      </c>
      <c r="J139" s="220">
        <v>0.2</v>
      </c>
      <c r="K139" s="213" t="s">
        <v>295</v>
      </c>
      <c r="L139" s="214">
        <v>50</v>
      </c>
      <c r="M139" s="215" t="s">
        <v>840</v>
      </c>
      <c r="N139" s="216">
        <v>6</v>
      </c>
      <c r="O139" s="213" t="s">
        <v>295</v>
      </c>
      <c r="P139" s="214">
        <v>50</v>
      </c>
      <c r="Q139" s="233" t="s">
        <v>918</v>
      </c>
      <c r="R139" s="234">
        <v>8</v>
      </c>
      <c r="S139" s="213" t="s">
        <v>295</v>
      </c>
      <c r="T139" s="214">
        <v>50</v>
      </c>
      <c r="U139" s="233" t="s">
        <v>839</v>
      </c>
      <c r="V139" s="234">
        <v>1</v>
      </c>
      <c r="W139" s="213" t="s">
        <v>295</v>
      </c>
      <c r="X139" s="214">
        <v>50</v>
      </c>
      <c r="Y139" s="233"/>
      <c r="Z139" s="234"/>
      <c r="AA139" s="165"/>
    </row>
    <row r="140" spans="1:34" x14ac:dyDescent="0.2">
      <c r="A140" s="212">
        <v>3</v>
      </c>
      <c r="B140" s="213" t="s">
        <v>821</v>
      </c>
      <c r="C140" s="213" t="s">
        <v>915</v>
      </c>
      <c r="D140" s="214">
        <v>10</v>
      </c>
      <c r="E140" s="215" t="s">
        <v>916</v>
      </c>
      <c r="F140" s="216">
        <v>2</v>
      </c>
      <c r="G140" s="213" t="s">
        <v>915</v>
      </c>
      <c r="H140" s="214">
        <v>10</v>
      </c>
      <c r="I140" s="215"/>
      <c r="J140" s="220"/>
      <c r="K140" s="213" t="s">
        <v>915</v>
      </c>
      <c r="L140" s="214">
        <v>10</v>
      </c>
      <c r="M140" s="215"/>
      <c r="N140" s="216"/>
      <c r="O140" s="213" t="s">
        <v>915</v>
      </c>
      <c r="P140" s="214">
        <v>10</v>
      </c>
      <c r="Q140" s="233"/>
      <c r="R140" s="234"/>
      <c r="S140" s="213" t="s">
        <v>915</v>
      </c>
      <c r="T140" s="214">
        <v>10</v>
      </c>
      <c r="U140" s="233" t="s">
        <v>839</v>
      </c>
      <c r="V140" s="234">
        <v>1</v>
      </c>
      <c r="W140" s="213" t="s">
        <v>915</v>
      </c>
      <c r="X140" s="214">
        <v>10</v>
      </c>
      <c r="Y140" s="233"/>
      <c r="Z140" s="234"/>
      <c r="AA140" s="165"/>
    </row>
    <row r="141" spans="1:34" x14ac:dyDescent="0.2">
      <c r="A141" s="212">
        <v>4</v>
      </c>
      <c r="B141" s="213" t="s">
        <v>822</v>
      </c>
      <c r="C141" s="213" t="s">
        <v>915</v>
      </c>
      <c r="D141" s="214">
        <v>15</v>
      </c>
      <c r="E141" s="214" t="s">
        <v>224</v>
      </c>
      <c r="F141" s="220">
        <v>2</v>
      </c>
      <c r="G141" s="213" t="s">
        <v>915</v>
      </c>
      <c r="H141" s="214">
        <v>15</v>
      </c>
      <c r="I141" s="215"/>
      <c r="J141" s="216"/>
      <c r="K141" s="213" t="s">
        <v>915</v>
      </c>
      <c r="L141" s="214">
        <v>15</v>
      </c>
      <c r="M141" s="215"/>
      <c r="N141" s="216"/>
      <c r="O141" s="213" t="s">
        <v>915</v>
      </c>
      <c r="P141" s="214">
        <v>15</v>
      </c>
      <c r="Q141" s="233"/>
      <c r="R141" s="234"/>
      <c r="S141" s="213" t="s">
        <v>915</v>
      </c>
      <c r="T141" s="214">
        <v>15</v>
      </c>
      <c r="U141" s="233"/>
      <c r="V141" s="234"/>
      <c r="W141" s="213" t="s">
        <v>915</v>
      </c>
      <c r="X141" s="214">
        <v>15</v>
      </c>
      <c r="Y141" s="233"/>
      <c r="Z141" s="234"/>
      <c r="AA141" s="165"/>
    </row>
    <row r="142" spans="1:34" x14ac:dyDescent="0.2">
      <c r="A142" s="212">
        <v>5</v>
      </c>
      <c r="B142" s="213" t="s">
        <v>823</v>
      </c>
      <c r="C142" s="213" t="s">
        <v>295</v>
      </c>
      <c r="D142" s="214">
        <v>50</v>
      </c>
      <c r="E142" s="214" t="s">
        <v>300</v>
      </c>
      <c r="F142" s="220">
        <v>1.1000000000000001</v>
      </c>
      <c r="G142" s="213" t="s">
        <v>295</v>
      </c>
      <c r="H142" s="214">
        <v>50</v>
      </c>
      <c r="I142" s="215"/>
      <c r="J142" s="216"/>
      <c r="K142" s="213" t="s">
        <v>295</v>
      </c>
      <c r="L142" s="214">
        <v>50</v>
      </c>
      <c r="M142" s="215"/>
      <c r="N142" s="216"/>
      <c r="O142" s="213" t="s">
        <v>295</v>
      </c>
      <c r="P142" s="214">
        <v>50</v>
      </c>
      <c r="Q142" s="233"/>
      <c r="R142" s="234"/>
      <c r="S142" s="213" t="s">
        <v>295</v>
      </c>
      <c r="T142" s="214">
        <v>50</v>
      </c>
      <c r="U142" s="233"/>
      <c r="V142" s="234"/>
      <c r="W142" s="213" t="s">
        <v>295</v>
      </c>
      <c r="X142" s="214">
        <v>50</v>
      </c>
      <c r="Y142" s="233"/>
      <c r="Z142" s="234"/>
      <c r="AA142" s="165"/>
    </row>
    <row r="143" spans="1:34" x14ac:dyDescent="0.2">
      <c r="A143" s="212">
        <v>6</v>
      </c>
      <c r="B143" s="213" t="s">
        <v>824</v>
      </c>
      <c r="C143" s="213" t="s">
        <v>915</v>
      </c>
      <c r="D143" s="214">
        <v>10</v>
      </c>
      <c r="E143" s="214" t="s">
        <v>914</v>
      </c>
      <c r="F143" s="220">
        <v>0.8</v>
      </c>
      <c r="G143" s="213" t="s">
        <v>915</v>
      </c>
      <c r="H143" s="214">
        <v>10</v>
      </c>
      <c r="I143" s="215"/>
      <c r="J143" s="216"/>
      <c r="K143" s="213" t="s">
        <v>915</v>
      </c>
      <c r="L143" s="214">
        <v>10</v>
      </c>
      <c r="M143" s="215"/>
      <c r="N143" s="216"/>
      <c r="O143" s="213" t="s">
        <v>915</v>
      </c>
      <c r="P143" s="214">
        <v>10</v>
      </c>
      <c r="Q143" s="233"/>
      <c r="R143" s="234"/>
      <c r="S143" s="213" t="s">
        <v>915</v>
      </c>
      <c r="T143" s="214">
        <v>10</v>
      </c>
      <c r="U143" s="233"/>
      <c r="V143" s="234"/>
      <c r="W143" s="213" t="s">
        <v>915</v>
      </c>
      <c r="X143" s="214">
        <v>10</v>
      </c>
      <c r="Y143" s="233"/>
      <c r="Z143" s="234"/>
      <c r="AA143" s="165"/>
    </row>
    <row r="144" spans="1:34" x14ac:dyDescent="0.2">
      <c r="A144" s="212">
        <v>7</v>
      </c>
      <c r="B144" s="213" t="s">
        <v>825</v>
      </c>
      <c r="C144" s="213" t="s">
        <v>295</v>
      </c>
      <c r="D144" s="214">
        <v>50</v>
      </c>
      <c r="E144" s="215" t="s">
        <v>300</v>
      </c>
      <c r="F144" s="216">
        <v>1.1000000000000001</v>
      </c>
      <c r="G144" s="213" t="s">
        <v>295</v>
      </c>
      <c r="H144" s="214">
        <v>50</v>
      </c>
      <c r="I144" s="222" t="s">
        <v>725</v>
      </c>
      <c r="J144" s="223">
        <f>25/50</f>
        <v>0.5</v>
      </c>
      <c r="K144" s="213" t="s">
        <v>295</v>
      </c>
      <c r="L144" s="214">
        <v>50</v>
      </c>
      <c r="M144" s="215"/>
      <c r="N144" s="216"/>
      <c r="O144" s="213" t="s">
        <v>295</v>
      </c>
      <c r="P144" s="214">
        <v>50</v>
      </c>
      <c r="Q144" s="233"/>
      <c r="R144" s="234"/>
      <c r="S144" s="213" t="s">
        <v>295</v>
      </c>
      <c r="T144" s="214">
        <v>50</v>
      </c>
      <c r="U144" s="233"/>
      <c r="V144" s="234"/>
      <c r="W144" s="213" t="s">
        <v>295</v>
      </c>
      <c r="X144" s="214">
        <v>50</v>
      </c>
      <c r="Y144" s="233"/>
      <c r="Z144" s="234"/>
      <c r="AA144" s="165"/>
    </row>
    <row r="145" spans="1:34" x14ac:dyDescent="0.2">
      <c r="A145" s="212">
        <v>8</v>
      </c>
      <c r="B145" s="213" t="s">
        <v>826</v>
      </c>
      <c r="C145" s="213"/>
      <c r="D145" s="214"/>
      <c r="E145" s="214"/>
      <c r="F145" s="220"/>
      <c r="G145" s="213"/>
      <c r="H145" s="214"/>
      <c r="I145" s="215"/>
      <c r="J145" s="216"/>
      <c r="K145" s="213"/>
      <c r="L145" s="214"/>
      <c r="M145" s="215"/>
      <c r="N145" s="216"/>
      <c r="O145" s="213"/>
      <c r="P145" s="214"/>
      <c r="Q145" s="233"/>
      <c r="R145" s="234"/>
      <c r="S145" s="213"/>
      <c r="T145" s="214"/>
      <c r="U145" s="233"/>
      <c r="V145" s="234"/>
      <c r="W145" s="213"/>
      <c r="X145" s="214"/>
      <c r="Y145" s="233"/>
      <c r="Z145" s="234"/>
      <c r="AA145" s="165"/>
    </row>
    <row r="146" spans="1:34" x14ac:dyDescent="0.2">
      <c r="A146" s="212">
        <v>9</v>
      </c>
      <c r="B146" s="213" t="s">
        <v>827</v>
      </c>
      <c r="C146" s="213" t="s">
        <v>295</v>
      </c>
      <c r="D146" s="214">
        <v>50</v>
      </c>
      <c r="E146" s="214" t="s">
        <v>909</v>
      </c>
      <c r="F146" s="220">
        <v>0.33</v>
      </c>
      <c r="G146" s="213" t="s">
        <v>295</v>
      </c>
      <c r="H146" s="214">
        <v>50</v>
      </c>
      <c r="I146" s="215" t="s">
        <v>1876</v>
      </c>
      <c r="J146" s="220">
        <v>0.2</v>
      </c>
      <c r="K146" s="213" t="s">
        <v>295</v>
      </c>
      <c r="L146" s="214">
        <v>50</v>
      </c>
      <c r="M146" s="215" t="s">
        <v>840</v>
      </c>
      <c r="N146" s="216">
        <v>6</v>
      </c>
      <c r="O146" s="213" t="s">
        <v>295</v>
      </c>
      <c r="P146" s="214">
        <v>50</v>
      </c>
      <c r="Q146" s="233" t="s">
        <v>918</v>
      </c>
      <c r="R146" s="234">
        <v>8</v>
      </c>
      <c r="S146" s="213" t="s">
        <v>295</v>
      </c>
      <c r="T146" s="214">
        <v>50</v>
      </c>
      <c r="U146" s="233"/>
      <c r="V146" s="234"/>
      <c r="W146" s="213" t="s">
        <v>295</v>
      </c>
      <c r="X146" s="214">
        <v>50</v>
      </c>
      <c r="Y146" s="233"/>
      <c r="Z146" s="234"/>
      <c r="AA146" s="165"/>
    </row>
    <row r="147" spans="1:34" x14ac:dyDescent="0.2">
      <c r="A147" s="212">
        <v>10</v>
      </c>
      <c r="B147" s="213" t="s">
        <v>828</v>
      </c>
      <c r="C147" s="213"/>
      <c r="D147" s="214"/>
      <c r="E147" s="214"/>
      <c r="F147" s="220"/>
      <c r="G147" s="213"/>
      <c r="H147" s="214"/>
      <c r="I147" s="215"/>
      <c r="J147" s="216"/>
      <c r="K147" s="213"/>
      <c r="L147" s="214"/>
      <c r="M147" s="215"/>
      <c r="N147" s="216"/>
      <c r="O147" s="213"/>
      <c r="P147" s="214"/>
      <c r="Q147" s="233"/>
      <c r="R147" s="234"/>
      <c r="S147" s="213"/>
      <c r="T147" s="214"/>
      <c r="U147" s="233"/>
      <c r="V147" s="234"/>
      <c r="W147" s="213"/>
      <c r="X147" s="214"/>
      <c r="Y147" s="233"/>
      <c r="Z147" s="234"/>
      <c r="AA147" s="165"/>
    </row>
    <row r="148" spans="1:34" x14ac:dyDescent="0.2">
      <c r="A148" s="212">
        <v>11</v>
      </c>
      <c r="B148" s="213" t="s">
        <v>829</v>
      </c>
      <c r="C148" s="213" t="s">
        <v>295</v>
      </c>
      <c r="D148" s="214">
        <v>50</v>
      </c>
      <c r="E148" s="214" t="s">
        <v>300</v>
      </c>
      <c r="F148" s="220">
        <v>1.1000000000000001</v>
      </c>
      <c r="G148" s="213" t="s">
        <v>295</v>
      </c>
      <c r="H148" s="214">
        <v>50</v>
      </c>
      <c r="I148" s="215"/>
      <c r="J148" s="216"/>
      <c r="K148" s="213" t="s">
        <v>295</v>
      </c>
      <c r="L148" s="214">
        <v>50</v>
      </c>
      <c r="M148" s="215"/>
      <c r="N148" s="216"/>
      <c r="O148" s="213" t="s">
        <v>295</v>
      </c>
      <c r="P148" s="214">
        <v>50</v>
      </c>
      <c r="Q148" s="233"/>
      <c r="R148" s="234"/>
      <c r="S148" s="213" t="s">
        <v>295</v>
      </c>
      <c r="T148" s="214">
        <v>50</v>
      </c>
      <c r="U148" s="233"/>
      <c r="V148" s="234"/>
      <c r="W148" s="213" t="s">
        <v>295</v>
      </c>
      <c r="X148" s="214">
        <v>50</v>
      </c>
      <c r="Y148" s="233"/>
      <c r="Z148" s="234"/>
      <c r="AA148" s="165"/>
    </row>
    <row r="149" spans="1:34" x14ac:dyDescent="0.2">
      <c r="A149" s="212">
        <v>12</v>
      </c>
      <c r="B149" s="213" t="s">
        <v>830</v>
      </c>
      <c r="C149" s="213" t="s">
        <v>915</v>
      </c>
      <c r="D149" s="214">
        <v>10</v>
      </c>
      <c r="E149" s="214" t="s">
        <v>916</v>
      </c>
      <c r="F149" s="220">
        <v>2</v>
      </c>
      <c r="G149" s="213" t="s">
        <v>915</v>
      </c>
      <c r="H149" s="214">
        <v>10</v>
      </c>
      <c r="I149" s="215"/>
      <c r="J149" s="216"/>
      <c r="K149" s="213" t="s">
        <v>915</v>
      </c>
      <c r="L149" s="214">
        <v>10</v>
      </c>
      <c r="M149" s="215"/>
      <c r="N149" s="216"/>
      <c r="O149" s="213" t="s">
        <v>915</v>
      </c>
      <c r="P149" s="214">
        <v>10</v>
      </c>
      <c r="Q149" s="233"/>
      <c r="R149" s="234"/>
      <c r="S149" s="213" t="s">
        <v>915</v>
      </c>
      <c r="T149" s="214">
        <v>10</v>
      </c>
      <c r="U149" s="233"/>
      <c r="V149" s="234"/>
      <c r="W149" s="213" t="s">
        <v>915</v>
      </c>
      <c r="X149" s="214">
        <v>10</v>
      </c>
      <c r="Y149" s="233"/>
      <c r="Z149" s="234"/>
      <c r="AA149" s="165"/>
    </row>
    <row r="150" spans="1:34" x14ac:dyDescent="0.2">
      <c r="A150" s="212">
        <v>13</v>
      </c>
      <c r="B150" s="213" t="s">
        <v>831</v>
      </c>
      <c r="C150" s="213" t="s">
        <v>295</v>
      </c>
      <c r="D150" s="214">
        <v>50</v>
      </c>
      <c r="E150" s="214" t="s">
        <v>300</v>
      </c>
      <c r="F150" s="220">
        <v>1.1000000000000001</v>
      </c>
      <c r="G150" s="213" t="s">
        <v>295</v>
      </c>
      <c r="H150" s="214">
        <v>50</v>
      </c>
      <c r="I150" s="215"/>
      <c r="J150" s="216"/>
      <c r="K150" s="213" t="s">
        <v>295</v>
      </c>
      <c r="L150" s="214">
        <v>50</v>
      </c>
      <c r="M150" s="215"/>
      <c r="N150" s="216"/>
      <c r="O150" s="213" t="s">
        <v>295</v>
      </c>
      <c r="P150" s="214">
        <v>50</v>
      </c>
      <c r="Q150" s="233"/>
      <c r="R150" s="234"/>
      <c r="S150" s="213" t="s">
        <v>295</v>
      </c>
      <c r="T150" s="214">
        <v>50</v>
      </c>
      <c r="U150" s="233"/>
      <c r="V150" s="234"/>
      <c r="W150" s="213" t="s">
        <v>295</v>
      </c>
      <c r="X150" s="214">
        <v>50</v>
      </c>
      <c r="Y150" s="233"/>
      <c r="Z150" s="234"/>
      <c r="AA150" s="165"/>
    </row>
    <row r="151" spans="1:34" x14ac:dyDescent="0.2">
      <c r="A151" s="212">
        <v>14</v>
      </c>
      <c r="B151" s="213" t="s">
        <v>832</v>
      </c>
      <c r="C151" s="213" t="s">
        <v>915</v>
      </c>
      <c r="D151" s="214">
        <v>7</v>
      </c>
      <c r="E151" s="214" t="s">
        <v>910</v>
      </c>
      <c r="F151" s="220">
        <v>2</v>
      </c>
      <c r="G151" s="213" t="s">
        <v>915</v>
      </c>
      <c r="H151" s="214">
        <v>7</v>
      </c>
      <c r="I151" s="214" t="s">
        <v>11</v>
      </c>
      <c r="J151" s="216">
        <v>0.2</v>
      </c>
      <c r="K151" s="213" t="s">
        <v>915</v>
      </c>
      <c r="L151" s="214">
        <v>7</v>
      </c>
      <c r="M151" s="215"/>
      <c r="N151" s="216"/>
      <c r="O151" s="213" t="s">
        <v>915</v>
      </c>
      <c r="P151" s="214">
        <v>7</v>
      </c>
      <c r="Q151" s="233"/>
      <c r="R151" s="234"/>
      <c r="S151" s="213" t="s">
        <v>915</v>
      </c>
      <c r="T151" s="214">
        <v>7</v>
      </c>
      <c r="U151" s="233"/>
      <c r="V151" s="234"/>
      <c r="W151" s="213" t="s">
        <v>915</v>
      </c>
      <c r="X151" s="214">
        <v>7</v>
      </c>
      <c r="Y151" s="233"/>
      <c r="Z151" s="234"/>
      <c r="AA151" s="165"/>
    </row>
    <row r="152" spans="1:34" x14ac:dyDescent="0.2">
      <c r="A152" s="212">
        <v>15</v>
      </c>
      <c r="B152" s="213" t="s">
        <v>833</v>
      </c>
      <c r="C152" s="213" t="s">
        <v>295</v>
      </c>
      <c r="D152" s="214">
        <v>50</v>
      </c>
      <c r="E152" s="215" t="s">
        <v>300</v>
      </c>
      <c r="F152" s="220">
        <v>1.1000000000000001</v>
      </c>
      <c r="G152" s="213" t="s">
        <v>295</v>
      </c>
      <c r="H152" s="214">
        <v>50</v>
      </c>
      <c r="I152" s="214"/>
      <c r="J152" s="220"/>
      <c r="K152" s="213" t="s">
        <v>295</v>
      </c>
      <c r="L152" s="214">
        <v>50</v>
      </c>
      <c r="M152" s="214"/>
      <c r="N152" s="220"/>
      <c r="O152" s="213" t="s">
        <v>295</v>
      </c>
      <c r="P152" s="214">
        <v>50</v>
      </c>
      <c r="Q152" s="233"/>
      <c r="R152" s="234"/>
      <c r="S152" s="213" t="s">
        <v>295</v>
      </c>
      <c r="T152" s="214">
        <v>50</v>
      </c>
      <c r="U152" s="233"/>
      <c r="V152" s="234"/>
      <c r="W152" s="213" t="s">
        <v>295</v>
      </c>
      <c r="X152" s="214">
        <v>50</v>
      </c>
      <c r="Y152" s="233"/>
      <c r="Z152" s="234"/>
      <c r="AA152" s="165"/>
    </row>
    <row r="153" spans="1:34" x14ac:dyDescent="0.2">
      <c r="A153" s="212">
        <v>16</v>
      </c>
      <c r="B153" s="213" t="s">
        <v>834</v>
      </c>
      <c r="C153" s="213"/>
      <c r="D153" s="214"/>
      <c r="E153" s="214"/>
      <c r="F153" s="220"/>
      <c r="G153" s="213"/>
      <c r="H153" s="214"/>
      <c r="I153" s="214"/>
      <c r="J153" s="220"/>
      <c r="K153" s="213"/>
      <c r="L153" s="214"/>
      <c r="M153" s="214"/>
      <c r="N153" s="220"/>
      <c r="O153" s="213"/>
      <c r="P153" s="214"/>
      <c r="Q153" s="233"/>
      <c r="R153" s="234"/>
      <c r="S153" s="213"/>
      <c r="T153" s="214"/>
      <c r="U153" s="233"/>
      <c r="V153" s="234"/>
      <c r="W153" s="213"/>
      <c r="X153" s="214"/>
      <c r="Y153" s="233"/>
      <c r="Z153" s="234"/>
      <c r="AA153" s="165"/>
    </row>
    <row r="154" spans="1:34" x14ac:dyDescent="0.2">
      <c r="A154" s="212">
        <v>17</v>
      </c>
      <c r="B154" s="213" t="s">
        <v>835</v>
      </c>
      <c r="C154" s="213"/>
      <c r="D154" s="214"/>
      <c r="E154" s="214"/>
      <c r="F154" s="229"/>
      <c r="G154" s="213"/>
      <c r="H154" s="214"/>
      <c r="I154" s="214"/>
      <c r="J154" s="220"/>
      <c r="K154" s="213"/>
      <c r="L154" s="214"/>
      <c r="M154" s="214"/>
      <c r="N154" s="220"/>
      <c r="O154" s="213"/>
      <c r="P154" s="214"/>
      <c r="Q154" s="233"/>
      <c r="R154" s="234"/>
      <c r="S154" s="213"/>
      <c r="T154" s="214"/>
      <c r="U154" s="233"/>
      <c r="V154" s="234"/>
      <c r="W154" s="213"/>
      <c r="X154" s="214"/>
      <c r="Y154" s="233"/>
      <c r="Z154" s="234"/>
      <c r="AA154" s="165"/>
    </row>
    <row r="155" spans="1:34" x14ac:dyDescent="0.2">
      <c r="A155" s="212">
        <v>18</v>
      </c>
      <c r="B155" s="213" t="s">
        <v>836</v>
      </c>
      <c r="C155" s="213"/>
      <c r="D155" s="214"/>
      <c r="E155" s="214"/>
      <c r="F155" s="220"/>
      <c r="G155" s="213"/>
      <c r="H155" s="214"/>
      <c r="I155" s="214"/>
      <c r="J155" s="220"/>
      <c r="K155" s="213"/>
      <c r="L155" s="214"/>
      <c r="M155" s="214"/>
      <c r="N155" s="220"/>
      <c r="O155" s="213"/>
      <c r="P155" s="214"/>
      <c r="Q155" s="233"/>
      <c r="R155" s="234"/>
      <c r="S155" s="213"/>
      <c r="T155" s="214"/>
      <c r="U155" s="233"/>
      <c r="V155" s="234"/>
      <c r="W155" s="213"/>
      <c r="X155" s="214"/>
      <c r="Y155" s="233"/>
      <c r="Z155" s="234"/>
      <c r="AA155" s="165"/>
    </row>
    <row r="156" spans="1:34" x14ac:dyDescent="0.2">
      <c r="A156" s="212">
        <v>19</v>
      </c>
      <c r="B156" s="213" t="s">
        <v>837</v>
      </c>
      <c r="C156" s="213"/>
      <c r="D156" s="214"/>
      <c r="E156" s="214"/>
      <c r="F156" s="220"/>
      <c r="G156" s="213"/>
      <c r="H156" s="214"/>
      <c r="I156" s="214"/>
      <c r="J156" s="220"/>
      <c r="K156" s="213"/>
      <c r="L156" s="214"/>
      <c r="M156" s="214"/>
      <c r="N156" s="220"/>
      <c r="O156" s="213"/>
      <c r="P156" s="214"/>
      <c r="Q156" s="233"/>
      <c r="R156" s="234"/>
      <c r="S156" s="213"/>
      <c r="T156" s="214"/>
      <c r="U156" s="233"/>
      <c r="V156" s="234"/>
      <c r="W156" s="213"/>
      <c r="X156" s="214"/>
      <c r="Y156" s="233"/>
      <c r="Z156" s="234"/>
      <c r="AA156" s="165"/>
    </row>
    <row r="157" spans="1:34" x14ac:dyDescent="0.2">
      <c r="A157" s="212">
        <v>20</v>
      </c>
      <c r="B157" s="213" t="s">
        <v>838</v>
      </c>
      <c r="C157" s="213"/>
      <c r="D157" s="214"/>
      <c r="E157" s="214"/>
      <c r="F157" s="220"/>
      <c r="G157" s="213"/>
      <c r="H157" s="214"/>
      <c r="I157" s="214"/>
      <c r="J157" s="220"/>
      <c r="K157" s="213"/>
      <c r="L157" s="214"/>
      <c r="M157" s="214"/>
      <c r="N157" s="220"/>
      <c r="O157" s="213"/>
      <c r="P157" s="214"/>
      <c r="Q157" s="233"/>
      <c r="R157" s="234"/>
      <c r="S157" s="213"/>
      <c r="T157" s="214"/>
      <c r="U157" s="233"/>
      <c r="V157" s="234"/>
      <c r="W157" s="213"/>
      <c r="X157" s="214"/>
      <c r="Y157" s="233"/>
      <c r="Z157" s="234"/>
      <c r="AA157" s="165"/>
    </row>
    <row r="158" spans="1:34" ht="13.5" thickBot="1" x14ac:dyDescent="0.25">
      <c r="B158" s="197" t="s">
        <v>988</v>
      </c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spans="1:34" s="157" customFormat="1" ht="34.5" thickBot="1" x14ac:dyDescent="0.25">
      <c r="A159" s="201" t="s">
        <v>292</v>
      </c>
      <c r="B159" s="202" t="s">
        <v>293</v>
      </c>
      <c r="C159" s="203" t="s">
        <v>1195</v>
      </c>
      <c r="D159" s="204" t="s">
        <v>1203</v>
      </c>
      <c r="E159" s="205" t="s">
        <v>4</v>
      </c>
      <c r="F159" s="206" t="s">
        <v>1202</v>
      </c>
      <c r="G159" s="203" t="s">
        <v>1196</v>
      </c>
      <c r="H159" s="204" t="s">
        <v>1204</v>
      </c>
      <c r="I159" s="207" t="s">
        <v>5</v>
      </c>
      <c r="J159" s="205" t="s">
        <v>1209</v>
      </c>
      <c r="K159" s="203" t="s">
        <v>1197</v>
      </c>
      <c r="L159" s="204" t="s">
        <v>1205</v>
      </c>
      <c r="M159" s="205" t="s">
        <v>6</v>
      </c>
      <c r="N159" s="206" t="s">
        <v>1217</v>
      </c>
      <c r="O159" s="203" t="s">
        <v>1198</v>
      </c>
      <c r="P159" s="204" t="s">
        <v>1206</v>
      </c>
      <c r="Q159" s="205" t="s">
        <v>7</v>
      </c>
      <c r="R159" s="206" t="s">
        <v>963</v>
      </c>
      <c r="S159" s="203" t="s">
        <v>1199</v>
      </c>
      <c r="T159" s="204" t="s">
        <v>1207</v>
      </c>
      <c r="U159" s="208" t="s">
        <v>8</v>
      </c>
      <c r="V159" s="209" t="s">
        <v>921</v>
      </c>
      <c r="W159" s="203" t="s">
        <v>1200</v>
      </c>
      <c r="X159" s="204" t="s">
        <v>1208</v>
      </c>
      <c r="Y159" s="205" t="s">
        <v>13</v>
      </c>
      <c r="Z159" s="206" t="s">
        <v>1210</v>
      </c>
      <c r="AA159" s="156" t="s">
        <v>1201</v>
      </c>
      <c r="AB159" s="117"/>
      <c r="AC159" s="117"/>
      <c r="AD159" s="117"/>
      <c r="AE159" s="117"/>
      <c r="AF159" s="117"/>
      <c r="AG159" s="117"/>
      <c r="AH159" s="117"/>
    </row>
    <row r="160" spans="1:34" x14ac:dyDescent="0.2">
      <c r="A160" s="212">
        <v>1</v>
      </c>
      <c r="B160" s="213" t="s">
        <v>989</v>
      </c>
      <c r="C160" s="213" t="s">
        <v>915</v>
      </c>
      <c r="D160" s="214">
        <v>7</v>
      </c>
      <c r="E160" s="214" t="s">
        <v>910</v>
      </c>
      <c r="F160" s="216">
        <v>2</v>
      </c>
      <c r="G160" s="213" t="s">
        <v>915</v>
      </c>
      <c r="H160" s="214">
        <v>7</v>
      </c>
      <c r="I160" s="215" t="s">
        <v>507</v>
      </c>
      <c r="J160" s="216">
        <v>2</v>
      </c>
      <c r="K160" s="213" t="s">
        <v>915</v>
      </c>
      <c r="L160" s="214">
        <v>7</v>
      </c>
      <c r="M160" s="215"/>
      <c r="N160" s="216"/>
      <c r="O160" s="213" t="s">
        <v>915</v>
      </c>
      <c r="P160" s="214">
        <v>7</v>
      </c>
      <c r="Q160" s="233"/>
      <c r="R160" s="234"/>
      <c r="S160" s="213" t="s">
        <v>915</v>
      </c>
      <c r="T160" s="214">
        <v>7</v>
      </c>
      <c r="U160" s="233"/>
      <c r="V160" s="234"/>
      <c r="W160" s="213" t="s">
        <v>915</v>
      </c>
      <c r="X160" s="214">
        <v>7</v>
      </c>
      <c r="Y160" s="233"/>
      <c r="Z160" s="234"/>
      <c r="AA160" s="165"/>
      <c r="AB160" s="117" t="s">
        <v>975</v>
      </c>
    </row>
    <row r="161" spans="1:29" x14ac:dyDescent="0.2">
      <c r="A161" s="212">
        <v>2</v>
      </c>
      <c r="B161" s="213" t="s">
        <v>990</v>
      </c>
      <c r="C161" s="213" t="s">
        <v>295</v>
      </c>
      <c r="D161" s="214">
        <v>50</v>
      </c>
      <c r="E161" s="214" t="s">
        <v>909</v>
      </c>
      <c r="F161" s="216">
        <v>0.33</v>
      </c>
      <c r="G161" s="213" t="s">
        <v>295</v>
      </c>
      <c r="H161" s="214">
        <v>50</v>
      </c>
      <c r="I161" s="215" t="s">
        <v>1876</v>
      </c>
      <c r="J161" s="220">
        <v>0.2</v>
      </c>
      <c r="K161" s="213" t="s">
        <v>295</v>
      </c>
      <c r="L161" s="214">
        <v>50</v>
      </c>
      <c r="M161" s="215" t="s">
        <v>840</v>
      </c>
      <c r="N161" s="216">
        <v>6</v>
      </c>
      <c r="O161" s="213" t="s">
        <v>295</v>
      </c>
      <c r="P161" s="214">
        <v>50</v>
      </c>
      <c r="Q161" s="233" t="s">
        <v>918</v>
      </c>
      <c r="R161" s="234">
        <v>8</v>
      </c>
      <c r="S161" s="213" t="s">
        <v>295</v>
      </c>
      <c r="T161" s="214">
        <v>50</v>
      </c>
      <c r="U161" s="233" t="s">
        <v>839</v>
      </c>
      <c r="V161" s="234">
        <v>1</v>
      </c>
      <c r="W161" s="213" t="s">
        <v>295</v>
      </c>
      <c r="X161" s="214">
        <v>50</v>
      </c>
      <c r="Y161" s="233"/>
      <c r="Z161" s="234"/>
      <c r="AA161" s="165"/>
    </row>
    <row r="162" spans="1:29" x14ac:dyDescent="0.2">
      <c r="A162" s="212">
        <v>3</v>
      </c>
      <c r="B162" s="213" t="s">
        <v>991</v>
      </c>
      <c r="C162" s="213" t="s">
        <v>915</v>
      </c>
      <c r="D162" s="214">
        <v>10</v>
      </c>
      <c r="E162" s="215" t="s">
        <v>916</v>
      </c>
      <c r="F162" s="216">
        <v>2</v>
      </c>
      <c r="G162" s="213" t="s">
        <v>915</v>
      </c>
      <c r="H162" s="214">
        <v>10</v>
      </c>
      <c r="I162" s="215"/>
      <c r="J162" s="220"/>
      <c r="K162" s="213" t="s">
        <v>915</v>
      </c>
      <c r="L162" s="214">
        <v>10</v>
      </c>
      <c r="M162" s="215"/>
      <c r="N162" s="216"/>
      <c r="O162" s="213" t="s">
        <v>915</v>
      </c>
      <c r="P162" s="214">
        <v>10</v>
      </c>
      <c r="Q162" s="233"/>
      <c r="R162" s="234"/>
      <c r="S162" s="213" t="s">
        <v>915</v>
      </c>
      <c r="T162" s="214">
        <v>10</v>
      </c>
      <c r="U162" s="233" t="s">
        <v>839</v>
      </c>
      <c r="V162" s="234">
        <v>1</v>
      </c>
      <c r="W162" s="213" t="s">
        <v>915</v>
      </c>
      <c r="X162" s="214">
        <v>10</v>
      </c>
      <c r="Y162" s="233"/>
      <c r="Z162" s="234"/>
      <c r="AA162" s="165"/>
    </row>
    <row r="163" spans="1:29" x14ac:dyDescent="0.2">
      <c r="A163" s="212">
        <v>4</v>
      </c>
      <c r="B163" s="213" t="s">
        <v>992</v>
      </c>
      <c r="C163" s="213" t="s">
        <v>915</v>
      </c>
      <c r="D163" s="214">
        <v>15</v>
      </c>
      <c r="E163" s="214" t="s">
        <v>224</v>
      </c>
      <c r="F163" s="220">
        <v>2</v>
      </c>
      <c r="G163" s="213" t="s">
        <v>915</v>
      </c>
      <c r="H163" s="214">
        <v>15</v>
      </c>
      <c r="I163" s="215"/>
      <c r="J163" s="216"/>
      <c r="K163" s="213" t="s">
        <v>915</v>
      </c>
      <c r="L163" s="214">
        <v>15</v>
      </c>
      <c r="M163" s="215"/>
      <c r="N163" s="216"/>
      <c r="O163" s="213" t="s">
        <v>915</v>
      </c>
      <c r="P163" s="214">
        <v>15</v>
      </c>
      <c r="Q163" s="233"/>
      <c r="R163" s="234"/>
      <c r="S163" s="213" t="s">
        <v>915</v>
      </c>
      <c r="T163" s="214">
        <v>15</v>
      </c>
      <c r="U163" s="233"/>
      <c r="V163" s="234"/>
      <c r="W163" s="213" t="s">
        <v>915</v>
      </c>
      <c r="X163" s="214">
        <v>15</v>
      </c>
      <c r="Y163" s="233"/>
      <c r="Z163" s="234"/>
      <c r="AA163" s="165"/>
    </row>
    <row r="164" spans="1:29" x14ac:dyDescent="0.2">
      <c r="A164" s="212">
        <v>5</v>
      </c>
      <c r="B164" s="213" t="s">
        <v>993</v>
      </c>
      <c r="C164" s="213" t="s">
        <v>295</v>
      </c>
      <c r="D164" s="214">
        <v>50</v>
      </c>
      <c r="E164" s="214" t="s">
        <v>300</v>
      </c>
      <c r="F164" s="220">
        <v>1.1000000000000001</v>
      </c>
      <c r="G164" s="213" t="s">
        <v>295</v>
      </c>
      <c r="H164" s="214">
        <v>50</v>
      </c>
      <c r="I164" s="215"/>
      <c r="J164" s="216"/>
      <c r="K164" s="213" t="s">
        <v>295</v>
      </c>
      <c r="L164" s="214">
        <v>50</v>
      </c>
      <c r="M164" s="215"/>
      <c r="N164" s="216"/>
      <c r="O164" s="213" t="s">
        <v>295</v>
      </c>
      <c r="P164" s="214">
        <v>50</v>
      </c>
      <c r="Q164" s="233"/>
      <c r="R164" s="234"/>
      <c r="S164" s="213" t="s">
        <v>295</v>
      </c>
      <c r="T164" s="214">
        <v>50</v>
      </c>
      <c r="U164" s="233"/>
      <c r="V164" s="234"/>
      <c r="W164" s="213" t="s">
        <v>295</v>
      </c>
      <c r="X164" s="214">
        <v>50</v>
      </c>
      <c r="Y164" s="233"/>
      <c r="Z164" s="234"/>
      <c r="AA164" s="165"/>
    </row>
    <row r="165" spans="1:29" x14ac:dyDescent="0.2">
      <c r="A165" s="212">
        <v>6</v>
      </c>
      <c r="B165" s="213" t="s">
        <v>994</v>
      </c>
      <c r="C165" s="213" t="s">
        <v>915</v>
      </c>
      <c r="D165" s="214">
        <v>10</v>
      </c>
      <c r="E165" s="214" t="s">
        <v>914</v>
      </c>
      <c r="F165" s="220">
        <v>0.8</v>
      </c>
      <c r="G165" s="213" t="s">
        <v>915</v>
      </c>
      <c r="H165" s="214">
        <v>10</v>
      </c>
      <c r="I165" s="215"/>
      <c r="J165" s="216"/>
      <c r="K165" s="213" t="s">
        <v>915</v>
      </c>
      <c r="L165" s="214">
        <v>10</v>
      </c>
      <c r="M165" s="215"/>
      <c r="N165" s="216"/>
      <c r="O165" s="213" t="s">
        <v>915</v>
      </c>
      <c r="P165" s="214">
        <v>10</v>
      </c>
      <c r="Q165" s="233"/>
      <c r="R165" s="234"/>
      <c r="S165" s="213" t="s">
        <v>915</v>
      </c>
      <c r="T165" s="214">
        <v>10</v>
      </c>
      <c r="U165" s="233"/>
      <c r="V165" s="234"/>
      <c r="W165" s="213" t="s">
        <v>915</v>
      </c>
      <c r="X165" s="214">
        <v>10</v>
      </c>
      <c r="Y165" s="233"/>
      <c r="Z165" s="234"/>
      <c r="AA165" s="165"/>
    </row>
    <row r="166" spans="1:29" x14ac:dyDescent="0.2">
      <c r="A166" s="212">
        <v>7</v>
      </c>
      <c r="B166" s="213" t="s">
        <v>995</v>
      </c>
      <c r="C166" s="213" t="s">
        <v>295</v>
      </c>
      <c r="D166" s="214">
        <v>50</v>
      </c>
      <c r="E166" s="214" t="s">
        <v>300</v>
      </c>
      <c r="F166" s="220">
        <v>1.1000000000000001</v>
      </c>
      <c r="G166" s="213" t="s">
        <v>295</v>
      </c>
      <c r="H166" s="214">
        <v>50</v>
      </c>
      <c r="I166" s="222" t="s">
        <v>725</v>
      </c>
      <c r="J166" s="223">
        <f>25/50</f>
        <v>0.5</v>
      </c>
      <c r="K166" s="213" t="s">
        <v>295</v>
      </c>
      <c r="L166" s="214">
        <v>50</v>
      </c>
      <c r="M166" s="215"/>
      <c r="N166" s="216"/>
      <c r="O166" s="213" t="s">
        <v>295</v>
      </c>
      <c r="P166" s="214">
        <v>50</v>
      </c>
      <c r="Q166" s="233"/>
      <c r="R166" s="234"/>
      <c r="S166" s="213" t="s">
        <v>295</v>
      </c>
      <c r="T166" s="214">
        <v>50</v>
      </c>
      <c r="U166" s="233"/>
      <c r="V166" s="234"/>
      <c r="W166" s="213" t="s">
        <v>295</v>
      </c>
      <c r="X166" s="214">
        <v>50</v>
      </c>
      <c r="Y166" s="233"/>
      <c r="Z166" s="234"/>
      <c r="AA166" s="165"/>
    </row>
    <row r="167" spans="1:29" x14ac:dyDescent="0.2">
      <c r="A167" s="212">
        <v>8</v>
      </c>
      <c r="B167" s="213" t="s">
        <v>996</v>
      </c>
      <c r="C167" s="230" t="s">
        <v>295</v>
      </c>
      <c r="D167" s="222">
        <v>50</v>
      </c>
      <c r="E167" s="222" t="s">
        <v>964</v>
      </c>
      <c r="F167" s="223">
        <v>0.25</v>
      </c>
      <c r="G167" s="230" t="s">
        <v>295</v>
      </c>
      <c r="H167" s="222">
        <v>50</v>
      </c>
      <c r="I167" s="227"/>
      <c r="J167" s="231"/>
      <c r="K167" s="230" t="s">
        <v>295</v>
      </c>
      <c r="L167" s="222">
        <v>50</v>
      </c>
      <c r="M167" s="227"/>
      <c r="N167" s="231"/>
      <c r="O167" s="230" t="s">
        <v>295</v>
      </c>
      <c r="P167" s="222">
        <v>50</v>
      </c>
      <c r="Q167" s="227"/>
      <c r="R167" s="231"/>
      <c r="S167" s="230" t="s">
        <v>295</v>
      </c>
      <c r="T167" s="222">
        <v>50</v>
      </c>
      <c r="U167" s="227"/>
      <c r="V167" s="231"/>
      <c r="W167" s="230" t="s">
        <v>295</v>
      </c>
      <c r="X167" s="222">
        <v>50</v>
      </c>
      <c r="Y167" s="227"/>
      <c r="Z167" s="231"/>
      <c r="AA167" s="177"/>
      <c r="AB167" s="178" t="s">
        <v>976</v>
      </c>
      <c r="AC167" s="178"/>
    </row>
    <row r="168" spans="1:29" x14ac:dyDescent="0.2">
      <c r="A168" s="212">
        <v>9</v>
      </c>
      <c r="B168" s="213" t="s">
        <v>997</v>
      </c>
      <c r="C168" s="213" t="s">
        <v>295</v>
      </c>
      <c r="D168" s="214">
        <v>50</v>
      </c>
      <c r="E168" s="214" t="s">
        <v>909</v>
      </c>
      <c r="F168" s="220">
        <v>0.33</v>
      </c>
      <c r="G168" s="213" t="s">
        <v>295</v>
      </c>
      <c r="H168" s="214">
        <v>50</v>
      </c>
      <c r="I168" s="215" t="s">
        <v>1876</v>
      </c>
      <c r="J168" s="220">
        <v>0.2</v>
      </c>
      <c r="K168" s="213" t="s">
        <v>295</v>
      </c>
      <c r="L168" s="214">
        <v>50</v>
      </c>
      <c r="M168" s="215" t="s">
        <v>840</v>
      </c>
      <c r="N168" s="216">
        <v>6</v>
      </c>
      <c r="O168" s="213" t="s">
        <v>295</v>
      </c>
      <c r="P168" s="214">
        <v>50</v>
      </c>
      <c r="Q168" s="233" t="s">
        <v>918</v>
      </c>
      <c r="R168" s="234">
        <v>8</v>
      </c>
      <c r="S168" s="213" t="s">
        <v>295</v>
      </c>
      <c r="T168" s="214">
        <v>50</v>
      </c>
      <c r="U168" s="233"/>
      <c r="V168" s="234"/>
      <c r="W168" s="213" t="s">
        <v>295</v>
      </c>
      <c r="X168" s="214">
        <v>50</v>
      </c>
      <c r="Y168" s="233"/>
      <c r="Z168" s="234"/>
      <c r="AA168" s="165"/>
    </row>
    <row r="169" spans="1:29" x14ac:dyDescent="0.2">
      <c r="A169" s="212">
        <v>10</v>
      </c>
      <c r="B169" s="213" t="s">
        <v>998</v>
      </c>
      <c r="C169" s="213"/>
      <c r="D169" s="214"/>
      <c r="E169" s="214"/>
      <c r="F169" s="220"/>
      <c r="G169" s="213"/>
      <c r="H169" s="214"/>
      <c r="I169" s="215"/>
      <c r="J169" s="216"/>
      <c r="K169" s="213"/>
      <c r="L169" s="214"/>
      <c r="M169" s="215"/>
      <c r="N169" s="216"/>
      <c r="O169" s="213"/>
      <c r="P169" s="214"/>
      <c r="Q169" s="233"/>
      <c r="R169" s="234"/>
      <c r="S169" s="213"/>
      <c r="T169" s="214"/>
      <c r="U169" s="233"/>
      <c r="V169" s="234"/>
      <c r="W169" s="213"/>
      <c r="X169" s="214"/>
      <c r="Y169" s="233"/>
      <c r="Z169" s="234"/>
      <c r="AA169" s="165"/>
    </row>
    <row r="170" spans="1:29" x14ac:dyDescent="0.2">
      <c r="A170" s="212">
        <v>11</v>
      </c>
      <c r="B170" s="213" t="s">
        <v>999</v>
      </c>
      <c r="C170" s="213" t="s">
        <v>295</v>
      </c>
      <c r="D170" s="214">
        <v>50</v>
      </c>
      <c r="E170" s="214" t="s">
        <v>300</v>
      </c>
      <c r="F170" s="220">
        <v>1.1000000000000001</v>
      </c>
      <c r="G170" s="213" t="s">
        <v>295</v>
      </c>
      <c r="H170" s="214">
        <v>50</v>
      </c>
      <c r="I170" s="215"/>
      <c r="J170" s="216"/>
      <c r="K170" s="213" t="s">
        <v>295</v>
      </c>
      <c r="L170" s="214">
        <v>50</v>
      </c>
      <c r="M170" s="215"/>
      <c r="N170" s="216"/>
      <c r="O170" s="213" t="s">
        <v>295</v>
      </c>
      <c r="P170" s="214">
        <v>50</v>
      </c>
      <c r="Q170" s="233"/>
      <c r="R170" s="234"/>
      <c r="S170" s="213" t="s">
        <v>295</v>
      </c>
      <c r="T170" s="214">
        <v>50</v>
      </c>
      <c r="U170" s="233"/>
      <c r="V170" s="234"/>
      <c r="W170" s="213" t="s">
        <v>295</v>
      </c>
      <c r="X170" s="214">
        <v>50</v>
      </c>
      <c r="Y170" s="233"/>
      <c r="Z170" s="234"/>
      <c r="AA170" s="165"/>
    </row>
    <row r="171" spans="1:29" x14ac:dyDescent="0.2">
      <c r="A171" s="212">
        <v>12</v>
      </c>
      <c r="B171" s="213" t="s">
        <v>1000</v>
      </c>
      <c r="C171" s="213" t="s">
        <v>915</v>
      </c>
      <c r="D171" s="214">
        <v>10</v>
      </c>
      <c r="E171" s="214" t="s">
        <v>916</v>
      </c>
      <c r="F171" s="220">
        <v>2</v>
      </c>
      <c r="G171" s="213" t="s">
        <v>915</v>
      </c>
      <c r="H171" s="214">
        <v>10</v>
      </c>
      <c r="I171" s="215"/>
      <c r="J171" s="216"/>
      <c r="K171" s="213" t="s">
        <v>915</v>
      </c>
      <c r="L171" s="214">
        <v>10</v>
      </c>
      <c r="M171" s="215"/>
      <c r="N171" s="216"/>
      <c r="O171" s="213" t="s">
        <v>915</v>
      </c>
      <c r="P171" s="214">
        <v>10</v>
      </c>
      <c r="Q171" s="233"/>
      <c r="R171" s="234"/>
      <c r="S171" s="213" t="s">
        <v>915</v>
      </c>
      <c r="T171" s="214">
        <v>10</v>
      </c>
      <c r="U171" s="233"/>
      <c r="V171" s="234"/>
      <c r="W171" s="213" t="s">
        <v>915</v>
      </c>
      <c r="X171" s="214">
        <v>10</v>
      </c>
      <c r="Y171" s="233"/>
      <c r="Z171" s="234"/>
      <c r="AA171" s="165"/>
    </row>
    <row r="172" spans="1:29" x14ac:dyDescent="0.2">
      <c r="A172" s="212">
        <v>13</v>
      </c>
      <c r="B172" s="213" t="s">
        <v>1001</v>
      </c>
      <c r="C172" s="213" t="s">
        <v>295</v>
      </c>
      <c r="D172" s="214">
        <v>50</v>
      </c>
      <c r="E172" s="214" t="s">
        <v>300</v>
      </c>
      <c r="F172" s="220">
        <v>1.1000000000000001</v>
      </c>
      <c r="G172" s="213" t="s">
        <v>295</v>
      </c>
      <c r="H172" s="214">
        <v>50</v>
      </c>
      <c r="I172" s="215"/>
      <c r="J172" s="216"/>
      <c r="K172" s="213" t="s">
        <v>295</v>
      </c>
      <c r="L172" s="214">
        <v>50</v>
      </c>
      <c r="M172" s="215"/>
      <c r="N172" s="216"/>
      <c r="O172" s="213" t="s">
        <v>295</v>
      </c>
      <c r="P172" s="214">
        <v>50</v>
      </c>
      <c r="Q172" s="233"/>
      <c r="R172" s="234"/>
      <c r="S172" s="213" t="s">
        <v>295</v>
      </c>
      <c r="T172" s="214">
        <v>50</v>
      </c>
      <c r="U172" s="233"/>
      <c r="V172" s="234"/>
      <c r="W172" s="213" t="s">
        <v>295</v>
      </c>
      <c r="X172" s="214">
        <v>50</v>
      </c>
      <c r="Y172" s="233"/>
      <c r="Z172" s="234"/>
      <c r="AA172" s="165"/>
    </row>
    <row r="173" spans="1:29" x14ac:dyDescent="0.2">
      <c r="A173" s="212">
        <v>14</v>
      </c>
      <c r="B173" s="213" t="s">
        <v>1002</v>
      </c>
      <c r="C173" s="213" t="s">
        <v>915</v>
      </c>
      <c r="D173" s="214">
        <v>7</v>
      </c>
      <c r="E173" s="214" t="s">
        <v>910</v>
      </c>
      <c r="F173" s="220">
        <v>2</v>
      </c>
      <c r="G173" s="213" t="s">
        <v>915</v>
      </c>
      <c r="H173" s="214">
        <v>7</v>
      </c>
      <c r="I173" s="214" t="s">
        <v>11</v>
      </c>
      <c r="J173" s="216">
        <v>0.2</v>
      </c>
      <c r="K173" s="213" t="s">
        <v>915</v>
      </c>
      <c r="L173" s="214">
        <v>7</v>
      </c>
      <c r="M173" s="215"/>
      <c r="N173" s="216"/>
      <c r="O173" s="213" t="s">
        <v>915</v>
      </c>
      <c r="P173" s="214">
        <v>7</v>
      </c>
      <c r="Q173" s="233"/>
      <c r="R173" s="234"/>
      <c r="S173" s="213" t="s">
        <v>915</v>
      </c>
      <c r="T173" s="214">
        <v>7</v>
      </c>
      <c r="U173" s="233"/>
      <c r="V173" s="234"/>
      <c r="W173" s="213" t="s">
        <v>915</v>
      </c>
      <c r="X173" s="214">
        <v>7</v>
      </c>
      <c r="Y173" s="233"/>
      <c r="Z173" s="234"/>
      <c r="AA173" s="165"/>
    </row>
    <row r="174" spans="1:29" x14ac:dyDescent="0.2">
      <c r="A174" s="212">
        <v>15</v>
      </c>
      <c r="B174" s="213" t="s">
        <v>1003</v>
      </c>
      <c r="C174" s="213" t="s">
        <v>295</v>
      </c>
      <c r="D174" s="214">
        <v>50</v>
      </c>
      <c r="E174" s="215" t="s">
        <v>300</v>
      </c>
      <c r="F174" s="220">
        <v>1.1000000000000001</v>
      </c>
      <c r="G174" s="213" t="s">
        <v>295</v>
      </c>
      <c r="H174" s="214">
        <v>50</v>
      </c>
      <c r="I174" s="214"/>
      <c r="J174" s="220"/>
      <c r="K174" s="213" t="s">
        <v>295</v>
      </c>
      <c r="L174" s="214">
        <v>50</v>
      </c>
      <c r="M174" s="214"/>
      <c r="N174" s="220"/>
      <c r="O174" s="213" t="s">
        <v>295</v>
      </c>
      <c r="P174" s="214">
        <v>50</v>
      </c>
      <c r="Q174" s="233"/>
      <c r="R174" s="234"/>
      <c r="S174" s="213" t="s">
        <v>295</v>
      </c>
      <c r="T174" s="214">
        <v>50</v>
      </c>
      <c r="U174" s="233"/>
      <c r="V174" s="234"/>
      <c r="W174" s="213" t="s">
        <v>295</v>
      </c>
      <c r="X174" s="214">
        <v>50</v>
      </c>
      <c r="Y174" s="233"/>
      <c r="Z174" s="234"/>
      <c r="AA174" s="165"/>
    </row>
    <row r="175" spans="1:29" x14ac:dyDescent="0.2">
      <c r="A175" s="212">
        <v>16</v>
      </c>
      <c r="B175" s="213" t="s">
        <v>1004</v>
      </c>
      <c r="C175" s="213"/>
      <c r="D175" s="214"/>
      <c r="E175" s="214"/>
      <c r="F175" s="220"/>
      <c r="G175" s="213"/>
      <c r="H175" s="214"/>
      <c r="I175" s="214"/>
      <c r="J175" s="220"/>
      <c r="K175" s="213"/>
      <c r="L175" s="214"/>
      <c r="M175" s="214"/>
      <c r="N175" s="220"/>
      <c r="O175" s="213"/>
      <c r="P175" s="214"/>
      <c r="Q175" s="233"/>
      <c r="R175" s="234"/>
      <c r="S175" s="213"/>
      <c r="T175" s="214"/>
      <c r="U175" s="233"/>
      <c r="V175" s="234"/>
      <c r="W175" s="213"/>
      <c r="X175" s="214"/>
      <c r="Y175" s="233"/>
      <c r="Z175" s="234"/>
      <c r="AA175" s="165"/>
    </row>
    <row r="176" spans="1:29" x14ac:dyDescent="0.2">
      <c r="A176" s="212">
        <v>17</v>
      </c>
      <c r="B176" s="213" t="s">
        <v>1005</v>
      </c>
      <c r="C176" s="213"/>
      <c r="D176" s="214"/>
      <c r="E176" s="214"/>
      <c r="F176" s="229"/>
      <c r="G176" s="213"/>
      <c r="H176" s="214"/>
      <c r="I176" s="214"/>
      <c r="J176" s="220"/>
      <c r="K176" s="213"/>
      <c r="L176" s="214"/>
      <c r="M176" s="214"/>
      <c r="N176" s="220"/>
      <c r="O176" s="213"/>
      <c r="P176" s="214"/>
      <c r="Q176" s="233"/>
      <c r="R176" s="234"/>
      <c r="S176" s="213"/>
      <c r="T176" s="214"/>
      <c r="U176" s="233"/>
      <c r="V176" s="234"/>
      <c r="W176" s="213"/>
      <c r="X176" s="214"/>
      <c r="Y176" s="233"/>
      <c r="Z176" s="234"/>
      <c r="AA176" s="165"/>
    </row>
    <row r="177" spans="1:29" x14ac:dyDescent="0.2">
      <c r="A177" s="212">
        <v>18</v>
      </c>
      <c r="B177" s="213" t="s">
        <v>1006</v>
      </c>
      <c r="C177" s="213"/>
      <c r="D177" s="214"/>
      <c r="E177" s="214"/>
      <c r="F177" s="220"/>
      <c r="G177" s="213"/>
      <c r="H177" s="214"/>
      <c r="I177" s="214"/>
      <c r="J177" s="220"/>
      <c r="K177" s="213"/>
      <c r="L177" s="214"/>
      <c r="M177" s="214"/>
      <c r="N177" s="220"/>
      <c r="O177" s="213"/>
      <c r="P177" s="214"/>
      <c r="Q177" s="233"/>
      <c r="R177" s="234"/>
      <c r="S177" s="213"/>
      <c r="T177" s="214"/>
      <c r="U177" s="233"/>
      <c r="V177" s="234"/>
      <c r="W177" s="213"/>
      <c r="X177" s="214"/>
      <c r="Y177" s="233"/>
      <c r="Z177" s="234"/>
      <c r="AA177" s="165"/>
    </row>
    <row r="178" spans="1:29" x14ac:dyDescent="0.2">
      <c r="A178" s="212">
        <v>19</v>
      </c>
      <c r="B178" s="213" t="s">
        <v>1007</v>
      </c>
      <c r="C178" s="213"/>
      <c r="D178" s="214"/>
      <c r="E178" s="214"/>
      <c r="F178" s="220"/>
      <c r="G178" s="213"/>
      <c r="H178" s="214"/>
      <c r="I178" s="214"/>
      <c r="J178" s="220"/>
      <c r="K178" s="213"/>
      <c r="L178" s="214"/>
      <c r="M178" s="214"/>
      <c r="N178" s="220"/>
      <c r="O178" s="213"/>
      <c r="P178" s="214"/>
      <c r="Q178" s="233"/>
      <c r="R178" s="234"/>
      <c r="S178" s="213"/>
      <c r="T178" s="214"/>
      <c r="U178" s="233"/>
      <c r="V178" s="234"/>
      <c r="W178" s="213"/>
      <c r="X178" s="214"/>
      <c r="Y178" s="233"/>
      <c r="Z178" s="234"/>
      <c r="AA178" s="165"/>
    </row>
    <row r="179" spans="1:29" x14ac:dyDescent="0.2">
      <c r="A179" s="212">
        <v>20</v>
      </c>
      <c r="B179" s="213" t="s">
        <v>1008</v>
      </c>
      <c r="C179" s="213"/>
      <c r="D179" s="214"/>
      <c r="E179" s="214"/>
      <c r="F179" s="220"/>
      <c r="G179" s="213"/>
      <c r="H179" s="214"/>
      <c r="I179" s="214"/>
      <c r="J179" s="220"/>
      <c r="K179" s="213"/>
      <c r="L179" s="214"/>
      <c r="M179" s="214"/>
      <c r="N179" s="220"/>
      <c r="O179" s="213"/>
      <c r="P179" s="214"/>
      <c r="Q179" s="233"/>
      <c r="R179" s="234"/>
      <c r="S179" s="213"/>
      <c r="T179" s="214"/>
      <c r="U179" s="233"/>
      <c r="V179" s="234"/>
      <c r="W179" s="213"/>
      <c r="X179" s="214"/>
      <c r="Y179" s="233"/>
      <c r="Z179" s="234"/>
      <c r="AA179" s="165"/>
    </row>
    <row r="183" spans="1:29" x14ac:dyDescent="0.2">
      <c r="A183" s="235" t="s">
        <v>223</v>
      </c>
      <c r="B183" s="235" t="s">
        <v>223</v>
      </c>
      <c r="C183" s="235" t="s">
        <v>223</v>
      </c>
      <c r="D183" s="235" t="s">
        <v>223</v>
      </c>
      <c r="E183" s="235" t="s">
        <v>223</v>
      </c>
      <c r="F183" s="235" t="s">
        <v>223</v>
      </c>
      <c r="G183" s="235" t="s">
        <v>223</v>
      </c>
      <c r="H183" s="235" t="s">
        <v>223</v>
      </c>
      <c r="I183" s="235" t="s">
        <v>223</v>
      </c>
      <c r="J183" s="235" t="s">
        <v>223</v>
      </c>
      <c r="K183" s="235" t="s">
        <v>223</v>
      </c>
      <c r="L183" s="235" t="s">
        <v>223</v>
      </c>
      <c r="M183" s="235" t="s">
        <v>223</v>
      </c>
      <c r="N183" s="235" t="s">
        <v>223</v>
      </c>
      <c r="O183" s="235" t="s">
        <v>223</v>
      </c>
      <c r="P183" s="235" t="s">
        <v>223</v>
      </c>
      <c r="Q183" s="235" t="s">
        <v>223</v>
      </c>
      <c r="R183" s="235" t="s">
        <v>223</v>
      </c>
      <c r="S183" s="235" t="s">
        <v>223</v>
      </c>
      <c r="T183" s="235" t="s">
        <v>223</v>
      </c>
      <c r="U183" s="235" t="s">
        <v>223</v>
      </c>
      <c r="V183" s="235" t="s">
        <v>223</v>
      </c>
      <c r="W183" s="235" t="s">
        <v>223</v>
      </c>
      <c r="X183" s="235" t="s">
        <v>223</v>
      </c>
      <c r="Y183" s="235" t="s">
        <v>223</v>
      </c>
      <c r="Z183" s="235" t="s">
        <v>223</v>
      </c>
      <c r="AA183" s="181" t="s">
        <v>223</v>
      </c>
      <c r="AB183" s="181" t="s">
        <v>223</v>
      </c>
      <c r="AC183" s="181" t="s">
        <v>223</v>
      </c>
    </row>
    <row r="185" spans="1:29" x14ac:dyDescent="0.2">
      <c r="A185" s="59" t="s">
        <v>965</v>
      </c>
    </row>
    <row r="186" spans="1:29" x14ac:dyDescent="0.2">
      <c r="A186" s="59" t="s">
        <v>966</v>
      </c>
    </row>
    <row r="187" spans="1:29" x14ac:dyDescent="0.2">
      <c r="A187" s="59" t="s">
        <v>967</v>
      </c>
    </row>
    <row r="188" spans="1:29" x14ac:dyDescent="0.2">
      <c r="A188" s="59" t="s">
        <v>968</v>
      </c>
    </row>
    <row r="189" spans="1:29" x14ac:dyDescent="0.2">
      <c r="A189" s="59" t="s">
        <v>969</v>
      </c>
    </row>
    <row r="190" spans="1:29" x14ac:dyDescent="0.2">
      <c r="A190" s="59" t="s">
        <v>970</v>
      </c>
    </row>
    <row r="191" spans="1:29" x14ac:dyDescent="0.2">
      <c r="A191" s="59" t="s">
        <v>971</v>
      </c>
    </row>
    <row r="192" spans="1:29" x14ac:dyDescent="0.2">
      <c r="A192" s="59" t="s">
        <v>972</v>
      </c>
    </row>
    <row r="193" spans="1:1" x14ac:dyDescent="0.2">
      <c r="A193" s="59" t="s">
        <v>973</v>
      </c>
    </row>
  </sheetData>
  <autoFilter ref="A5:AA183" xr:uid="{00000000-0009-0000-0000-000001000000}"/>
  <pageMargins left="0.7" right="0.7" top="0.75" bottom="0.75" header="0.3" footer="0.3"/>
  <pageSetup orientation="portrait" copies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pane xSplit="1" ySplit="4" topLeftCell="B5" activePane="bottomRight" state="frozen"/>
      <selection activeCell="E52" sqref="E52"/>
      <selection pane="topRight" activeCell="E52" sqref="E52"/>
      <selection pane="bottomLeft" activeCell="E52" sqref="E52"/>
      <selection pane="bottomRight" activeCell="E52" sqref="E52"/>
    </sheetView>
  </sheetViews>
  <sheetFormatPr baseColWidth="10" defaultRowHeight="15" x14ac:dyDescent="0.25"/>
  <cols>
    <col min="1" max="1" width="10.28515625" style="48" customWidth="1"/>
    <col min="2" max="2" width="27.42578125" style="48" customWidth="1"/>
    <col min="3" max="3" width="11.42578125" style="48"/>
    <col min="4" max="4" width="16.140625" style="48" customWidth="1"/>
    <col min="5" max="5" width="18.42578125" style="48" customWidth="1"/>
    <col min="6" max="16384" width="11.42578125" style="48"/>
  </cols>
  <sheetData>
    <row r="1" spans="1:11" x14ac:dyDescent="0.25">
      <c r="A1" s="47" t="s">
        <v>890</v>
      </c>
    </row>
    <row r="2" spans="1:11" x14ac:dyDescent="0.25">
      <c r="A2" s="48" t="s">
        <v>891</v>
      </c>
    </row>
    <row r="4" spans="1:11" ht="30" x14ac:dyDescent="0.25">
      <c r="A4" s="49" t="s">
        <v>892</v>
      </c>
      <c r="B4" s="49" t="s">
        <v>893</v>
      </c>
      <c r="C4" s="49" t="s">
        <v>894</v>
      </c>
      <c r="D4" s="49" t="s">
        <v>895</v>
      </c>
      <c r="E4" s="49" t="s">
        <v>896</v>
      </c>
      <c r="F4" s="50"/>
      <c r="G4" s="50"/>
      <c r="H4" s="50"/>
      <c r="I4" s="50"/>
      <c r="J4" s="50"/>
      <c r="K4" s="50"/>
    </row>
    <row r="5" spans="1:11" x14ac:dyDescent="0.25">
      <c r="A5" s="51">
        <v>1</v>
      </c>
      <c r="B5" s="52" t="s">
        <v>897</v>
      </c>
      <c r="C5" s="51">
        <v>30</v>
      </c>
      <c r="D5" s="51">
        <v>3</v>
      </c>
      <c r="E5" s="51">
        <v>4</v>
      </c>
    </row>
    <row r="6" spans="1:11" x14ac:dyDescent="0.25">
      <c r="A6" s="51">
        <v>2</v>
      </c>
      <c r="B6" s="52" t="s">
        <v>897</v>
      </c>
      <c r="C6" s="51">
        <v>15</v>
      </c>
      <c r="D6" s="51">
        <v>6</v>
      </c>
      <c r="E6" s="51">
        <v>7</v>
      </c>
    </row>
    <row r="7" spans="1:11" x14ac:dyDescent="0.25">
      <c r="A7" s="51">
        <v>3</v>
      </c>
      <c r="B7" s="52" t="s">
        <v>898</v>
      </c>
      <c r="C7" s="51">
        <v>4</v>
      </c>
      <c r="D7" s="51">
        <v>8</v>
      </c>
      <c r="E7" s="51">
        <v>9</v>
      </c>
    </row>
    <row r="8" spans="1:11" x14ac:dyDescent="0.25">
      <c r="A8" s="51">
        <v>4</v>
      </c>
      <c r="B8" s="52" t="s">
        <v>898</v>
      </c>
      <c r="C8" s="51">
        <v>4</v>
      </c>
      <c r="D8" s="51">
        <v>10</v>
      </c>
      <c r="E8" s="51">
        <v>11</v>
      </c>
    </row>
    <row r="9" spans="1:11" x14ac:dyDescent="0.25">
      <c r="A9" s="51">
        <v>5</v>
      </c>
      <c r="B9" s="52" t="s">
        <v>898</v>
      </c>
      <c r="C9" s="51">
        <v>6</v>
      </c>
      <c r="D9" s="321" t="s">
        <v>899</v>
      </c>
      <c r="E9" s="321"/>
    </row>
    <row r="11" spans="1:11" x14ac:dyDescent="0.25">
      <c r="A11" s="47" t="s">
        <v>900</v>
      </c>
    </row>
  </sheetData>
  <mergeCells count="1">
    <mergeCell ref="D9:E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94F8-9387-4A16-B903-7E4309E66F8A}">
  <dimension ref="A1:K66"/>
  <sheetViews>
    <sheetView topLeftCell="A75" zoomScaleNormal="100" workbookViewId="0">
      <selection activeCell="E52" sqref="E52"/>
    </sheetView>
  </sheetViews>
  <sheetFormatPr baseColWidth="10" defaultRowHeight="15" x14ac:dyDescent="0.25"/>
  <cols>
    <col min="1" max="1" width="24.85546875" style="65" customWidth="1"/>
    <col min="2" max="2" width="15.7109375" style="65" customWidth="1"/>
    <col min="3" max="4" width="11.42578125" style="65"/>
    <col min="5" max="5" width="7.140625" style="65" customWidth="1"/>
    <col min="6" max="6" width="6.7109375" style="65" customWidth="1"/>
    <col min="7" max="7" width="8" style="65" customWidth="1"/>
    <col min="8" max="8" width="7.28515625" style="65" customWidth="1"/>
    <col min="9" max="9" width="21.42578125" style="65" customWidth="1"/>
    <col min="10" max="17" width="11.42578125" style="65"/>
    <col min="18" max="18" width="63.140625" style="65" customWidth="1"/>
    <col min="19" max="19" width="38" style="65" bestFit="1" customWidth="1"/>
    <col min="20" max="20" width="11.42578125" style="65"/>
    <col min="21" max="21" width="10.85546875" style="65" bestFit="1" customWidth="1"/>
    <col min="22" max="22" width="15.7109375" style="65" bestFit="1" customWidth="1"/>
    <col min="23" max="23" width="11.42578125" style="65"/>
    <col min="24" max="24" width="8.85546875" style="65" bestFit="1" customWidth="1"/>
    <col min="25" max="254" width="11.42578125" style="65"/>
    <col min="255" max="255" width="24.85546875" style="65" customWidth="1"/>
    <col min="256" max="256" width="15.7109375" style="65" customWidth="1"/>
    <col min="257" max="258" width="11.42578125" style="65"/>
    <col min="259" max="259" width="7.140625" style="65" customWidth="1"/>
    <col min="260" max="260" width="6.7109375" style="65" customWidth="1"/>
    <col min="261" max="261" width="8" style="65" customWidth="1"/>
    <col min="262" max="262" width="7.28515625" style="65" customWidth="1"/>
    <col min="263" max="264" width="6.7109375" style="65" customWidth="1"/>
    <col min="265" max="265" width="21.42578125" style="65" customWidth="1"/>
    <col min="266" max="273" width="11.42578125" style="65"/>
    <col min="274" max="274" width="63.140625" style="65" customWidth="1"/>
    <col min="275" max="275" width="38" style="65" bestFit="1" customWidth="1"/>
    <col min="276" max="276" width="11.42578125" style="65"/>
    <col min="277" max="277" width="10.85546875" style="65" bestFit="1" customWidth="1"/>
    <col min="278" max="278" width="15.7109375" style="65" bestFit="1" customWidth="1"/>
    <col min="279" max="279" width="11.42578125" style="65"/>
    <col min="280" max="280" width="8.85546875" style="65" bestFit="1" customWidth="1"/>
    <col min="281" max="510" width="11.42578125" style="65"/>
    <col min="511" max="511" width="24.85546875" style="65" customWidth="1"/>
    <col min="512" max="512" width="15.7109375" style="65" customWidth="1"/>
    <col min="513" max="514" width="11.42578125" style="65"/>
    <col min="515" max="515" width="7.140625" style="65" customWidth="1"/>
    <col min="516" max="516" width="6.7109375" style="65" customWidth="1"/>
    <col min="517" max="517" width="8" style="65" customWidth="1"/>
    <col min="518" max="518" width="7.28515625" style="65" customWidth="1"/>
    <col min="519" max="520" width="6.7109375" style="65" customWidth="1"/>
    <col min="521" max="521" width="21.42578125" style="65" customWidth="1"/>
    <col min="522" max="529" width="11.42578125" style="65"/>
    <col min="530" max="530" width="63.140625" style="65" customWidth="1"/>
    <col min="531" max="531" width="38" style="65" bestFit="1" customWidth="1"/>
    <col min="532" max="532" width="11.42578125" style="65"/>
    <col min="533" max="533" width="10.85546875" style="65" bestFit="1" customWidth="1"/>
    <col min="534" max="534" width="15.7109375" style="65" bestFit="1" customWidth="1"/>
    <col min="535" max="535" width="11.42578125" style="65"/>
    <col min="536" max="536" width="8.85546875" style="65" bestFit="1" customWidth="1"/>
    <col min="537" max="766" width="11.42578125" style="65"/>
    <col min="767" max="767" width="24.85546875" style="65" customWidth="1"/>
    <col min="768" max="768" width="15.7109375" style="65" customWidth="1"/>
    <col min="769" max="770" width="11.42578125" style="65"/>
    <col min="771" max="771" width="7.140625" style="65" customWidth="1"/>
    <col min="772" max="772" width="6.7109375" style="65" customWidth="1"/>
    <col min="773" max="773" width="8" style="65" customWidth="1"/>
    <col min="774" max="774" width="7.28515625" style="65" customWidth="1"/>
    <col min="775" max="776" width="6.7109375" style="65" customWidth="1"/>
    <col min="777" max="777" width="21.42578125" style="65" customWidth="1"/>
    <col min="778" max="785" width="11.42578125" style="65"/>
    <col min="786" max="786" width="63.140625" style="65" customWidth="1"/>
    <col min="787" max="787" width="38" style="65" bestFit="1" customWidth="1"/>
    <col min="788" max="788" width="11.42578125" style="65"/>
    <col min="789" max="789" width="10.85546875" style="65" bestFit="1" customWidth="1"/>
    <col min="790" max="790" width="15.7109375" style="65" bestFit="1" customWidth="1"/>
    <col min="791" max="791" width="11.42578125" style="65"/>
    <col min="792" max="792" width="8.85546875" style="65" bestFit="1" customWidth="1"/>
    <col min="793" max="1022" width="11.42578125" style="65"/>
    <col min="1023" max="1023" width="24.85546875" style="65" customWidth="1"/>
    <col min="1024" max="1024" width="15.7109375" style="65" customWidth="1"/>
    <col min="1025" max="1026" width="11.42578125" style="65"/>
    <col min="1027" max="1027" width="7.140625" style="65" customWidth="1"/>
    <col min="1028" max="1028" width="6.7109375" style="65" customWidth="1"/>
    <col min="1029" max="1029" width="8" style="65" customWidth="1"/>
    <col min="1030" max="1030" width="7.28515625" style="65" customWidth="1"/>
    <col min="1031" max="1032" width="6.7109375" style="65" customWidth="1"/>
    <col min="1033" max="1033" width="21.42578125" style="65" customWidth="1"/>
    <col min="1034" max="1041" width="11.42578125" style="65"/>
    <col min="1042" max="1042" width="63.140625" style="65" customWidth="1"/>
    <col min="1043" max="1043" width="38" style="65" bestFit="1" customWidth="1"/>
    <col min="1044" max="1044" width="11.42578125" style="65"/>
    <col min="1045" max="1045" width="10.85546875" style="65" bestFit="1" customWidth="1"/>
    <col min="1046" max="1046" width="15.7109375" style="65" bestFit="1" customWidth="1"/>
    <col min="1047" max="1047" width="11.42578125" style="65"/>
    <col min="1048" max="1048" width="8.85546875" style="65" bestFit="1" customWidth="1"/>
    <col min="1049" max="1278" width="11.42578125" style="65"/>
    <col min="1279" max="1279" width="24.85546875" style="65" customWidth="1"/>
    <col min="1280" max="1280" width="15.7109375" style="65" customWidth="1"/>
    <col min="1281" max="1282" width="11.42578125" style="65"/>
    <col min="1283" max="1283" width="7.140625" style="65" customWidth="1"/>
    <col min="1284" max="1284" width="6.7109375" style="65" customWidth="1"/>
    <col min="1285" max="1285" width="8" style="65" customWidth="1"/>
    <col min="1286" max="1286" width="7.28515625" style="65" customWidth="1"/>
    <col min="1287" max="1288" width="6.7109375" style="65" customWidth="1"/>
    <col min="1289" max="1289" width="21.42578125" style="65" customWidth="1"/>
    <col min="1290" max="1297" width="11.42578125" style="65"/>
    <col min="1298" max="1298" width="63.140625" style="65" customWidth="1"/>
    <col min="1299" max="1299" width="38" style="65" bestFit="1" customWidth="1"/>
    <col min="1300" max="1300" width="11.42578125" style="65"/>
    <col min="1301" max="1301" width="10.85546875" style="65" bestFit="1" customWidth="1"/>
    <col min="1302" max="1302" width="15.7109375" style="65" bestFit="1" customWidth="1"/>
    <col min="1303" max="1303" width="11.42578125" style="65"/>
    <col min="1304" max="1304" width="8.85546875" style="65" bestFit="1" customWidth="1"/>
    <col min="1305" max="1534" width="11.42578125" style="65"/>
    <col min="1535" max="1535" width="24.85546875" style="65" customWidth="1"/>
    <col min="1536" max="1536" width="15.7109375" style="65" customWidth="1"/>
    <col min="1537" max="1538" width="11.42578125" style="65"/>
    <col min="1539" max="1539" width="7.140625" style="65" customWidth="1"/>
    <col min="1540" max="1540" width="6.7109375" style="65" customWidth="1"/>
    <col min="1541" max="1541" width="8" style="65" customWidth="1"/>
    <col min="1542" max="1542" width="7.28515625" style="65" customWidth="1"/>
    <col min="1543" max="1544" width="6.7109375" style="65" customWidth="1"/>
    <col min="1545" max="1545" width="21.42578125" style="65" customWidth="1"/>
    <col min="1546" max="1553" width="11.42578125" style="65"/>
    <col min="1554" max="1554" width="63.140625" style="65" customWidth="1"/>
    <col min="1555" max="1555" width="38" style="65" bestFit="1" customWidth="1"/>
    <col min="1556" max="1556" width="11.42578125" style="65"/>
    <col min="1557" max="1557" width="10.85546875" style="65" bestFit="1" customWidth="1"/>
    <col min="1558" max="1558" width="15.7109375" style="65" bestFit="1" customWidth="1"/>
    <col min="1559" max="1559" width="11.42578125" style="65"/>
    <col min="1560" max="1560" width="8.85546875" style="65" bestFit="1" customWidth="1"/>
    <col min="1561" max="1790" width="11.42578125" style="65"/>
    <col min="1791" max="1791" width="24.85546875" style="65" customWidth="1"/>
    <col min="1792" max="1792" width="15.7109375" style="65" customWidth="1"/>
    <col min="1793" max="1794" width="11.42578125" style="65"/>
    <col min="1795" max="1795" width="7.140625" style="65" customWidth="1"/>
    <col min="1796" max="1796" width="6.7109375" style="65" customWidth="1"/>
    <col min="1797" max="1797" width="8" style="65" customWidth="1"/>
    <col min="1798" max="1798" width="7.28515625" style="65" customWidth="1"/>
    <col min="1799" max="1800" width="6.7109375" style="65" customWidth="1"/>
    <col min="1801" max="1801" width="21.42578125" style="65" customWidth="1"/>
    <col min="1802" max="1809" width="11.42578125" style="65"/>
    <col min="1810" max="1810" width="63.140625" style="65" customWidth="1"/>
    <col min="1811" max="1811" width="38" style="65" bestFit="1" customWidth="1"/>
    <col min="1812" max="1812" width="11.42578125" style="65"/>
    <col min="1813" max="1813" width="10.85546875" style="65" bestFit="1" customWidth="1"/>
    <col min="1814" max="1814" width="15.7109375" style="65" bestFit="1" customWidth="1"/>
    <col min="1815" max="1815" width="11.42578125" style="65"/>
    <col min="1816" max="1816" width="8.85546875" style="65" bestFit="1" customWidth="1"/>
    <col min="1817" max="2046" width="11.42578125" style="65"/>
    <col min="2047" max="2047" width="24.85546875" style="65" customWidth="1"/>
    <col min="2048" max="2048" width="15.7109375" style="65" customWidth="1"/>
    <col min="2049" max="2050" width="11.42578125" style="65"/>
    <col min="2051" max="2051" width="7.140625" style="65" customWidth="1"/>
    <col min="2052" max="2052" width="6.7109375" style="65" customWidth="1"/>
    <col min="2053" max="2053" width="8" style="65" customWidth="1"/>
    <col min="2054" max="2054" width="7.28515625" style="65" customWidth="1"/>
    <col min="2055" max="2056" width="6.7109375" style="65" customWidth="1"/>
    <col min="2057" max="2057" width="21.42578125" style="65" customWidth="1"/>
    <col min="2058" max="2065" width="11.42578125" style="65"/>
    <col min="2066" max="2066" width="63.140625" style="65" customWidth="1"/>
    <col min="2067" max="2067" width="38" style="65" bestFit="1" customWidth="1"/>
    <col min="2068" max="2068" width="11.42578125" style="65"/>
    <col min="2069" max="2069" width="10.85546875" style="65" bestFit="1" customWidth="1"/>
    <col min="2070" max="2070" width="15.7109375" style="65" bestFit="1" customWidth="1"/>
    <col min="2071" max="2071" width="11.42578125" style="65"/>
    <col min="2072" max="2072" width="8.85546875" style="65" bestFit="1" customWidth="1"/>
    <col min="2073" max="2302" width="11.42578125" style="65"/>
    <col min="2303" max="2303" width="24.85546875" style="65" customWidth="1"/>
    <col min="2304" max="2304" width="15.7109375" style="65" customWidth="1"/>
    <col min="2305" max="2306" width="11.42578125" style="65"/>
    <col min="2307" max="2307" width="7.140625" style="65" customWidth="1"/>
    <col min="2308" max="2308" width="6.7109375" style="65" customWidth="1"/>
    <col min="2309" max="2309" width="8" style="65" customWidth="1"/>
    <col min="2310" max="2310" width="7.28515625" style="65" customWidth="1"/>
    <col min="2311" max="2312" width="6.7109375" style="65" customWidth="1"/>
    <col min="2313" max="2313" width="21.42578125" style="65" customWidth="1"/>
    <col min="2314" max="2321" width="11.42578125" style="65"/>
    <col min="2322" max="2322" width="63.140625" style="65" customWidth="1"/>
    <col min="2323" max="2323" width="38" style="65" bestFit="1" customWidth="1"/>
    <col min="2324" max="2324" width="11.42578125" style="65"/>
    <col min="2325" max="2325" width="10.85546875" style="65" bestFit="1" customWidth="1"/>
    <col min="2326" max="2326" width="15.7109375" style="65" bestFit="1" customWidth="1"/>
    <col min="2327" max="2327" width="11.42578125" style="65"/>
    <col min="2328" max="2328" width="8.85546875" style="65" bestFit="1" customWidth="1"/>
    <col min="2329" max="2558" width="11.42578125" style="65"/>
    <col min="2559" max="2559" width="24.85546875" style="65" customWidth="1"/>
    <col min="2560" max="2560" width="15.7109375" style="65" customWidth="1"/>
    <col min="2561" max="2562" width="11.42578125" style="65"/>
    <col min="2563" max="2563" width="7.140625" style="65" customWidth="1"/>
    <col min="2564" max="2564" width="6.7109375" style="65" customWidth="1"/>
    <col min="2565" max="2565" width="8" style="65" customWidth="1"/>
    <col min="2566" max="2566" width="7.28515625" style="65" customWidth="1"/>
    <col min="2567" max="2568" width="6.7109375" style="65" customWidth="1"/>
    <col min="2569" max="2569" width="21.42578125" style="65" customWidth="1"/>
    <col min="2570" max="2577" width="11.42578125" style="65"/>
    <col min="2578" max="2578" width="63.140625" style="65" customWidth="1"/>
    <col min="2579" max="2579" width="38" style="65" bestFit="1" customWidth="1"/>
    <col min="2580" max="2580" width="11.42578125" style="65"/>
    <col min="2581" max="2581" width="10.85546875" style="65" bestFit="1" customWidth="1"/>
    <col min="2582" max="2582" width="15.7109375" style="65" bestFit="1" customWidth="1"/>
    <col min="2583" max="2583" width="11.42578125" style="65"/>
    <col min="2584" max="2584" width="8.85546875" style="65" bestFit="1" customWidth="1"/>
    <col min="2585" max="2814" width="11.42578125" style="65"/>
    <col min="2815" max="2815" width="24.85546875" style="65" customWidth="1"/>
    <col min="2816" max="2816" width="15.7109375" style="65" customWidth="1"/>
    <col min="2817" max="2818" width="11.42578125" style="65"/>
    <col min="2819" max="2819" width="7.140625" style="65" customWidth="1"/>
    <col min="2820" max="2820" width="6.7109375" style="65" customWidth="1"/>
    <col min="2821" max="2821" width="8" style="65" customWidth="1"/>
    <col min="2822" max="2822" width="7.28515625" style="65" customWidth="1"/>
    <col min="2823" max="2824" width="6.7109375" style="65" customWidth="1"/>
    <col min="2825" max="2825" width="21.42578125" style="65" customWidth="1"/>
    <col min="2826" max="2833" width="11.42578125" style="65"/>
    <col min="2834" max="2834" width="63.140625" style="65" customWidth="1"/>
    <col min="2835" max="2835" width="38" style="65" bestFit="1" customWidth="1"/>
    <col min="2836" max="2836" width="11.42578125" style="65"/>
    <col min="2837" max="2837" width="10.85546875" style="65" bestFit="1" customWidth="1"/>
    <col min="2838" max="2838" width="15.7109375" style="65" bestFit="1" customWidth="1"/>
    <col min="2839" max="2839" width="11.42578125" style="65"/>
    <col min="2840" max="2840" width="8.85546875" style="65" bestFit="1" customWidth="1"/>
    <col min="2841" max="3070" width="11.42578125" style="65"/>
    <col min="3071" max="3071" width="24.85546875" style="65" customWidth="1"/>
    <col min="3072" max="3072" width="15.7109375" style="65" customWidth="1"/>
    <col min="3073" max="3074" width="11.42578125" style="65"/>
    <col min="3075" max="3075" width="7.140625" style="65" customWidth="1"/>
    <col min="3076" max="3076" width="6.7109375" style="65" customWidth="1"/>
    <col min="3077" max="3077" width="8" style="65" customWidth="1"/>
    <col min="3078" max="3078" width="7.28515625" style="65" customWidth="1"/>
    <col min="3079" max="3080" width="6.7109375" style="65" customWidth="1"/>
    <col min="3081" max="3081" width="21.42578125" style="65" customWidth="1"/>
    <col min="3082" max="3089" width="11.42578125" style="65"/>
    <col min="3090" max="3090" width="63.140625" style="65" customWidth="1"/>
    <col min="3091" max="3091" width="38" style="65" bestFit="1" customWidth="1"/>
    <col min="3092" max="3092" width="11.42578125" style="65"/>
    <col min="3093" max="3093" width="10.85546875" style="65" bestFit="1" customWidth="1"/>
    <col min="3094" max="3094" width="15.7109375" style="65" bestFit="1" customWidth="1"/>
    <col min="3095" max="3095" width="11.42578125" style="65"/>
    <col min="3096" max="3096" width="8.85546875" style="65" bestFit="1" customWidth="1"/>
    <col min="3097" max="3326" width="11.42578125" style="65"/>
    <col min="3327" max="3327" width="24.85546875" style="65" customWidth="1"/>
    <col min="3328" max="3328" width="15.7109375" style="65" customWidth="1"/>
    <col min="3329" max="3330" width="11.42578125" style="65"/>
    <col min="3331" max="3331" width="7.140625" style="65" customWidth="1"/>
    <col min="3332" max="3332" width="6.7109375" style="65" customWidth="1"/>
    <col min="3333" max="3333" width="8" style="65" customWidth="1"/>
    <col min="3334" max="3334" width="7.28515625" style="65" customWidth="1"/>
    <col min="3335" max="3336" width="6.7109375" style="65" customWidth="1"/>
    <col min="3337" max="3337" width="21.42578125" style="65" customWidth="1"/>
    <col min="3338" max="3345" width="11.42578125" style="65"/>
    <col min="3346" max="3346" width="63.140625" style="65" customWidth="1"/>
    <col min="3347" max="3347" width="38" style="65" bestFit="1" customWidth="1"/>
    <col min="3348" max="3348" width="11.42578125" style="65"/>
    <col min="3349" max="3349" width="10.85546875" style="65" bestFit="1" customWidth="1"/>
    <col min="3350" max="3350" width="15.7109375" style="65" bestFit="1" customWidth="1"/>
    <col min="3351" max="3351" width="11.42578125" style="65"/>
    <col min="3352" max="3352" width="8.85546875" style="65" bestFit="1" customWidth="1"/>
    <col min="3353" max="3582" width="11.42578125" style="65"/>
    <col min="3583" max="3583" width="24.85546875" style="65" customWidth="1"/>
    <col min="3584" max="3584" width="15.7109375" style="65" customWidth="1"/>
    <col min="3585" max="3586" width="11.42578125" style="65"/>
    <col min="3587" max="3587" width="7.140625" style="65" customWidth="1"/>
    <col min="3588" max="3588" width="6.7109375" style="65" customWidth="1"/>
    <col min="3589" max="3589" width="8" style="65" customWidth="1"/>
    <col min="3590" max="3590" width="7.28515625" style="65" customWidth="1"/>
    <col min="3591" max="3592" width="6.7109375" style="65" customWidth="1"/>
    <col min="3593" max="3593" width="21.42578125" style="65" customWidth="1"/>
    <col min="3594" max="3601" width="11.42578125" style="65"/>
    <col min="3602" max="3602" width="63.140625" style="65" customWidth="1"/>
    <col min="3603" max="3603" width="38" style="65" bestFit="1" customWidth="1"/>
    <col min="3604" max="3604" width="11.42578125" style="65"/>
    <col min="3605" max="3605" width="10.85546875" style="65" bestFit="1" customWidth="1"/>
    <col min="3606" max="3606" width="15.7109375" style="65" bestFit="1" customWidth="1"/>
    <col min="3607" max="3607" width="11.42578125" style="65"/>
    <col min="3608" max="3608" width="8.85546875" style="65" bestFit="1" customWidth="1"/>
    <col min="3609" max="3838" width="11.42578125" style="65"/>
    <col min="3839" max="3839" width="24.85546875" style="65" customWidth="1"/>
    <col min="3840" max="3840" width="15.7109375" style="65" customWidth="1"/>
    <col min="3841" max="3842" width="11.42578125" style="65"/>
    <col min="3843" max="3843" width="7.140625" style="65" customWidth="1"/>
    <col min="3844" max="3844" width="6.7109375" style="65" customWidth="1"/>
    <col min="3845" max="3845" width="8" style="65" customWidth="1"/>
    <col min="3846" max="3846" width="7.28515625" style="65" customWidth="1"/>
    <col min="3847" max="3848" width="6.7109375" style="65" customWidth="1"/>
    <col min="3849" max="3849" width="21.42578125" style="65" customWidth="1"/>
    <col min="3850" max="3857" width="11.42578125" style="65"/>
    <col min="3858" max="3858" width="63.140625" style="65" customWidth="1"/>
    <col min="3859" max="3859" width="38" style="65" bestFit="1" customWidth="1"/>
    <col min="3860" max="3860" width="11.42578125" style="65"/>
    <col min="3861" max="3861" width="10.85546875" style="65" bestFit="1" customWidth="1"/>
    <col min="3862" max="3862" width="15.7109375" style="65" bestFit="1" customWidth="1"/>
    <col min="3863" max="3863" width="11.42578125" style="65"/>
    <col min="3864" max="3864" width="8.85546875" style="65" bestFit="1" customWidth="1"/>
    <col min="3865" max="4094" width="11.42578125" style="65"/>
    <col min="4095" max="4095" width="24.85546875" style="65" customWidth="1"/>
    <col min="4096" max="4096" width="15.7109375" style="65" customWidth="1"/>
    <col min="4097" max="4098" width="11.42578125" style="65"/>
    <col min="4099" max="4099" width="7.140625" style="65" customWidth="1"/>
    <col min="4100" max="4100" width="6.7109375" style="65" customWidth="1"/>
    <col min="4101" max="4101" width="8" style="65" customWidth="1"/>
    <col min="4102" max="4102" width="7.28515625" style="65" customWidth="1"/>
    <col min="4103" max="4104" width="6.7109375" style="65" customWidth="1"/>
    <col min="4105" max="4105" width="21.42578125" style="65" customWidth="1"/>
    <col min="4106" max="4113" width="11.42578125" style="65"/>
    <col min="4114" max="4114" width="63.140625" style="65" customWidth="1"/>
    <col min="4115" max="4115" width="38" style="65" bestFit="1" customWidth="1"/>
    <col min="4116" max="4116" width="11.42578125" style="65"/>
    <col min="4117" max="4117" width="10.85546875" style="65" bestFit="1" customWidth="1"/>
    <col min="4118" max="4118" width="15.7109375" style="65" bestFit="1" customWidth="1"/>
    <col min="4119" max="4119" width="11.42578125" style="65"/>
    <col min="4120" max="4120" width="8.85546875" style="65" bestFit="1" customWidth="1"/>
    <col min="4121" max="4350" width="11.42578125" style="65"/>
    <col min="4351" max="4351" width="24.85546875" style="65" customWidth="1"/>
    <col min="4352" max="4352" width="15.7109375" style="65" customWidth="1"/>
    <col min="4353" max="4354" width="11.42578125" style="65"/>
    <col min="4355" max="4355" width="7.140625" style="65" customWidth="1"/>
    <col min="4356" max="4356" width="6.7109375" style="65" customWidth="1"/>
    <col min="4357" max="4357" width="8" style="65" customWidth="1"/>
    <col min="4358" max="4358" width="7.28515625" style="65" customWidth="1"/>
    <col min="4359" max="4360" width="6.7109375" style="65" customWidth="1"/>
    <col min="4361" max="4361" width="21.42578125" style="65" customWidth="1"/>
    <col min="4362" max="4369" width="11.42578125" style="65"/>
    <col min="4370" max="4370" width="63.140625" style="65" customWidth="1"/>
    <col min="4371" max="4371" width="38" style="65" bestFit="1" customWidth="1"/>
    <col min="4372" max="4372" width="11.42578125" style="65"/>
    <col min="4373" max="4373" width="10.85546875" style="65" bestFit="1" customWidth="1"/>
    <col min="4374" max="4374" width="15.7109375" style="65" bestFit="1" customWidth="1"/>
    <col min="4375" max="4375" width="11.42578125" style="65"/>
    <col min="4376" max="4376" width="8.85546875" style="65" bestFit="1" customWidth="1"/>
    <col min="4377" max="4606" width="11.42578125" style="65"/>
    <col min="4607" max="4607" width="24.85546875" style="65" customWidth="1"/>
    <col min="4608" max="4608" width="15.7109375" style="65" customWidth="1"/>
    <col min="4609" max="4610" width="11.42578125" style="65"/>
    <col min="4611" max="4611" width="7.140625" style="65" customWidth="1"/>
    <col min="4612" max="4612" width="6.7109375" style="65" customWidth="1"/>
    <col min="4613" max="4613" width="8" style="65" customWidth="1"/>
    <col min="4614" max="4614" width="7.28515625" style="65" customWidth="1"/>
    <col min="4615" max="4616" width="6.7109375" style="65" customWidth="1"/>
    <col min="4617" max="4617" width="21.42578125" style="65" customWidth="1"/>
    <col min="4618" max="4625" width="11.42578125" style="65"/>
    <col min="4626" max="4626" width="63.140625" style="65" customWidth="1"/>
    <col min="4627" max="4627" width="38" style="65" bestFit="1" customWidth="1"/>
    <col min="4628" max="4628" width="11.42578125" style="65"/>
    <col min="4629" max="4629" width="10.85546875" style="65" bestFit="1" customWidth="1"/>
    <col min="4630" max="4630" width="15.7109375" style="65" bestFit="1" customWidth="1"/>
    <col min="4631" max="4631" width="11.42578125" style="65"/>
    <col min="4632" max="4632" width="8.85546875" style="65" bestFit="1" customWidth="1"/>
    <col min="4633" max="4862" width="11.42578125" style="65"/>
    <col min="4863" max="4863" width="24.85546875" style="65" customWidth="1"/>
    <col min="4864" max="4864" width="15.7109375" style="65" customWidth="1"/>
    <col min="4865" max="4866" width="11.42578125" style="65"/>
    <col min="4867" max="4867" width="7.140625" style="65" customWidth="1"/>
    <col min="4868" max="4868" width="6.7109375" style="65" customWidth="1"/>
    <col min="4869" max="4869" width="8" style="65" customWidth="1"/>
    <col min="4870" max="4870" width="7.28515625" style="65" customWidth="1"/>
    <col min="4871" max="4872" width="6.7109375" style="65" customWidth="1"/>
    <col min="4873" max="4873" width="21.42578125" style="65" customWidth="1"/>
    <col min="4874" max="4881" width="11.42578125" style="65"/>
    <col min="4882" max="4882" width="63.140625" style="65" customWidth="1"/>
    <col min="4883" max="4883" width="38" style="65" bestFit="1" customWidth="1"/>
    <col min="4884" max="4884" width="11.42578125" style="65"/>
    <col min="4885" max="4885" width="10.85546875" style="65" bestFit="1" customWidth="1"/>
    <col min="4886" max="4886" width="15.7109375" style="65" bestFit="1" customWidth="1"/>
    <col min="4887" max="4887" width="11.42578125" style="65"/>
    <col min="4888" max="4888" width="8.85546875" style="65" bestFit="1" customWidth="1"/>
    <col min="4889" max="5118" width="11.42578125" style="65"/>
    <col min="5119" max="5119" width="24.85546875" style="65" customWidth="1"/>
    <col min="5120" max="5120" width="15.7109375" style="65" customWidth="1"/>
    <col min="5121" max="5122" width="11.42578125" style="65"/>
    <col min="5123" max="5123" width="7.140625" style="65" customWidth="1"/>
    <col min="5124" max="5124" width="6.7109375" style="65" customWidth="1"/>
    <col min="5125" max="5125" width="8" style="65" customWidth="1"/>
    <col min="5126" max="5126" width="7.28515625" style="65" customWidth="1"/>
    <col min="5127" max="5128" width="6.7109375" style="65" customWidth="1"/>
    <col min="5129" max="5129" width="21.42578125" style="65" customWidth="1"/>
    <col min="5130" max="5137" width="11.42578125" style="65"/>
    <col min="5138" max="5138" width="63.140625" style="65" customWidth="1"/>
    <col min="5139" max="5139" width="38" style="65" bestFit="1" customWidth="1"/>
    <col min="5140" max="5140" width="11.42578125" style="65"/>
    <col min="5141" max="5141" width="10.85546875" style="65" bestFit="1" customWidth="1"/>
    <col min="5142" max="5142" width="15.7109375" style="65" bestFit="1" customWidth="1"/>
    <col min="5143" max="5143" width="11.42578125" style="65"/>
    <col min="5144" max="5144" width="8.85546875" style="65" bestFit="1" customWidth="1"/>
    <col min="5145" max="5374" width="11.42578125" style="65"/>
    <col min="5375" max="5375" width="24.85546875" style="65" customWidth="1"/>
    <col min="5376" max="5376" width="15.7109375" style="65" customWidth="1"/>
    <col min="5377" max="5378" width="11.42578125" style="65"/>
    <col min="5379" max="5379" width="7.140625" style="65" customWidth="1"/>
    <col min="5380" max="5380" width="6.7109375" style="65" customWidth="1"/>
    <col min="5381" max="5381" width="8" style="65" customWidth="1"/>
    <col min="5382" max="5382" width="7.28515625" style="65" customWidth="1"/>
    <col min="5383" max="5384" width="6.7109375" style="65" customWidth="1"/>
    <col min="5385" max="5385" width="21.42578125" style="65" customWidth="1"/>
    <col min="5386" max="5393" width="11.42578125" style="65"/>
    <col min="5394" max="5394" width="63.140625" style="65" customWidth="1"/>
    <col min="5395" max="5395" width="38" style="65" bestFit="1" customWidth="1"/>
    <col min="5396" max="5396" width="11.42578125" style="65"/>
    <col min="5397" max="5397" width="10.85546875" style="65" bestFit="1" customWidth="1"/>
    <col min="5398" max="5398" width="15.7109375" style="65" bestFit="1" customWidth="1"/>
    <col min="5399" max="5399" width="11.42578125" style="65"/>
    <col min="5400" max="5400" width="8.85546875" style="65" bestFit="1" customWidth="1"/>
    <col min="5401" max="5630" width="11.42578125" style="65"/>
    <col min="5631" max="5631" width="24.85546875" style="65" customWidth="1"/>
    <col min="5632" max="5632" width="15.7109375" style="65" customWidth="1"/>
    <col min="5633" max="5634" width="11.42578125" style="65"/>
    <col min="5635" max="5635" width="7.140625" style="65" customWidth="1"/>
    <col min="5636" max="5636" width="6.7109375" style="65" customWidth="1"/>
    <col min="5637" max="5637" width="8" style="65" customWidth="1"/>
    <col min="5638" max="5638" width="7.28515625" style="65" customWidth="1"/>
    <col min="5639" max="5640" width="6.7109375" style="65" customWidth="1"/>
    <col min="5641" max="5641" width="21.42578125" style="65" customWidth="1"/>
    <col min="5642" max="5649" width="11.42578125" style="65"/>
    <col min="5650" max="5650" width="63.140625" style="65" customWidth="1"/>
    <col min="5651" max="5651" width="38" style="65" bestFit="1" customWidth="1"/>
    <col min="5652" max="5652" width="11.42578125" style="65"/>
    <col min="5653" max="5653" width="10.85546875" style="65" bestFit="1" customWidth="1"/>
    <col min="5654" max="5654" width="15.7109375" style="65" bestFit="1" customWidth="1"/>
    <col min="5655" max="5655" width="11.42578125" style="65"/>
    <col min="5656" max="5656" width="8.85546875" style="65" bestFit="1" customWidth="1"/>
    <col min="5657" max="5886" width="11.42578125" style="65"/>
    <col min="5887" max="5887" width="24.85546875" style="65" customWidth="1"/>
    <col min="5888" max="5888" width="15.7109375" style="65" customWidth="1"/>
    <col min="5889" max="5890" width="11.42578125" style="65"/>
    <col min="5891" max="5891" width="7.140625" style="65" customWidth="1"/>
    <col min="5892" max="5892" width="6.7109375" style="65" customWidth="1"/>
    <col min="5893" max="5893" width="8" style="65" customWidth="1"/>
    <col min="5894" max="5894" width="7.28515625" style="65" customWidth="1"/>
    <col min="5895" max="5896" width="6.7109375" style="65" customWidth="1"/>
    <col min="5897" max="5897" width="21.42578125" style="65" customWidth="1"/>
    <col min="5898" max="5905" width="11.42578125" style="65"/>
    <col min="5906" max="5906" width="63.140625" style="65" customWidth="1"/>
    <col min="5907" max="5907" width="38" style="65" bestFit="1" customWidth="1"/>
    <col min="5908" max="5908" width="11.42578125" style="65"/>
    <col min="5909" max="5909" width="10.85546875" style="65" bestFit="1" customWidth="1"/>
    <col min="5910" max="5910" width="15.7109375" style="65" bestFit="1" customWidth="1"/>
    <col min="5911" max="5911" width="11.42578125" style="65"/>
    <col min="5912" max="5912" width="8.85546875" style="65" bestFit="1" customWidth="1"/>
    <col min="5913" max="6142" width="11.42578125" style="65"/>
    <col min="6143" max="6143" width="24.85546875" style="65" customWidth="1"/>
    <col min="6144" max="6144" width="15.7109375" style="65" customWidth="1"/>
    <col min="6145" max="6146" width="11.42578125" style="65"/>
    <col min="6147" max="6147" width="7.140625" style="65" customWidth="1"/>
    <col min="6148" max="6148" width="6.7109375" style="65" customWidth="1"/>
    <col min="6149" max="6149" width="8" style="65" customWidth="1"/>
    <col min="6150" max="6150" width="7.28515625" style="65" customWidth="1"/>
    <col min="6151" max="6152" width="6.7109375" style="65" customWidth="1"/>
    <col min="6153" max="6153" width="21.42578125" style="65" customWidth="1"/>
    <col min="6154" max="6161" width="11.42578125" style="65"/>
    <col min="6162" max="6162" width="63.140625" style="65" customWidth="1"/>
    <col min="6163" max="6163" width="38" style="65" bestFit="1" customWidth="1"/>
    <col min="6164" max="6164" width="11.42578125" style="65"/>
    <col min="6165" max="6165" width="10.85546875" style="65" bestFit="1" customWidth="1"/>
    <col min="6166" max="6166" width="15.7109375" style="65" bestFit="1" customWidth="1"/>
    <col min="6167" max="6167" width="11.42578125" style="65"/>
    <col min="6168" max="6168" width="8.85546875" style="65" bestFit="1" customWidth="1"/>
    <col min="6169" max="6398" width="11.42578125" style="65"/>
    <col min="6399" max="6399" width="24.85546875" style="65" customWidth="1"/>
    <col min="6400" max="6400" width="15.7109375" style="65" customWidth="1"/>
    <col min="6401" max="6402" width="11.42578125" style="65"/>
    <col min="6403" max="6403" width="7.140625" style="65" customWidth="1"/>
    <col min="6404" max="6404" width="6.7109375" style="65" customWidth="1"/>
    <col min="6405" max="6405" width="8" style="65" customWidth="1"/>
    <col min="6406" max="6406" width="7.28515625" style="65" customWidth="1"/>
    <col min="6407" max="6408" width="6.7109375" style="65" customWidth="1"/>
    <col min="6409" max="6409" width="21.42578125" style="65" customWidth="1"/>
    <col min="6410" max="6417" width="11.42578125" style="65"/>
    <col min="6418" max="6418" width="63.140625" style="65" customWidth="1"/>
    <col min="6419" max="6419" width="38" style="65" bestFit="1" customWidth="1"/>
    <col min="6420" max="6420" width="11.42578125" style="65"/>
    <col min="6421" max="6421" width="10.85546875" style="65" bestFit="1" customWidth="1"/>
    <col min="6422" max="6422" width="15.7109375" style="65" bestFit="1" customWidth="1"/>
    <col min="6423" max="6423" width="11.42578125" style="65"/>
    <col min="6424" max="6424" width="8.85546875" style="65" bestFit="1" customWidth="1"/>
    <col min="6425" max="6654" width="11.42578125" style="65"/>
    <col min="6655" max="6655" width="24.85546875" style="65" customWidth="1"/>
    <col min="6656" max="6656" width="15.7109375" style="65" customWidth="1"/>
    <col min="6657" max="6658" width="11.42578125" style="65"/>
    <col min="6659" max="6659" width="7.140625" style="65" customWidth="1"/>
    <col min="6660" max="6660" width="6.7109375" style="65" customWidth="1"/>
    <col min="6661" max="6661" width="8" style="65" customWidth="1"/>
    <col min="6662" max="6662" width="7.28515625" style="65" customWidth="1"/>
    <col min="6663" max="6664" width="6.7109375" style="65" customWidth="1"/>
    <col min="6665" max="6665" width="21.42578125" style="65" customWidth="1"/>
    <col min="6666" max="6673" width="11.42578125" style="65"/>
    <col min="6674" max="6674" width="63.140625" style="65" customWidth="1"/>
    <col min="6675" max="6675" width="38" style="65" bestFit="1" customWidth="1"/>
    <col min="6676" max="6676" width="11.42578125" style="65"/>
    <col min="6677" max="6677" width="10.85546875" style="65" bestFit="1" customWidth="1"/>
    <col min="6678" max="6678" width="15.7109375" style="65" bestFit="1" customWidth="1"/>
    <col min="6679" max="6679" width="11.42578125" style="65"/>
    <col min="6680" max="6680" width="8.85546875" style="65" bestFit="1" customWidth="1"/>
    <col min="6681" max="6910" width="11.42578125" style="65"/>
    <col min="6911" max="6911" width="24.85546875" style="65" customWidth="1"/>
    <col min="6912" max="6912" width="15.7109375" style="65" customWidth="1"/>
    <col min="6913" max="6914" width="11.42578125" style="65"/>
    <col min="6915" max="6915" width="7.140625" style="65" customWidth="1"/>
    <col min="6916" max="6916" width="6.7109375" style="65" customWidth="1"/>
    <col min="6917" max="6917" width="8" style="65" customWidth="1"/>
    <col min="6918" max="6918" width="7.28515625" style="65" customWidth="1"/>
    <col min="6919" max="6920" width="6.7109375" style="65" customWidth="1"/>
    <col min="6921" max="6921" width="21.42578125" style="65" customWidth="1"/>
    <col min="6922" max="6929" width="11.42578125" style="65"/>
    <col min="6930" max="6930" width="63.140625" style="65" customWidth="1"/>
    <col min="6931" max="6931" width="38" style="65" bestFit="1" customWidth="1"/>
    <col min="6932" max="6932" width="11.42578125" style="65"/>
    <col min="6933" max="6933" width="10.85546875" style="65" bestFit="1" customWidth="1"/>
    <col min="6934" max="6934" width="15.7109375" style="65" bestFit="1" customWidth="1"/>
    <col min="6935" max="6935" width="11.42578125" style="65"/>
    <col min="6936" max="6936" width="8.85546875" style="65" bestFit="1" customWidth="1"/>
    <col min="6937" max="7166" width="11.42578125" style="65"/>
    <col min="7167" max="7167" width="24.85546875" style="65" customWidth="1"/>
    <col min="7168" max="7168" width="15.7109375" style="65" customWidth="1"/>
    <col min="7169" max="7170" width="11.42578125" style="65"/>
    <col min="7171" max="7171" width="7.140625" style="65" customWidth="1"/>
    <col min="7172" max="7172" width="6.7109375" style="65" customWidth="1"/>
    <col min="7173" max="7173" width="8" style="65" customWidth="1"/>
    <col min="7174" max="7174" width="7.28515625" style="65" customWidth="1"/>
    <col min="7175" max="7176" width="6.7109375" style="65" customWidth="1"/>
    <col min="7177" max="7177" width="21.42578125" style="65" customWidth="1"/>
    <col min="7178" max="7185" width="11.42578125" style="65"/>
    <col min="7186" max="7186" width="63.140625" style="65" customWidth="1"/>
    <col min="7187" max="7187" width="38" style="65" bestFit="1" customWidth="1"/>
    <col min="7188" max="7188" width="11.42578125" style="65"/>
    <col min="7189" max="7189" width="10.85546875" style="65" bestFit="1" customWidth="1"/>
    <col min="7190" max="7190" width="15.7109375" style="65" bestFit="1" customWidth="1"/>
    <col min="7191" max="7191" width="11.42578125" style="65"/>
    <col min="7192" max="7192" width="8.85546875" style="65" bestFit="1" customWidth="1"/>
    <col min="7193" max="7422" width="11.42578125" style="65"/>
    <col min="7423" max="7423" width="24.85546875" style="65" customWidth="1"/>
    <col min="7424" max="7424" width="15.7109375" style="65" customWidth="1"/>
    <col min="7425" max="7426" width="11.42578125" style="65"/>
    <col min="7427" max="7427" width="7.140625" style="65" customWidth="1"/>
    <col min="7428" max="7428" width="6.7109375" style="65" customWidth="1"/>
    <col min="7429" max="7429" width="8" style="65" customWidth="1"/>
    <col min="7430" max="7430" width="7.28515625" style="65" customWidth="1"/>
    <col min="7431" max="7432" width="6.7109375" style="65" customWidth="1"/>
    <col min="7433" max="7433" width="21.42578125" style="65" customWidth="1"/>
    <col min="7434" max="7441" width="11.42578125" style="65"/>
    <col min="7442" max="7442" width="63.140625" style="65" customWidth="1"/>
    <col min="7443" max="7443" width="38" style="65" bestFit="1" customWidth="1"/>
    <col min="7444" max="7444" width="11.42578125" style="65"/>
    <col min="7445" max="7445" width="10.85546875" style="65" bestFit="1" customWidth="1"/>
    <col min="7446" max="7446" width="15.7109375" style="65" bestFit="1" customWidth="1"/>
    <col min="7447" max="7447" width="11.42578125" style="65"/>
    <col min="7448" max="7448" width="8.85546875" style="65" bestFit="1" customWidth="1"/>
    <col min="7449" max="7678" width="11.42578125" style="65"/>
    <col min="7679" max="7679" width="24.85546875" style="65" customWidth="1"/>
    <col min="7680" max="7680" width="15.7109375" style="65" customWidth="1"/>
    <col min="7681" max="7682" width="11.42578125" style="65"/>
    <col min="7683" max="7683" width="7.140625" style="65" customWidth="1"/>
    <col min="7684" max="7684" width="6.7109375" style="65" customWidth="1"/>
    <col min="7685" max="7685" width="8" style="65" customWidth="1"/>
    <col min="7686" max="7686" width="7.28515625" style="65" customWidth="1"/>
    <col min="7687" max="7688" width="6.7109375" style="65" customWidth="1"/>
    <col min="7689" max="7689" width="21.42578125" style="65" customWidth="1"/>
    <col min="7690" max="7697" width="11.42578125" style="65"/>
    <col min="7698" max="7698" width="63.140625" style="65" customWidth="1"/>
    <col min="7699" max="7699" width="38" style="65" bestFit="1" customWidth="1"/>
    <col min="7700" max="7700" width="11.42578125" style="65"/>
    <col min="7701" max="7701" width="10.85546875" style="65" bestFit="1" customWidth="1"/>
    <col min="7702" max="7702" width="15.7109375" style="65" bestFit="1" customWidth="1"/>
    <col min="7703" max="7703" width="11.42578125" style="65"/>
    <col min="7704" max="7704" width="8.85546875" style="65" bestFit="1" customWidth="1"/>
    <col min="7705" max="7934" width="11.42578125" style="65"/>
    <col min="7935" max="7935" width="24.85546875" style="65" customWidth="1"/>
    <col min="7936" max="7936" width="15.7109375" style="65" customWidth="1"/>
    <col min="7937" max="7938" width="11.42578125" style="65"/>
    <col min="7939" max="7939" width="7.140625" style="65" customWidth="1"/>
    <col min="7940" max="7940" width="6.7109375" style="65" customWidth="1"/>
    <col min="7941" max="7941" width="8" style="65" customWidth="1"/>
    <col min="7942" max="7942" width="7.28515625" style="65" customWidth="1"/>
    <col min="7943" max="7944" width="6.7109375" style="65" customWidth="1"/>
    <col min="7945" max="7945" width="21.42578125" style="65" customWidth="1"/>
    <col min="7946" max="7953" width="11.42578125" style="65"/>
    <col min="7954" max="7954" width="63.140625" style="65" customWidth="1"/>
    <col min="7955" max="7955" width="38" style="65" bestFit="1" customWidth="1"/>
    <col min="7956" max="7956" width="11.42578125" style="65"/>
    <col min="7957" max="7957" width="10.85546875" style="65" bestFit="1" customWidth="1"/>
    <col min="7958" max="7958" width="15.7109375" style="65" bestFit="1" customWidth="1"/>
    <col min="7959" max="7959" width="11.42578125" style="65"/>
    <col min="7960" max="7960" width="8.85546875" style="65" bestFit="1" customWidth="1"/>
    <col min="7961" max="8190" width="11.42578125" style="65"/>
    <col min="8191" max="8191" width="24.85546875" style="65" customWidth="1"/>
    <col min="8192" max="8192" width="15.7109375" style="65" customWidth="1"/>
    <col min="8193" max="8194" width="11.42578125" style="65"/>
    <col min="8195" max="8195" width="7.140625" style="65" customWidth="1"/>
    <col min="8196" max="8196" width="6.7109375" style="65" customWidth="1"/>
    <col min="8197" max="8197" width="8" style="65" customWidth="1"/>
    <col min="8198" max="8198" width="7.28515625" style="65" customWidth="1"/>
    <col min="8199" max="8200" width="6.7109375" style="65" customWidth="1"/>
    <col min="8201" max="8201" width="21.42578125" style="65" customWidth="1"/>
    <col min="8202" max="8209" width="11.42578125" style="65"/>
    <col min="8210" max="8210" width="63.140625" style="65" customWidth="1"/>
    <col min="8211" max="8211" width="38" style="65" bestFit="1" customWidth="1"/>
    <col min="8212" max="8212" width="11.42578125" style="65"/>
    <col min="8213" max="8213" width="10.85546875" style="65" bestFit="1" customWidth="1"/>
    <col min="8214" max="8214" width="15.7109375" style="65" bestFit="1" customWidth="1"/>
    <col min="8215" max="8215" width="11.42578125" style="65"/>
    <col min="8216" max="8216" width="8.85546875" style="65" bestFit="1" customWidth="1"/>
    <col min="8217" max="8446" width="11.42578125" style="65"/>
    <col min="8447" max="8447" width="24.85546875" style="65" customWidth="1"/>
    <col min="8448" max="8448" width="15.7109375" style="65" customWidth="1"/>
    <col min="8449" max="8450" width="11.42578125" style="65"/>
    <col min="8451" max="8451" width="7.140625" style="65" customWidth="1"/>
    <col min="8452" max="8452" width="6.7109375" style="65" customWidth="1"/>
    <col min="8453" max="8453" width="8" style="65" customWidth="1"/>
    <col min="8454" max="8454" width="7.28515625" style="65" customWidth="1"/>
    <col min="8455" max="8456" width="6.7109375" style="65" customWidth="1"/>
    <col min="8457" max="8457" width="21.42578125" style="65" customWidth="1"/>
    <col min="8458" max="8465" width="11.42578125" style="65"/>
    <col min="8466" max="8466" width="63.140625" style="65" customWidth="1"/>
    <col min="8467" max="8467" width="38" style="65" bestFit="1" customWidth="1"/>
    <col min="8468" max="8468" width="11.42578125" style="65"/>
    <col min="8469" max="8469" width="10.85546875" style="65" bestFit="1" customWidth="1"/>
    <col min="8470" max="8470" width="15.7109375" style="65" bestFit="1" customWidth="1"/>
    <col min="8471" max="8471" width="11.42578125" style="65"/>
    <col min="8472" max="8472" width="8.85546875" style="65" bestFit="1" customWidth="1"/>
    <col min="8473" max="8702" width="11.42578125" style="65"/>
    <col min="8703" max="8703" width="24.85546875" style="65" customWidth="1"/>
    <col min="8704" max="8704" width="15.7109375" style="65" customWidth="1"/>
    <col min="8705" max="8706" width="11.42578125" style="65"/>
    <col min="8707" max="8707" width="7.140625" style="65" customWidth="1"/>
    <col min="8708" max="8708" width="6.7109375" style="65" customWidth="1"/>
    <col min="8709" max="8709" width="8" style="65" customWidth="1"/>
    <col min="8710" max="8710" width="7.28515625" style="65" customWidth="1"/>
    <col min="8711" max="8712" width="6.7109375" style="65" customWidth="1"/>
    <col min="8713" max="8713" width="21.42578125" style="65" customWidth="1"/>
    <col min="8714" max="8721" width="11.42578125" style="65"/>
    <col min="8722" max="8722" width="63.140625" style="65" customWidth="1"/>
    <col min="8723" max="8723" width="38" style="65" bestFit="1" customWidth="1"/>
    <col min="8724" max="8724" width="11.42578125" style="65"/>
    <col min="8725" max="8725" width="10.85546875" style="65" bestFit="1" customWidth="1"/>
    <col min="8726" max="8726" width="15.7109375" style="65" bestFit="1" customWidth="1"/>
    <col min="8727" max="8727" width="11.42578125" style="65"/>
    <col min="8728" max="8728" width="8.85546875" style="65" bestFit="1" customWidth="1"/>
    <col min="8729" max="8958" width="11.42578125" style="65"/>
    <col min="8959" max="8959" width="24.85546875" style="65" customWidth="1"/>
    <col min="8960" max="8960" width="15.7109375" style="65" customWidth="1"/>
    <col min="8961" max="8962" width="11.42578125" style="65"/>
    <col min="8963" max="8963" width="7.140625" style="65" customWidth="1"/>
    <col min="8964" max="8964" width="6.7109375" style="65" customWidth="1"/>
    <col min="8965" max="8965" width="8" style="65" customWidth="1"/>
    <col min="8966" max="8966" width="7.28515625" style="65" customWidth="1"/>
    <col min="8967" max="8968" width="6.7109375" style="65" customWidth="1"/>
    <col min="8969" max="8969" width="21.42578125" style="65" customWidth="1"/>
    <col min="8970" max="8977" width="11.42578125" style="65"/>
    <col min="8978" max="8978" width="63.140625" style="65" customWidth="1"/>
    <col min="8979" max="8979" width="38" style="65" bestFit="1" customWidth="1"/>
    <col min="8980" max="8980" width="11.42578125" style="65"/>
    <col min="8981" max="8981" width="10.85546875" style="65" bestFit="1" customWidth="1"/>
    <col min="8982" max="8982" width="15.7109375" style="65" bestFit="1" customWidth="1"/>
    <col min="8983" max="8983" width="11.42578125" style="65"/>
    <col min="8984" max="8984" width="8.85546875" style="65" bestFit="1" customWidth="1"/>
    <col min="8985" max="9214" width="11.42578125" style="65"/>
    <col min="9215" max="9215" width="24.85546875" style="65" customWidth="1"/>
    <col min="9216" max="9216" width="15.7109375" style="65" customWidth="1"/>
    <col min="9217" max="9218" width="11.42578125" style="65"/>
    <col min="9219" max="9219" width="7.140625" style="65" customWidth="1"/>
    <col min="9220" max="9220" width="6.7109375" style="65" customWidth="1"/>
    <col min="9221" max="9221" width="8" style="65" customWidth="1"/>
    <col min="9222" max="9222" width="7.28515625" style="65" customWidth="1"/>
    <col min="9223" max="9224" width="6.7109375" style="65" customWidth="1"/>
    <col min="9225" max="9225" width="21.42578125" style="65" customWidth="1"/>
    <col min="9226" max="9233" width="11.42578125" style="65"/>
    <col min="9234" max="9234" width="63.140625" style="65" customWidth="1"/>
    <col min="9235" max="9235" width="38" style="65" bestFit="1" customWidth="1"/>
    <col min="9236" max="9236" width="11.42578125" style="65"/>
    <col min="9237" max="9237" width="10.85546875" style="65" bestFit="1" customWidth="1"/>
    <col min="9238" max="9238" width="15.7109375" style="65" bestFit="1" customWidth="1"/>
    <col min="9239" max="9239" width="11.42578125" style="65"/>
    <col min="9240" max="9240" width="8.85546875" style="65" bestFit="1" customWidth="1"/>
    <col min="9241" max="9470" width="11.42578125" style="65"/>
    <col min="9471" max="9471" width="24.85546875" style="65" customWidth="1"/>
    <col min="9472" max="9472" width="15.7109375" style="65" customWidth="1"/>
    <col min="9473" max="9474" width="11.42578125" style="65"/>
    <col min="9475" max="9475" width="7.140625" style="65" customWidth="1"/>
    <col min="9476" max="9476" width="6.7109375" style="65" customWidth="1"/>
    <col min="9477" max="9477" width="8" style="65" customWidth="1"/>
    <col min="9478" max="9478" width="7.28515625" style="65" customWidth="1"/>
    <col min="9479" max="9480" width="6.7109375" style="65" customWidth="1"/>
    <col min="9481" max="9481" width="21.42578125" style="65" customWidth="1"/>
    <col min="9482" max="9489" width="11.42578125" style="65"/>
    <col min="9490" max="9490" width="63.140625" style="65" customWidth="1"/>
    <col min="9491" max="9491" width="38" style="65" bestFit="1" customWidth="1"/>
    <col min="9492" max="9492" width="11.42578125" style="65"/>
    <col min="9493" max="9493" width="10.85546875" style="65" bestFit="1" customWidth="1"/>
    <col min="9494" max="9494" width="15.7109375" style="65" bestFit="1" customWidth="1"/>
    <col min="9495" max="9495" width="11.42578125" style="65"/>
    <col min="9496" max="9496" width="8.85546875" style="65" bestFit="1" customWidth="1"/>
    <col min="9497" max="9726" width="11.42578125" style="65"/>
    <col min="9727" max="9727" width="24.85546875" style="65" customWidth="1"/>
    <col min="9728" max="9728" width="15.7109375" style="65" customWidth="1"/>
    <col min="9729" max="9730" width="11.42578125" style="65"/>
    <col min="9731" max="9731" width="7.140625" style="65" customWidth="1"/>
    <col min="9732" max="9732" width="6.7109375" style="65" customWidth="1"/>
    <col min="9733" max="9733" width="8" style="65" customWidth="1"/>
    <col min="9734" max="9734" width="7.28515625" style="65" customWidth="1"/>
    <col min="9735" max="9736" width="6.7109375" style="65" customWidth="1"/>
    <col min="9737" max="9737" width="21.42578125" style="65" customWidth="1"/>
    <col min="9738" max="9745" width="11.42578125" style="65"/>
    <col min="9746" max="9746" width="63.140625" style="65" customWidth="1"/>
    <col min="9747" max="9747" width="38" style="65" bestFit="1" customWidth="1"/>
    <col min="9748" max="9748" width="11.42578125" style="65"/>
    <col min="9749" max="9749" width="10.85546875" style="65" bestFit="1" customWidth="1"/>
    <col min="9750" max="9750" width="15.7109375" style="65" bestFit="1" customWidth="1"/>
    <col min="9751" max="9751" width="11.42578125" style="65"/>
    <col min="9752" max="9752" width="8.85546875" style="65" bestFit="1" customWidth="1"/>
    <col min="9753" max="9982" width="11.42578125" style="65"/>
    <col min="9983" max="9983" width="24.85546875" style="65" customWidth="1"/>
    <col min="9984" max="9984" width="15.7109375" style="65" customWidth="1"/>
    <col min="9985" max="9986" width="11.42578125" style="65"/>
    <col min="9987" max="9987" width="7.140625" style="65" customWidth="1"/>
    <col min="9988" max="9988" width="6.7109375" style="65" customWidth="1"/>
    <col min="9989" max="9989" width="8" style="65" customWidth="1"/>
    <col min="9990" max="9990" width="7.28515625" style="65" customWidth="1"/>
    <col min="9991" max="9992" width="6.7109375" style="65" customWidth="1"/>
    <col min="9993" max="9993" width="21.42578125" style="65" customWidth="1"/>
    <col min="9994" max="10001" width="11.42578125" style="65"/>
    <col min="10002" max="10002" width="63.140625" style="65" customWidth="1"/>
    <col min="10003" max="10003" width="38" style="65" bestFit="1" customWidth="1"/>
    <col min="10004" max="10004" width="11.42578125" style="65"/>
    <col min="10005" max="10005" width="10.85546875" style="65" bestFit="1" customWidth="1"/>
    <col min="10006" max="10006" width="15.7109375" style="65" bestFit="1" customWidth="1"/>
    <col min="10007" max="10007" width="11.42578125" style="65"/>
    <col min="10008" max="10008" width="8.85546875" style="65" bestFit="1" customWidth="1"/>
    <col min="10009" max="10238" width="11.42578125" style="65"/>
    <col min="10239" max="10239" width="24.85546875" style="65" customWidth="1"/>
    <col min="10240" max="10240" width="15.7109375" style="65" customWidth="1"/>
    <col min="10241" max="10242" width="11.42578125" style="65"/>
    <col min="10243" max="10243" width="7.140625" style="65" customWidth="1"/>
    <col min="10244" max="10244" width="6.7109375" style="65" customWidth="1"/>
    <col min="10245" max="10245" width="8" style="65" customWidth="1"/>
    <col min="10246" max="10246" width="7.28515625" style="65" customWidth="1"/>
    <col min="10247" max="10248" width="6.7109375" style="65" customWidth="1"/>
    <col min="10249" max="10249" width="21.42578125" style="65" customWidth="1"/>
    <col min="10250" max="10257" width="11.42578125" style="65"/>
    <col min="10258" max="10258" width="63.140625" style="65" customWidth="1"/>
    <col min="10259" max="10259" width="38" style="65" bestFit="1" customWidth="1"/>
    <col min="10260" max="10260" width="11.42578125" style="65"/>
    <col min="10261" max="10261" width="10.85546875" style="65" bestFit="1" customWidth="1"/>
    <col min="10262" max="10262" width="15.7109375" style="65" bestFit="1" customWidth="1"/>
    <col min="10263" max="10263" width="11.42578125" style="65"/>
    <col min="10264" max="10264" width="8.85546875" style="65" bestFit="1" customWidth="1"/>
    <col min="10265" max="10494" width="11.42578125" style="65"/>
    <col min="10495" max="10495" width="24.85546875" style="65" customWidth="1"/>
    <col min="10496" max="10496" width="15.7109375" style="65" customWidth="1"/>
    <col min="10497" max="10498" width="11.42578125" style="65"/>
    <col min="10499" max="10499" width="7.140625" style="65" customWidth="1"/>
    <col min="10500" max="10500" width="6.7109375" style="65" customWidth="1"/>
    <col min="10501" max="10501" width="8" style="65" customWidth="1"/>
    <col min="10502" max="10502" width="7.28515625" style="65" customWidth="1"/>
    <col min="10503" max="10504" width="6.7109375" style="65" customWidth="1"/>
    <col min="10505" max="10505" width="21.42578125" style="65" customWidth="1"/>
    <col min="10506" max="10513" width="11.42578125" style="65"/>
    <col min="10514" max="10514" width="63.140625" style="65" customWidth="1"/>
    <col min="10515" max="10515" width="38" style="65" bestFit="1" customWidth="1"/>
    <col min="10516" max="10516" width="11.42578125" style="65"/>
    <col min="10517" max="10517" width="10.85546875" style="65" bestFit="1" customWidth="1"/>
    <col min="10518" max="10518" width="15.7109375" style="65" bestFit="1" customWidth="1"/>
    <col min="10519" max="10519" width="11.42578125" style="65"/>
    <col min="10520" max="10520" width="8.85546875" style="65" bestFit="1" customWidth="1"/>
    <col min="10521" max="10750" width="11.42578125" style="65"/>
    <col min="10751" max="10751" width="24.85546875" style="65" customWidth="1"/>
    <col min="10752" max="10752" width="15.7109375" style="65" customWidth="1"/>
    <col min="10753" max="10754" width="11.42578125" style="65"/>
    <col min="10755" max="10755" width="7.140625" style="65" customWidth="1"/>
    <col min="10756" max="10756" width="6.7109375" style="65" customWidth="1"/>
    <col min="10757" max="10757" width="8" style="65" customWidth="1"/>
    <col min="10758" max="10758" width="7.28515625" style="65" customWidth="1"/>
    <col min="10759" max="10760" width="6.7109375" style="65" customWidth="1"/>
    <col min="10761" max="10761" width="21.42578125" style="65" customWidth="1"/>
    <col min="10762" max="10769" width="11.42578125" style="65"/>
    <col min="10770" max="10770" width="63.140625" style="65" customWidth="1"/>
    <col min="10771" max="10771" width="38" style="65" bestFit="1" customWidth="1"/>
    <col min="10772" max="10772" width="11.42578125" style="65"/>
    <col min="10773" max="10773" width="10.85546875" style="65" bestFit="1" customWidth="1"/>
    <col min="10774" max="10774" width="15.7109375" style="65" bestFit="1" customWidth="1"/>
    <col min="10775" max="10775" width="11.42578125" style="65"/>
    <col min="10776" max="10776" width="8.85546875" style="65" bestFit="1" customWidth="1"/>
    <col min="10777" max="11006" width="11.42578125" style="65"/>
    <col min="11007" max="11007" width="24.85546875" style="65" customWidth="1"/>
    <col min="11008" max="11008" width="15.7109375" style="65" customWidth="1"/>
    <col min="11009" max="11010" width="11.42578125" style="65"/>
    <col min="11011" max="11011" width="7.140625" style="65" customWidth="1"/>
    <col min="11012" max="11012" width="6.7109375" style="65" customWidth="1"/>
    <col min="11013" max="11013" width="8" style="65" customWidth="1"/>
    <col min="11014" max="11014" width="7.28515625" style="65" customWidth="1"/>
    <col min="11015" max="11016" width="6.7109375" style="65" customWidth="1"/>
    <col min="11017" max="11017" width="21.42578125" style="65" customWidth="1"/>
    <col min="11018" max="11025" width="11.42578125" style="65"/>
    <col min="11026" max="11026" width="63.140625" style="65" customWidth="1"/>
    <col min="11027" max="11027" width="38" style="65" bestFit="1" customWidth="1"/>
    <col min="11028" max="11028" width="11.42578125" style="65"/>
    <col min="11029" max="11029" width="10.85546875" style="65" bestFit="1" customWidth="1"/>
    <col min="11030" max="11030" width="15.7109375" style="65" bestFit="1" customWidth="1"/>
    <col min="11031" max="11031" width="11.42578125" style="65"/>
    <col min="11032" max="11032" width="8.85546875" style="65" bestFit="1" customWidth="1"/>
    <col min="11033" max="11262" width="11.42578125" style="65"/>
    <col min="11263" max="11263" width="24.85546875" style="65" customWidth="1"/>
    <col min="11264" max="11264" width="15.7109375" style="65" customWidth="1"/>
    <col min="11265" max="11266" width="11.42578125" style="65"/>
    <col min="11267" max="11267" width="7.140625" style="65" customWidth="1"/>
    <col min="11268" max="11268" width="6.7109375" style="65" customWidth="1"/>
    <col min="11269" max="11269" width="8" style="65" customWidth="1"/>
    <col min="11270" max="11270" width="7.28515625" style="65" customWidth="1"/>
    <col min="11271" max="11272" width="6.7109375" style="65" customWidth="1"/>
    <col min="11273" max="11273" width="21.42578125" style="65" customWidth="1"/>
    <col min="11274" max="11281" width="11.42578125" style="65"/>
    <col min="11282" max="11282" width="63.140625" style="65" customWidth="1"/>
    <col min="11283" max="11283" width="38" style="65" bestFit="1" customWidth="1"/>
    <col min="11284" max="11284" width="11.42578125" style="65"/>
    <col min="11285" max="11285" width="10.85546875" style="65" bestFit="1" customWidth="1"/>
    <col min="11286" max="11286" width="15.7109375" style="65" bestFit="1" customWidth="1"/>
    <col min="11287" max="11287" width="11.42578125" style="65"/>
    <col min="11288" max="11288" width="8.85546875" style="65" bestFit="1" customWidth="1"/>
    <col min="11289" max="11518" width="11.42578125" style="65"/>
    <col min="11519" max="11519" width="24.85546875" style="65" customWidth="1"/>
    <col min="11520" max="11520" width="15.7109375" style="65" customWidth="1"/>
    <col min="11521" max="11522" width="11.42578125" style="65"/>
    <col min="11523" max="11523" width="7.140625" style="65" customWidth="1"/>
    <col min="11524" max="11524" width="6.7109375" style="65" customWidth="1"/>
    <col min="11525" max="11525" width="8" style="65" customWidth="1"/>
    <col min="11526" max="11526" width="7.28515625" style="65" customWidth="1"/>
    <col min="11527" max="11528" width="6.7109375" style="65" customWidth="1"/>
    <col min="11529" max="11529" width="21.42578125" style="65" customWidth="1"/>
    <col min="11530" max="11537" width="11.42578125" style="65"/>
    <col min="11538" max="11538" width="63.140625" style="65" customWidth="1"/>
    <col min="11539" max="11539" width="38" style="65" bestFit="1" customWidth="1"/>
    <col min="11540" max="11540" width="11.42578125" style="65"/>
    <col min="11541" max="11541" width="10.85546875" style="65" bestFit="1" customWidth="1"/>
    <col min="11542" max="11542" width="15.7109375" style="65" bestFit="1" customWidth="1"/>
    <col min="11543" max="11543" width="11.42578125" style="65"/>
    <col min="11544" max="11544" width="8.85546875" style="65" bestFit="1" customWidth="1"/>
    <col min="11545" max="11774" width="11.42578125" style="65"/>
    <col min="11775" max="11775" width="24.85546875" style="65" customWidth="1"/>
    <col min="11776" max="11776" width="15.7109375" style="65" customWidth="1"/>
    <col min="11777" max="11778" width="11.42578125" style="65"/>
    <col min="11779" max="11779" width="7.140625" style="65" customWidth="1"/>
    <col min="11780" max="11780" width="6.7109375" style="65" customWidth="1"/>
    <col min="11781" max="11781" width="8" style="65" customWidth="1"/>
    <col min="11782" max="11782" width="7.28515625" style="65" customWidth="1"/>
    <col min="11783" max="11784" width="6.7109375" style="65" customWidth="1"/>
    <col min="11785" max="11785" width="21.42578125" style="65" customWidth="1"/>
    <col min="11786" max="11793" width="11.42578125" style="65"/>
    <col min="11794" max="11794" width="63.140625" style="65" customWidth="1"/>
    <col min="11795" max="11795" width="38" style="65" bestFit="1" customWidth="1"/>
    <col min="11796" max="11796" width="11.42578125" style="65"/>
    <col min="11797" max="11797" width="10.85546875" style="65" bestFit="1" customWidth="1"/>
    <col min="11798" max="11798" width="15.7109375" style="65" bestFit="1" customWidth="1"/>
    <col min="11799" max="11799" width="11.42578125" style="65"/>
    <col min="11800" max="11800" width="8.85546875" style="65" bestFit="1" customWidth="1"/>
    <col min="11801" max="12030" width="11.42578125" style="65"/>
    <col min="12031" max="12031" width="24.85546875" style="65" customWidth="1"/>
    <col min="12032" max="12032" width="15.7109375" style="65" customWidth="1"/>
    <col min="12033" max="12034" width="11.42578125" style="65"/>
    <col min="12035" max="12035" width="7.140625" style="65" customWidth="1"/>
    <col min="12036" max="12036" width="6.7109375" style="65" customWidth="1"/>
    <col min="12037" max="12037" width="8" style="65" customWidth="1"/>
    <col min="12038" max="12038" width="7.28515625" style="65" customWidth="1"/>
    <col min="12039" max="12040" width="6.7109375" style="65" customWidth="1"/>
    <col min="12041" max="12041" width="21.42578125" style="65" customWidth="1"/>
    <col min="12042" max="12049" width="11.42578125" style="65"/>
    <col min="12050" max="12050" width="63.140625" style="65" customWidth="1"/>
    <col min="12051" max="12051" width="38" style="65" bestFit="1" customWidth="1"/>
    <col min="12052" max="12052" width="11.42578125" style="65"/>
    <col min="12053" max="12053" width="10.85546875" style="65" bestFit="1" customWidth="1"/>
    <col min="12054" max="12054" width="15.7109375" style="65" bestFit="1" customWidth="1"/>
    <col min="12055" max="12055" width="11.42578125" style="65"/>
    <col min="12056" max="12056" width="8.85546875" style="65" bestFit="1" customWidth="1"/>
    <col min="12057" max="12286" width="11.42578125" style="65"/>
    <col min="12287" max="12287" width="24.85546875" style="65" customWidth="1"/>
    <col min="12288" max="12288" width="15.7109375" style="65" customWidth="1"/>
    <col min="12289" max="12290" width="11.42578125" style="65"/>
    <col min="12291" max="12291" width="7.140625" style="65" customWidth="1"/>
    <col min="12292" max="12292" width="6.7109375" style="65" customWidth="1"/>
    <col min="12293" max="12293" width="8" style="65" customWidth="1"/>
    <col min="12294" max="12294" width="7.28515625" style="65" customWidth="1"/>
    <col min="12295" max="12296" width="6.7109375" style="65" customWidth="1"/>
    <col min="12297" max="12297" width="21.42578125" style="65" customWidth="1"/>
    <col min="12298" max="12305" width="11.42578125" style="65"/>
    <col min="12306" max="12306" width="63.140625" style="65" customWidth="1"/>
    <col min="12307" max="12307" width="38" style="65" bestFit="1" customWidth="1"/>
    <col min="12308" max="12308" width="11.42578125" style="65"/>
    <col min="12309" max="12309" width="10.85546875" style="65" bestFit="1" customWidth="1"/>
    <col min="12310" max="12310" width="15.7109375" style="65" bestFit="1" customWidth="1"/>
    <col min="12311" max="12311" width="11.42578125" style="65"/>
    <col min="12312" max="12312" width="8.85546875" style="65" bestFit="1" customWidth="1"/>
    <col min="12313" max="12542" width="11.42578125" style="65"/>
    <col min="12543" max="12543" width="24.85546875" style="65" customWidth="1"/>
    <col min="12544" max="12544" width="15.7109375" style="65" customWidth="1"/>
    <col min="12545" max="12546" width="11.42578125" style="65"/>
    <col min="12547" max="12547" width="7.140625" style="65" customWidth="1"/>
    <col min="12548" max="12548" width="6.7109375" style="65" customWidth="1"/>
    <col min="12549" max="12549" width="8" style="65" customWidth="1"/>
    <col min="12550" max="12550" width="7.28515625" style="65" customWidth="1"/>
    <col min="12551" max="12552" width="6.7109375" style="65" customWidth="1"/>
    <col min="12553" max="12553" width="21.42578125" style="65" customWidth="1"/>
    <col min="12554" max="12561" width="11.42578125" style="65"/>
    <col min="12562" max="12562" width="63.140625" style="65" customWidth="1"/>
    <col min="12563" max="12563" width="38" style="65" bestFit="1" customWidth="1"/>
    <col min="12564" max="12564" width="11.42578125" style="65"/>
    <col min="12565" max="12565" width="10.85546875" style="65" bestFit="1" customWidth="1"/>
    <col min="12566" max="12566" width="15.7109375" style="65" bestFit="1" customWidth="1"/>
    <col min="12567" max="12567" width="11.42578125" style="65"/>
    <col min="12568" max="12568" width="8.85546875" style="65" bestFit="1" customWidth="1"/>
    <col min="12569" max="12798" width="11.42578125" style="65"/>
    <col min="12799" max="12799" width="24.85546875" style="65" customWidth="1"/>
    <col min="12800" max="12800" width="15.7109375" style="65" customWidth="1"/>
    <col min="12801" max="12802" width="11.42578125" style="65"/>
    <col min="12803" max="12803" width="7.140625" style="65" customWidth="1"/>
    <col min="12804" max="12804" width="6.7109375" style="65" customWidth="1"/>
    <col min="12805" max="12805" width="8" style="65" customWidth="1"/>
    <col min="12806" max="12806" width="7.28515625" style="65" customWidth="1"/>
    <col min="12807" max="12808" width="6.7109375" style="65" customWidth="1"/>
    <col min="12809" max="12809" width="21.42578125" style="65" customWidth="1"/>
    <col min="12810" max="12817" width="11.42578125" style="65"/>
    <col min="12818" max="12818" width="63.140625" style="65" customWidth="1"/>
    <col min="12819" max="12819" width="38" style="65" bestFit="1" customWidth="1"/>
    <col min="12820" max="12820" width="11.42578125" style="65"/>
    <col min="12821" max="12821" width="10.85546875" style="65" bestFit="1" customWidth="1"/>
    <col min="12822" max="12822" width="15.7109375" style="65" bestFit="1" customWidth="1"/>
    <col min="12823" max="12823" width="11.42578125" style="65"/>
    <col min="12824" max="12824" width="8.85546875" style="65" bestFit="1" customWidth="1"/>
    <col min="12825" max="13054" width="11.42578125" style="65"/>
    <col min="13055" max="13055" width="24.85546875" style="65" customWidth="1"/>
    <col min="13056" max="13056" width="15.7109375" style="65" customWidth="1"/>
    <col min="13057" max="13058" width="11.42578125" style="65"/>
    <col min="13059" max="13059" width="7.140625" style="65" customWidth="1"/>
    <col min="13060" max="13060" width="6.7109375" style="65" customWidth="1"/>
    <col min="13061" max="13061" width="8" style="65" customWidth="1"/>
    <col min="13062" max="13062" width="7.28515625" style="65" customWidth="1"/>
    <col min="13063" max="13064" width="6.7109375" style="65" customWidth="1"/>
    <col min="13065" max="13065" width="21.42578125" style="65" customWidth="1"/>
    <col min="13066" max="13073" width="11.42578125" style="65"/>
    <col min="13074" max="13074" width="63.140625" style="65" customWidth="1"/>
    <col min="13075" max="13075" width="38" style="65" bestFit="1" customWidth="1"/>
    <col min="13076" max="13076" width="11.42578125" style="65"/>
    <col min="13077" max="13077" width="10.85546875" style="65" bestFit="1" customWidth="1"/>
    <col min="13078" max="13078" width="15.7109375" style="65" bestFit="1" customWidth="1"/>
    <col min="13079" max="13079" width="11.42578125" style="65"/>
    <col min="13080" max="13080" width="8.85546875" style="65" bestFit="1" customWidth="1"/>
    <col min="13081" max="13310" width="11.42578125" style="65"/>
    <col min="13311" max="13311" width="24.85546875" style="65" customWidth="1"/>
    <col min="13312" max="13312" width="15.7109375" style="65" customWidth="1"/>
    <col min="13313" max="13314" width="11.42578125" style="65"/>
    <col min="13315" max="13315" width="7.140625" style="65" customWidth="1"/>
    <col min="13316" max="13316" width="6.7109375" style="65" customWidth="1"/>
    <col min="13317" max="13317" width="8" style="65" customWidth="1"/>
    <col min="13318" max="13318" width="7.28515625" style="65" customWidth="1"/>
    <col min="13319" max="13320" width="6.7109375" style="65" customWidth="1"/>
    <col min="13321" max="13321" width="21.42578125" style="65" customWidth="1"/>
    <col min="13322" max="13329" width="11.42578125" style="65"/>
    <col min="13330" max="13330" width="63.140625" style="65" customWidth="1"/>
    <col min="13331" max="13331" width="38" style="65" bestFit="1" customWidth="1"/>
    <col min="13332" max="13332" width="11.42578125" style="65"/>
    <col min="13333" max="13333" width="10.85546875" style="65" bestFit="1" customWidth="1"/>
    <col min="13334" max="13334" width="15.7109375" style="65" bestFit="1" customWidth="1"/>
    <col min="13335" max="13335" width="11.42578125" style="65"/>
    <col min="13336" max="13336" width="8.85546875" style="65" bestFit="1" customWidth="1"/>
    <col min="13337" max="13566" width="11.42578125" style="65"/>
    <col min="13567" max="13567" width="24.85546875" style="65" customWidth="1"/>
    <col min="13568" max="13568" width="15.7109375" style="65" customWidth="1"/>
    <col min="13569" max="13570" width="11.42578125" style="65"/>
    <col min="13571" max="13571" width="7.140625" style="65" customWidth="1"/>
    <col min="13572" max="13572" width="6.7109375" style="65" customWidth="1"/>
    <col min="13573" max="13573" width="8" style="65" customWidth="1"/>
    <col min="13574" max="13574" width="7.28515625" style="65" customWidth="1"/>
    <col min="13575" max="13576" width="6.7109375" style="65" customWidth="1"/>
    <col min="13577" max="13577" width="21.42578125" style="65" customWidth="1"/>
    <col min="13578" max="13585" width="11.42578125" style="65"/>
    <col min="13586" max="13586" width="63.140625" style="65" customWidth="1"/>
    <col min="13587" max="13587" width="38" style="65" bestFit="1" customWidth="1"/>
    <col min="13588" max="13588" width="11.42578125" style="65"/>
    <col min="13589" max="13589" width="10.85546875" style="65" bestFit="1" customWidth="1"/>
    <col min="13590" max="13590" width="15.7109375" style="65" bestFit="1" customWidth="1"/>
    <col min="13591" max="13591" width="11.42578125" style="65"/>
    <col min="13592" max="13592" width="8.85546875" style="65" bestFit="1" customWidth="1"/>
    <col min="13593" max="13822" width="11.42578125" style="65"/>
    <col min="13823" max="13823" width="24.85546875" style="65" customWidth="1"/>
    <col min="13824" max="13824" width="15.7109375" style="65" customWidth="1"/>
    <col min="13825" max="13826" width="11.42578125" style="65"/>
    <col min="13827" max="13827" width="7.140625" style="65" customWidth="1"/>
    <col min="13828" max="13828" width="6.7109375" style="65" customWidth="1"/>
    <col min="13829" max="13829" width="8" style="65" customWidth="1"/>
    <col min="13830" max="13830" width="7.28515625" style="65" customWidth="1"/>
    <col min="13831" max="13832" width="6.7109375" style="65" customWidth="1"/>
    <col min="13833" max="13833" width="21.42578125" style="65" customWidth="1"/>
    <col min="13834" max="13841" width="11.42578125" style="65"/>
    <col min="13842" max="13842" width="63.140625" style="65" customWidth="1"/>
    <col min="13843" max="13843" width="38" style="65" bestFit="1" customWidth="1"/>
    <col min="13844" max="13844" width="11.42578125" style="65"/>
    <col min="13845" max="13845" width="10.85546875" style="65" bestFit="1" customWidth="1"/>
    <col min="13846" max="13846" width="15.7109375" style="65" bestFit="1" customWidth="1"/>
    <col min="13847" max="13847" width="11.42578125" style="65"/>
    <col min="13848" max="13848" width="8.85546875" style="65" bestFit="1" customWidth="1"/>
    <col min="13849" max="14078" width="11.42578125" style="65"/>
    <col min="14079" max="14079" width="24.85546875" style="65" customWidth="1"/>
    <col min="14080" max="14080" width="15.7109375" style="65" customWidth="1"/>
    <col min="14081" max="14082" width="11.42578125" style="65"/>
    <col min="14083" max="14083" width="7.140625" style="65" customWidth="1"/>
    <col min="14084" max="14084" width="6.7109375" style="65" customWidth="1"/>
    <col min="14085" max="14085" width="8" style="65" customWidth="1"/>
    <col min="14086" max="14086" width="7.28515625" style="65" customWidth="1"/>
    <col min="14087" max="14088" width="6.7109375" style="65" customWidth="1"/>
    <col min="14089" max="14089" width="21.42578125" style="65" customWidth="1"/>
    <col min="14090" max="14097" width="11.42578125" style="65"/>
    <col min="14098" max="14098" width="63.140625" style="65" customWidth="1"/>
    <col min="14099" max="14099" width="38" style="65" bestFit="1" customWidth="1"/>
    <col min="14100" max="14100" width="11.42578125" style="65"/>
    <col min="14101" max="14101" width="10.85546875" style="65" bestFit="1" customWidth="1"/>
    <col min="14102" max="14102" width="15.7109375" style="65" bestFit="1" customWidth="1"/>
    <col min="14103" max="14103" width="11.42578125" style="65"/>
    <col min="14104" max="14104" width="8.85546875" style="65" bestFit="1" customWidth="1"/>
    <col min="14105" max="14334" width="11.42578125" style="65"/>
    <col min="14335" max="14335" width="24.85546875" style="65" customWidth="1"/>
    <col min="14336" max="14336" width="15.7109375" style="65" customWidth="1"/>
    <col min="14337" max="14338" width="11.42578125" style="65"/>
    <col min="14339" max="14339" width="7.140625" style="65" customWidth="1"/>
    <col min="14340" max="14340" width="6.7109375" style="65" customWidth="1"/>
    <col min="14341" max="14341" width="8" style="65" customWidth="1"/>
    <col min="14342" max="14342" width="7.28515625" style="65" customWidth="1"/>
    <col min="14343" max="14344" width="6.7109375" style="65" customWidth="1"/>
    <col min="14345" max="14345" width="21.42578125" style="65" customWidth="1"/>
    <col min="14346" max="14353" width="11.42578125" style="65"/>
    <col min="14354" max="14354" width="63.140625" style="65" customWidth="1"/>
    <col min="14355" max="14355" width="38" style="65" bestFit="1" customWidth="1"/>
    <col min="14356" max="14356" width="11.42578125" style="65"/>
    <col min="14357" max="14357" width="10.85546875" style="65" bestFit="1" customWidth="1"/>
    <col min="14358" max="14358" width="15.7109375" style="65" bestFit="1" customWidth="1"/>
    <col min="14359" max="14359" width="11.42578125" style="65"/>
    <col min="14360" max="14360" width="8.85546875" style="65" bestFit="1" customWidth="1"/>
    <col min="14361" max="14590" width="11.42578125" style="65"/>
    <col min="14591" max="14591" width="24.85546875" style="65" customWidth="1"/>
    <col min="14592" max="14592" width="15.7109375" style="65" customWidth="1"/>
    <col min="14593" max="14594" width="11.42578125" style="65"/>
    <col min="14595" max="14595" width="7.140625" style="65" customWidth="1"/>
    <col min="14596" max="14596" width="6.7109375" style="65" customWidth="1"/>
    <col min="14597" max="14597" width="8" style="65" customWidth="1"/>
    <col min="14598" max="14598" width="7.28515625" style="65" customWidth="1"/>
    <col min="14599" max="14600" width="6.7109375" style="65" customWidth="1"/>
    <col min="14601" max="14601" width="21.42578125" style="65" customWidth="1"/>
    <col min="14602" max="14609" width="11.42578125" style="65"/>
    <col min="14610" max="14610" width="63.140625" style="65" customWidth="1"/>
    <col min="14611" max="14611" width="38" style="65" bestFit="1" customWidth="1"/>
    <col min="14612" max="14612" width="11.42578125" style="65"/>
    <col min="14613" max="14613" width="10.85546875" style="65" bestFit="1" customWidth="1"/>
    <col min="14614" max="14614" width="15.7109375" style="65" bestFit="1" customWidth="1"/>
    <col min="14615" max="14615" width="11.42578125" style="65"/>
    <col min="14616" max="14616" width="8.85546875" style="65" bestFit="1" customWidth="1"/>
    <col min="14617" max="14846" width="11.42578125" style="65"/>
    <col min="14847" max="14847" width="24.85546875" style="65" customWidth="1"/>
    <col min="14848" max="14848" width="15.7109375" style="65" customWidth="1"/>
    <col min="14849" max="14850" width="11.42578125" style="65"/>
    <col min="14851" max="14851" width="7.140625" style="65" customWidth="1"/>
    <col min="14852" max="14852" width="6.7109375" style="65" customWidth="1"/>
    <col min="14853" max="14853" width="8" style="65" customWidth="1"/>
    <col min="14854" max="14854" width="7.28515625" style="65" customWidth="1"/>
    <col min="14855" max="14856" width="6.7109375" style="65" customWidth="1"/>
    <col min="14857" max="14857" width="21.42578125" style="65" customWidth="1"/>
    <col min="14858" max="14865" width="11.42578125" style="65"/>
    <col min="14866" max="14866" width="63.140625" style="65" customWidth="1"/>
    <col min="14867" max="14867" width="38" style="65" bestFit="1" customWidth="1"/>
    <col min="14868" max="14868" width="11.42578125" style="65"/>
    <col min="14869" max="14869" width="10.85546875" style="65" bestFit="1" customWidth="1"/>
    <col min="14870" max="14870" width="15.7109375" style="65" bestFit="1" customWidth="1"/>
    <col min="14871" max="14871" width="11.42578125" style="65"/>
    <col min="14872" max="14872" width="8.85546875" style="65" bestFit="1" customWidth="1"/>
    <col min="14873" max="15102" width="11.42578125" style="65"/>
    <col min="15103" max="15103" width="24.85546875" style="65" customWidth="1"/>
    <col min="15104" max="15104" width="15.7109375" style="65" customWidth="1"/>
    <col min="15105" max="15106" width="11.42578125" style="65"/>
    <col min="15107" max="15107" width="7.140625" style="65" customWidth="1"/>
    <col min="15108" max="15108" width="6.7109375" style="65" customWidth="1"/>
    <col min="15109" max="15109" width="8" style="65" customWidth="1"/>
    <col min="15110" max="15110" width="7.28515625" style="65" customWidth="1"/>
    <col min="15111" max="15112" width="6.7109375" style="65" customWidth="1"/>
    <col min="15113" max="15113" width="21.42578125" style="65" customWidth="1"/>
    <col min="15114" max="15121" width="11.42578125" style="65"/>
    <col min="15122" max="15122" width="63.140625" style="65" customWidth="1"/>
    <col min="15123" max="15123" width="38" style="65" bestFit="1" customWidth="1"/>
    <col min="15124" max="15124" width="11.42578125" style="65"/>
    <col min="15125" max="15125" width="10.85546875" style="65" bestFit="1" customWidth="1"/>
    <col min="15126" max="15126" width="15.7109375" style="65" bestFit="1" customWidth="1"/>
    <col min="15127" max="15127" width="11.42578125" style="65"/>
    <col min="15128" max="15128" width="8.85546875" style="65" bestFit="1" customWidth="1"/>
    <col min="15129" max="15358" width="11.42578125" style="65"/>
    <col min="15359" max="15359" width="24.85546875" style="65" customWidth="1"/>
    <col min="15360" max="15360" width="15.7109375" style="65" customWidth="1"/>
    <col min="15361" max="15362" width="11.42578125" style="65"/>
    <col min="15363" max="15363" width="7.140625" style="65" customWidth="1"/>
    <col min="15364" max="15364" width="6.7109375" style="65" customWidth="1"/>
    <col min="15365" max="15365" width="8" style="65" customWidth="1"/>
    <col min="15366" max="15366" width="7.28515625" style="65" customWidth="1"/>
    <col min="15367" max="15368" width="6.7109375" style="65" customWidth="1"/>
    <col min="15369" max="15369" width="21.42578125" style="65" customWidth="1"/>
    <col min="15370" max="15377" width="11.42578125" style="65"/>
    <col min="15378" max="15378" width="63.140625" style="65" customWidth="1"/>
    <col min="15379" max="15379" width="38" style="65" bestFit="1" customWidth="1"/>
    <col min="15380" max="15380" width="11.42578125" style="65"/>
    <col min="15381" max="15381" width="10.85546875" style="65" bestFit="1" customWidth="1"/>
    <col min="15382" max="15382" width="15.7109375" style="65" bestFit="1" customWidth="1"/>
    <col min="15383" max="15383" width="11.42578125" style="65"/>
    <col min="15384" max="15384" width="8.85546875" style="65" bestFit="1" customWidth="1"/>
    <col min="15385" max="15614" width="11.42578125" style="65"/>
    <col min="15615" max="15615" width="24.85546875" style="65" customWidth="1"/>
    <col min="15616" max="15616" width="15.7109375" style="65" customWidth="1"/>
    <col min="15617" max="15618" width="11.42578125" style="65"/>
    <col min="15619" max="15619" width="7.140625" style="65" customWidth="1"/>
    <col min="15620" max="15620" width="6.7109375" style="65" customWidth="1"/>
    <col min="15621" max="15621" width="8" style="65" customWidth="1"/>
    <col min="15622" max="15622" width="7.28515625" style="65" customWidth="1"/>
    <col min="15623" max="15624" width="6.7109375" style="65" customWidth="1"/>
    <col min="15625" max="15625" width="21.42578125" style="65" customWidth="1"/>
    <col min="15626" max="15633" width="11.42578125" style="65"/>
    <col min="15634" max="15634" width="63.140625" style="65" customWidth="1"/>
    <col min="15635" max="15635" width="38" style="65" bestFit="1" customWidth="1"/>
    <col min="15636" max="15636" width="11.42578125" style="65"/>
    <col min="15637" max="15637" width="10.85546875" style="65" bestFit="1" customWidth="1"/>
    <col min="15638" max="15638" width="15.7109375" style="65" bestFit="1" customWidth="1"/>
    <col min="15639" max="15639" width="11.42578125" style="65"/>
    <col min="15640" max="15640" width="8.85546875" style="65" bestFit="1" customWidth="1"/>
    <col min="15641" max="15870" width="11.42578125" style="65"/>
    <col min="15871" max="15871" width="24.85546875" style="65" customWidth="1"/>
    <col min="15872" max="15872" width="15.7109375" style="65" customWidth="1"/>
    <col min="15873" max="15874" width="11.42578125" style="65"/>
    <col min="15875" max="15875" width="7.140625" style="65" customWidth="1"/>
    <col min="15876" max="15876" width="6.7109375" style="65" customWidth="1"/>
    <col min="15877" max="15877" width="8" style="65" customWidth="1"/>
    <col min="15878" max="15878" width="7.28515625" style="65" customWidth="1"/>
    <col min="15879" max="15880" width="6.7109375" style="65" customWidth="1"/>
    <col min="15881" max="15881" width="21.42578125" style="65" customWidth="1"/>
    <col min="15882" max="15889" width="11.42578125" style="65"/>
    <col min="15890" max="15890" width="63.140625" style="65" customWidth="1"/>
    <col min="15891" max="15891" width="38" style="65" bestFit="1" customWidth="1"/>
    <col min="15892" max="15892" width="11.42578125" style="65"/>
    <col min="15893" max="15893" width="10.85546875" style="65" bestFit="1" customWidth="1"/>
    <col min="15894" max="15894" width="15.7109375" style="65" bestFit="1" customWidth="1"/>
    <col min="15895" max="15895" width="11.42578125" style="65"/>
    <col min="15896" max="15896" width="8.85546875" style="65" bestFit="1" customWidth="1"/>
    <col min="15897" max="16126" width="11.42578125" style="65"/>
    <col min="16127" max="16127" width="24.85546875" style="65" customWidth="1"/>
    <col min="16128" max="16128" width="15.7109375" style="65" customWidth="1"/>
    <col min="16129" max="16130" width="11.42578125" style="65"/>
    <col min="16131" max="16131" width="7.140625" style="65" customWidth="1"/>
    <col min="16132" max="16132" width="6.7109375" style="65" customWidth="1"/>
    <col min="16133" max="16133" width="8" style="65" customWidth="1"/>
    <col min="16134" max="16134" width="7.28515625" style="65" customWidth="1"/>
    <col min="16135" max="16136" width="6.7109375" style="65" customWidth="1"/>
    <col min="16137" max="16137" width="21.42578125" style="65" customWidth="1"/>
    <col min="16138" max="16145" width="11.42578125" style="65"/>
    <col min="16146" max="16146" width="63.140625" style="65" customWidth="1"/>
    <col min="16147" max="16147" width="38" style="65" bestFit="1" customWidth="1"/>
    <col min="16148" max="16148" width="11.42578125" style="65"/>
    <col min="16149" max="16149" width="10.85546875" style="65" bestFit="1" customWidth="1"/>
    <col min="16150" max="16150" width="15.7109375" style="65" bestFit="1" customWidth="1"/>
    <col min="16151" max="16151" width="11.42578125" style="65"/>
    <col min="16152" max="16152" width="8.85546875" style="65" bestFit="1" customWidth="1"/>
    <col min="16153" max="16384" width="11.42578125" style="65"/>
  </cols>
  <sheetData>
    <row r="1" spans="1:4" x14ac:dyDescent="0.25">
      <c r="A1" s="64" t="s">
        <v>1131</v>
      </c>
    </row>
    <row r="2" spans="1:4" x14ac:dyDescent="0.25">
      <c r="A2" s="65" t="s">
        <v>1132</v>
      </c>
    </row>
    <row r="4" spans="1:4" ht="18.75" x14ac:dyDescent="0.3">
      <c r="A4" s="66" t="s">
        <v>1133</v>
      </c>
    </row>
    <row r="6" spans="1:4" hidden="1" x14ac:dyDescent="0.25">
      <c r="A6" s="65" t="s">
        <v>1134</v>
      </c>
    </row>
    <row r="7" spans="1:4" hidden="1" x14ac:dyDescent="0.25">
      <c r="A7" s="65" t="s">
        <v>1135</v>
      </c>
    </row>
    <row r="8" spans="1:4" hidden="1" x14ac:dyDescent="0.25"/>
    <row r="9" spans="1:4" hidden="1" x14ac:dyDescent="0.25">
      <c r="A9" s="65" t="s">
        <v>1136</v>
      </c>
    </row>
    <row r="10" spans="1:4" ht="60" hidden="1" x14ac:dyDescent="0.25">
      <c r="A10" s="67" t="s">
        <v>1137</v>
      </c>
      <c r="B10" s="68" t="s">
        <v>1138</v>
      </c>
      <c r="C10" s="68" t="s">
        <v>1139</v>
      </c>
      <c r="D10" s="68" t="s">
        <v>1140</v>
      </c>
    </row>
    <row r="11" spans="1:4" hidden="1" x14ac:dyDescent="0.25">
      <c r="A11" s="67">
        <v>104</v>
      </c>
      <c r="B11" s="67">
        <v>250</v>
      </c>
      <c r="C11" s="67"/>
      <c r="D11" s="67"/>
    </row>
    <row r="12" spans="1:4" hidden="1" x14ac:dyDescent="0.25">
      <c r="A12" s="67">
        <v>105</v>
      </c>
      <c r="B12" s="67">
        <v>750</v>
      </c>
      <c r="C12" s="67"/>
      <c r="D12" s="67"/>
    </row>
    <row r="13" spans="1:4" hidden="1" x14ac:dyDescent="0.25">
      <c r="A13" s="67">
        <v>107</v>
      </c>
      <c r="B13" s="67">
        <v>2500</v>
      </c>
      <c r="C13" s="67"/>
      <c r="D13" s="67"/>
    </row>
    <row r="14" spans="1:4" hidden="1" x14ac:dyDescent="0.25">
      <c r="A14" s="67">
        <v>108</v>
      </c>
      <c r="B14" s="67">
        <v>1500</v>
      </c>
      <c r="C14" s="67"/>
      <c r="D14" s="67"/>
    </row>
    <row r="15" spans="1:4" hidden="1" x14ac:dyDescent="0.25">
      <c r="A15" s="67">
        <v>108</v>
      </c>
      <c r="B15" s="67"/>
      <c r="C15" s="67">
        <v>600</v>
      </c>
      <c r="D15" s="67">
        <v>300</v>
      </c>
    </row>
    <row r="16" spans="1:4" hidden="1" x14ac:dyDescent="0.25">
      <c r="A16" s="67">
        <v>305</v>
      </c>
      <c r="B16" s="67">
        <v>250</v>
      </c>
      <c r="C16" s="67"/>
      <c r="D16" s="67"/>
    </row>
    <row r="17" spans="1:4" hidden="1" x14ac:dyDescent="0.25">
      <c r="A17" s="67">
        <v>337</v>
      </c>
      <c r="B17" s="67">
        <v>750</v>
      </c>
      <c r="C17" s="67"/>
      <c r="D17" s="67"/>
    </row>
    <row r="18" spans="1:4" hidden="1" x14ac:dyDescent="0.25">
      <c r="A18" s="65" t="s">
        <v>1141</v>
      </c>
    </row>
    <row r="19" spans="1:4" hidden="1" x14ac:dyDescent="0.25"/>
    <row r="20" spans="1:4" x14ac:dyDescent="0.25">
      <c r="A20" s="64" t="s">
        <v>1142</v>
      </c>
    </row>
    <row r="21" spans="1:4" x14ac:dyDescent="0.25">
      <c r="A21" s="65" t="s">
        <v>1143</v>
      </c>
    </row>
    <row r="22" spans="1:4" x14ac:dyDescent="0.25">
      <c r="A22" s="65" t="s">
        <v>1144</v>
      </c>
    </row>
    <row r="23" spans="1:4" x14ac:dyDescent="0.25">
      <c r="A23" s="65" t="s">
        <v>1145</v>
      </c>
    </row>
    <row r="25" spans="1:4" x14ac:dyDescent="0.25">
      <c r="A25" s="65" t="s">
        <v>1146</v>
      </c>
    </row>
    <row r="26" spans="1:4" x14ac:dyDescent="0.25">
      <c r="A26" s="65" t="s">
        <v>1147</v>
      </c>
    </row>
    <row r="28" spans="1:4" x14ac:dyDescent="0.25">
      <c r="A28" s="65" t="s">
        <v>1148</v>
      </c>
    </row>
    <row r="29" spans="1:4" ht="45" x14ac:dyDescent="0.25">
      <c r="A29" s="68"/>
      <c r="B29" s="68" t="s">
        <v>893</v>
      </c>
      <c r="C29" s="68" t="s">
        <v>1149</v>
      </c>
      <c r="D29" s="68" t="s">
        <v>1150</v>
      </c>
    </row>
    <row r="30" spans="1:4" ht="15" customHeight="1" x14ac:dyDescent="0.25">
      <c r="A30" s="65" t="s">
        <v>1151</v>
      </c>
      <c r="B30" s="65" t="s">
        <v>1152</v>
      </c>
      <c r="C30" s="68">
        <v>50</v>
      </c>
      <c r="D30" s="68">
        <v>60</v>
      </c>
    </row>
    <row r="31" spans="1:4" hidden="1" x14ac:dyDescent="0.25">
      <c r="B31" s="65" t="s">
        <v>1153</v>
      </c>
      <c r="C31" s="65">
        <v>50</v>
      </c>
      <c r="D31" s="65">
        <v>60</v>
      </c>
    </row>
    <row r="32" spans="1:4" x14ac:dyDescent="0.25">
      <c r="A32" s="69" t="s">
        <v>1154</v>
      </c>
      <c r="B32" s="69" t="s">
        <v>1155</v>
      </c>
      <c r="C32" s="70" t="s">
        <v>1156</v>
      </c>
      <c r="D32" s="70" t="s">
        <v>1157</v>
      </c>
    </row>
    <row r="33" spans="1:4" x14ac:dyDescent="0.25">
      <c r="A33" s="69" t="s">
        <v>1158</v>
      </c>
      <c r="B33" s="69" t="s">
        <v>1159</v>
      </c>
      <c r="C33" s="322" t="s">
        <v>1160</v>
      </c>
      <c r="D33" s="322"/>
    </row>
    <row r="36" spans="1:4" x14ac:dyDescent="0.25">
      <c r="A36" s="64" t="s">
        <v>1161</v>
      </c>
    </row>
    <row r="37" spans="1:4" x14ac:dyDescent="0.25">
      <c r="A37" s="65" t="s">
        <v>1162</v>
      </c>
    </row>
    <row r="38" spans="1:4" x14ac:dyDescent="0.25">
      <c r="A38" s="65" t="s">
        <v>1163</v>
      </c>
    </row>
    <row r="39" spans="1:4" x14ac:dyDescent="0.25">
      <c r="A39" s="65" t="s">
        <v>1164</v>
      </c>
    </row>
    <row r="40" spans="1:4" x14ac:dyDescent="0.25">
      <c r="A40" s="65" t="s">
        <v>1165</v>
      </c>
    </row>
    <row r="41" spans="1:4" x14ac:dyDescent="0.25">
      <c r="A41" s="65" t="s">
        <v>1166</v>
      </c>
    </row>
    <row r="42" spans="1:4" x14ac:dyDescent="0.25">
      <c r="A42" s="65" t="s">
        <v>1167</v>
      </c>
    </row>
    <row r="43" spans="1:4" x14ac:dyDescent="0.25">
      <c r="A43" s="65" t="s">
        <v>1168</v>
      </c>
    </row>
    <row r="44" spans="1:4" x14ac:dyDescent="0.25">
      <c r="A44" s="65" t="s">
        <v>1169</v>
      </c>
    </row>
    <row r="45" spans="1:4" x14ac:dyDescent="0.25">
      <c r="A45" s="65" t="s">
        <v>1170</v>
      </c>
    </row>
    <row r="46" spans="1:4" x14ac:dyDescent="0.25">
      <c r="A46" s="65" t="s">
        <v>1171</v>
      </c>
    </row>
    <row r="47" spans="1:4" x14ac:dyDescent="0.25">
      <c r="A47" s="65" t="s">
        <v>1172</v>
      </c>
    </row>
    <row r="49" spans="1:11" ht="45" customHeight="1" x14ac:dyDescent="0.25">
      <c r="A49" s="71" t="s">
        <v>893</v>
      </c>
      <c r="B49" s="323" t="s">
        <v>839</v>
      </c>
      <c r="C49" s="323"/>
      <c r="D49" s="323" t="s">
        <v>840</v>
      </c>
      <c r="E49" s="323"/>
      <c r="F49" s="324" t="s">
        <v>1173</v>
      </c>
      <c r="G49" s="324"/>
      <c r="H49" s="324"/>
    </row>
    <row r="50" spans="1:11" ht="60" x14ac:dyDescent="0.25">
      <c r="A50" s="71"/>
      <c r="B50" s="71" t="s">
        <v>1174</v>
      </c>
      <c r="C50" s="71" t="s">
        <v>1175</v>
      </c>
      <c r="D50" s="71" t="s">
        <v>1176</v>
      </c>
      <c r="E50" s="71" t="s">
        <v>1175</v>
      </c>
      <c r="F50" s="71" t="s">
        <v>1177</v>
      </c>
      <c r="G50" s="71" t="s">
        <v>1175</v>
      </c>
      <c r="H50" s="71" t="s">
        <v>1178</v>
      </c>
    </row>
    <row r="51" spans="1:11" x14ac:dyDescent="0.25">
      <c r="A51" s="69" t="s">
        <v>1179</v>
      </c>
      <c r="B51" s="72">
        <v>420</v>
      </c>
      <c r="C51" s="72">
        <v>21000</v>
      </c>
      <c r="D51" s="72">
        <v>126</v>
      </c>
      <c r="E51" s="73">
        <v>21000</v>
      </c>
      <c r="F51" s="72">
        <v>192</v>
      </c>
      <c r="G51" s="73">
        <v>24000</v>
      </c>
      <c r="H51" s="72">
        <v>384</v>
      </c>
      <c r="I51" s="74"/>
    </row>
    <row r="52" spans="1:11" x14ac:dyDescent="0.25">
      <c r="A52" s="69" t="s">
        <v>1180</v>
      </c>
      <c r="B52" s="72">
        <v>160</v>
      </c>
      <c r="C52" s="72">
        <v>8000</v>
      </c>
      <c r="D52" s="72">
        <v>48</v>
      </c>
      <c r="E52" s="73">
        <v>8000</v>
      </c>
      <c r="F52" s="72">
        <v>74</v>
      </c>
      <c r="G52" s="73">
        <v>9250</v>
      </c>
      <c r="H52" s="72">
        <v>148</v>
      </c>
      <c r="I52" s="74"/>
    </row>
    <row r="53" spans="1:11" x14ac:dyDescent="0.25">
      <c r="A53" s="69" t="s">
        <v>1181</v>
      </c>
      <c r="B53" s="72">
        <v>120</v>
      </c>
      <c r="C53" s="72">
        <v>6000</v>
      </c>
      <c r="D53" s="72">
        <v>36</v>
      </c>
      <c r="E53" s="73">
        <v>6000</v>
      </c>
      <c r="F53" s="72">
        <v>56</v>
      </c>
      <c r="G53" s="73">
        <v>7000</v>
      </c>
      <c r="H53" s="72">
        <v>112</v>
      </c>
      <c r="I53" s="74"/>
    </row>
    <row r="54" spans="1:11" x14ac:dyDescent="0.25">
      <c r="A54" s="69" t="s">
        <v>1182</v>
      </c>
      <c r="B54" s="72">
        <v>260</v>
      </c>
      <c r="C54" s="72">
        <v>13000</v>
      </c>
      <c r="D54" s="72">
        <v>78</v>
      </c>
      <c r="E54" s="73">
        <v>13000</v>
      </c>
      <c r="F54" s="72">
        <v>176</v>
      </c>
      <c r="G54" s="73">
        <v>22000</v>
      </c>
      <c r="H54" s="72">
        <v>352</v>
      </c>
      <c r="I54" s="74"/>
    </row>
    <row r="55" spans="1:11" x14ac:dyDescent="0.25">
      <c r="A55" s="69" t="s">
        <v>1183</v>
      </c>
      <c r="B55" s="72">
        <v>100</v>
      </c>
      <c r="C55" s="72">
        <v>5000</v>
      </c>
      <c r="D55" s="72">
        <v>30</v>
      </c>
      <c r="E55" s="73">
        <v>5000</v>
      </c>
      <c r="F55" s="72">
        <v>46</v>
      </c>
      <c r="G55" s="73">
        <v>5750</v>
      </c>
      <c r="H55" s="72">
        <v>92</v>
      </c>
      <c r="I55" s="74"/>
    </row>
    <row r="56" spans="1:11" x14ac:dyDescent="0.25">
      <c r="A56" s="69" t="s">
        <v>1184</v>
      </c>
      <c r="B56" s="72">
        <v>400</v>
      </c>
      <c r="C56" s="72">
        <v>20000</v>
      </c>
      <c r="D56" s="72">
        <v>120</v>
      </c>
      <c r="E56" s="73">
        <v>20000</v>
      </c>
      <c r="F56" s="72">
        <v>175</v>
      </c>
      <c r="G56" s="73">
        <v>21875</v>
      </c>
      <c r="H56" s="72">
        <v>350</v>
      </c>
      <c r="I56" s="74"/>
    </row>
    <row r="57" spans="1:11" x14ac:dyDescent="0.25">
      <c r="A57" s="69" t="s">
        <v>1185</v>
      </c>
      <c r="B57" s="72">
        <v>200</v>
      </c>
      <c r="C57" s="72">
        <v>10000</v>
      </c>
      <c r="D57" s="72">
        <v>60</v>
      </c>
      <c r="E57" s="73">
        <v>10000</v>
      </c>
      <c r="F57" s="72">
        <v>90</v>
      </c>
      <c r="G57" s="73">
        <v>11250</v>
      </c>
      <c r="H57" s="72">
        <v>180</v>
      </c>
      <c r="I57" s="74"/>
    </row>
    <row r="58" spans="1:11" x14ac:dyDescent="0.25">
      <c r="A58" s="69" t="s">
        <v>1186</v>
      </c>
      <c r="B58" s="72">
        <v>50</v>
      </c>
      <c r="C58" s="72">
        <v>2500</v>
      </c>
      <c r="D58" s="72">
        <v>15</v>
      </c>
      <c r="E58" s="73">
        <v>2500</v>
      </c>
      <c r="F58" s="72">
        <v>30</v>
      </c>
      <c r="G58" s="73">
        <v>3750</v>
      </c>
      <c r="H58" s="72">
        <v>60</v>
      </c>
      <c r="I58" s="74"/>
    </row>
    <row r="59" spans="1:11" x14ac:dyDescent="0.25">
      <c r="A59" s="69" t="s">
        <v>1187</v>
      </c>
      <c r="B59" s="72">
        <v>1710</v>
      </c>
      <c r="C59" s="72">
        <v>85500</v>
      </c>
      <c r="D59" s="72">
        <v>513</v>
      </c>
      <c r="E59" s="72">
        <v>85500</v>
      </c>
      <c r="F59" s="72">
        <v>839</v>
      </c>
      <c r="G59" s="72">
        <v>104875</v>
      </c>
      <c r="H59" s="72">
        <v>1678</v>
      </c>
      <c r="J59" s="74"/>
    </row>
    <row r="60" spans="1:11" x14ac:dyDescent="0.25">
      <c r="A60" s="65" t="s">
        <v>1188</v>
      </c>
      <c r="J60" s="74">
        <f>1000/50</f>
        <v>20</v>
      </c>
      <c r="K60" s="86" t="s">
        <v>1212</v>
      </c>
    </row>
    <row r="61" spans="1:11" x14ac:dyDescent="0.25">
      <c r="A61" s="65" t="s">
        <v>1189</v>
      </c>
      <c r="J61" s="65">
        <f>50*6</f>
        <v>300</v>
      </c>
      <c r="K61" s="86" t="s">
        <v>1213</v>
      </c>
    </row>
    <row r="62" spans="1:11" x14ac:dyDescent="0.25">
      <c r="A62" s="65" t="s">
        <v>1190</v>
      </c>
      <c r="J62" s="65">
        <f>50*8</f>
        <v>400</v>
      </c>
      <c r="K62" s="86" t="s">
        <v>1214</v>
      </c>
    </row>
    <row r="63" spans="1:11" x14ac:dyDescent="0.25">
      <c r="A63" s="65" t="s">
        <v>1191</v>
      </c>
    </row>
    <row r="64" spans="1:11" x14ac:dyDescent="0.25">
      <c r="A64" s="65" t="s">
        <v>1192</v>
      </c>
    </row>
    <row r="66" spans="1:1" ht="18.75" x14ac:dyDescent="0.3">
      <c r="A66" s="75" t="s">
        <v>1193</v>
      </c>
    </row>
  </sheetData>
  <mergeCells count="4">
    <mergeCell ref="C33:D33"/>
    <mergeCell ref="B49:C49"/>
    <mergeCell ref="D49:E49"/>
    <mergeCell ref="F49:H49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H193"/>
  <sheetViews>
    <sheetView zoomScale="89" zoomScaleNormal="89" workbookViewId="0">
      <pane xSplit="4" ySplit="5" topLeftCell="E130" activePane="bottomRight" state="frozen"/>
      <selection activeCell="A58" sqref="A58:XFD58"/>
      <selection pane="topRight" activeCell="A58" sqref="A58:XFD58"/>
      <selection pane="bottomLeft" activeCell="A58" sqref="A58:XFD58"/>
      <selection pane="bottomRight" activeCell="E56" sqref="E56"/>
    </sheetView>
  </sheetViews>
  <sheetFormatPr baseColWidth="10" defaultColWidth="11.42578125" defaultRowHeight="12.75" x14ac:dyDescent="0.2"/>
  <cols>
    <col min="1" max="1" width="10.28515625" style="117" customWidth="1"/>
    <col min="2" max="2" width="8.85546875" style="117" customWidth="1"/>
    <col min="3" max="3" width="9.85546875" style="117" customWidth="1"/>
    <col min="4" max="4" width="8.28515625" style="117" customWidth="1"/>
    <col min="5" max="5" width="16.28515625" style="117" customWidth="1"/>
    <col min="6" max="8" width="9.85546875" style="117" customWidth="1"/>
    <col min="9" max="9" width="13.85546875" style="193" customWidth="1"/>
    <col min="10" max="10" width="9.85546875" style="193" customWidth="1"/>
    <col min="11" max="12" width="9.85546875" style="117" customWidth="1"/>
    <col min="13" max="13" width="13.85546875" style="117" customWidth="1"/>
    <col min="14" max="16" width="9.85546875" style="117" customWidth="1"/>
    <col min="17" max="17" width="13.85546875" style="117" customWidth="1"/>
    <col min="18" max="20" width="9.85546875" style="117" customWidth="1"/>
    <col min="21" max="21" width="13.85546875" style="117" customWidth="1"/>
    <col min="22" max="24" width="9.85546875" style="117" customWidth="1"/>
    <col min="25" max="25" width="13.85546875" style="117" customWidth="1"/>
    <col min="26" max="26" width="9.85546875" style="117" customWidth="1"/>
    <col min="27" max="27" width="6.28515625" style="193" customWidth="1"/>
    <col min="28" max="16384" width="11.42578125" style="193"/>
  </cols>
  <sheetData>
    <row r="1" spans="1:28" ht="15.75" customHeight="1" x14ac:dyDescent="0.2">
      <c r="B1" s="117">
        <v>1</v>
      </c>
      <c r="C1" s="117">
        <f t="shared" ref="C1:Z1" si="0">B1+1</f>
        <v>2</v>
      </c>
      <c r="D1" s="117">
        <f t="shared" si="0"/>
        <v>3</v>
      </c>
      <c r="E1" s="117">
        <f t="shared" si="0"/>
        <v>4</v>
      </c>
      <c r="F1" s="117">
        <f t="shared" si="0"/>
        <v>5</v>
      </c>
      <c r="I1" s="193">
        <f>F1+1</f>
        <v>6</v>
      </c>
      <c r="J1" s="193">
        <f>I1+1</f>
        <v>7</v>
      </c>
      <c r="M1" s="117">
        <f>J1+1</f>
        <v>8</v>
      </c>
      <c r="N1" s="117">
        <f t="shared" si="0"/>
        <v>9</v>
      </c>
      <c r="Q1" s="117">
        <f>N1+1</f>
        <v>10</v>
      </c>
      <c r="R1" s="117">
        <f t="shared" si="0"/>
        <v>11</v>
      </c>
      <c r="U1" s="117">
        <f>R1+1</f>
        <v>12</v>
      </c>
      <c r="V1" s="117">
        <f t="shared" si="0"/>
        <v>13</v>
      </c>
      <c r="Y1" s="117">
        <f>V1+1</f>
        <v>14</v>
      </c>
      <c r="Z1" s="117">
        <f t="shared" si="0"/>
        <v>15</v>
      </c>
      <c r="AA1" s="193" t="e">
        <f>#REF!+1</f>
        <v>#REF!</v>
      </c>
    </row>
    <row r="2" spans="1:28" ht="13.5" customHeight="1" x14ac:dyDescent="0.2">
      <c r="A2" s="320" t="s">
        <v>1911</v>
      </c>
    </row>
    <row r="3" spans="1:28" ht="15" customHeight="1" x14ac:dyDescent="0.2">
      <c r="B3" s="142" t="s">
        <v>291</v>
      </c>
      <c r="C3" s="143"/>
    </row>
    <row r="4" spans="1:28" ht="13.5" hidden="1" customHeight="1" thickBot="1" x14ac:dyDescent="0.25">
      <c r="A4" s="144"/>
      <c r="B4" s="145" t="s">
        <v>984</v>
      </c>
      <c r="C4" s="146"/>
      <c r="D4" s="146"/>
      <c r="E4" s="145"/>
      <c r="F4" s="147"/>
      <c r="G4" s="147"/>
      <c r="H4" s="147"/>
      <c r="I4" s="200" t="s">
        <v>742</v>
      </c>
      <c r="J4" s="199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8" s="211" customFormat="1" ht="34.5" hidden="1" thickBot="1" x14ac:dyDescent="0.25">
      <c r="A5" s="148" t="s">
        <v>292</v>
      </c>
      <c r="B5" s="149" t="s">
        <v>293</v>
      </c>
      <c r="C5" s="150" t="s">
        <v>1195</v>
      </c>
      <c r="D5" s="151" t="s">
        <v>1203</v>
      </c>
      <c r="E5" s="152" t="s">
        <v>4</v>
      </c>
      <c r="F5" s="153" t="s">
        <v>1202</v>
      </c>
      <c r="G5" s="150" t="s">
        <v>1196</v>
      </c>
      <c r="H5" s="151" t="s">
        <v>1204</v>
      </c>
      <c r="I5" s="207" t="s">
        <v>5</v>
      </c>
      <c r="J5" s="205" t="s">
        <v>1209</v>
      </c>
      <c r="K5" s="150" t="s">
        <v>1197</v>
      </c>
      <c r="L5" s="151" t="s">
        <v>1205</v>
      </c>
      <c r="M5" s="152" t="s">
        <v>6</v>
      </c>
      <c r="N5" s="153" t="s">
        <v>1217</v>
      </c>
      <c r="O5" s="150" t="s">
        <v>1198</v>
      </c>
      <c r="P5" s="151" t="s">
        <v>1206</v>
      </c>
      <c r="Q5" s="152" t="s">
        <v>7</v>
      </c>
      <c r="R5" s="153" t="s">
        <v>963</v>
      </c>
      <c r="S5" s="150" t="s">
        <v>1199</v>
      </c>
      <c r="T5" s="151" t="s">
        <v>1207</v>
      </c>
      <c r="U5" s="154" t="s">
        <v>8</v>
      </c>
      <c r="V5" s="155" t="s">
        <v>921</v>
      </c>
      <c r="W5" s="150" t="s">
        <v>1200</v>
      </c>
      <c r="X5" s="151" t="s">
        <v>1208</v>
      </c>
      <c r="Y5" s="152" t="s">
        <v>13</v>
      </c>
      <c r="Z5" s="153" t="s">
        <v>1210</v>
      </c>
      <c r="AA5" s="210" t="s">
        <v>1201</v>
      </c>
    </row>
    <row r="6" spans="1:28" hidden="1" x14ac:dyDescent="0.2">
      <c r="A6" s="158">
        <v>1</v>
      </c>
      <c r="B6" s="159" t="s">
        <v>1029</v>
      </c>
      <c r="C6" s="159" t="s">
        <v>915</v>
      </c>
      <c r="D6" s="160">
        <v>4</v>
      </c>
      <c r="E6" s="161" t="s">
        <v>181</v>
      </c>
      <c r="F6" s="162">
        <v>1</v>
      </c>
      <c r="G6" s="159" t="s">
        <v>915</v>
      </c>
      <c r="H6" s="160">
        <v>4</v>
      </c>
      <c r="I6" s="215"/>
      <c r="J6" s="216"/>
      <c r="K6" s="159" t="s">
        <v>915</v>
      </c>
      <c r="L6" s="160">
        <v>4</v>
      </c>
      <c r="M6" s="161"/>
      <c r="N6" s="162"/>
      <c r="O6" s="159" t="s">
        <v>915</v>
      </c>
      <c r="P6" s="160">
        <v>4</v>
      </c>
      <c r="Q6" s="163"/>
      <c r="R6" s="164"/>
      <c r="S6" s="159" t="s">
        <v>915</v>
      </c>
      <c r="T6" s="160">
        <v>4</v>
      </c>
      <c r="U6" s="163"/>
      <c r="V6" s="164"/>
      <c r="W6" s="159" t="s">
        <v>915</v>
      </c>
      <c r="X6" s="160">
        <v>4</v>
      </c>
      <c r="Y6" s="163"/>
      <c r="Z6" s="164"/>
      <c r="AA6" s="219">
        <f>F6+J6+N6+R6+V6+Z6</f>
        <v>1</v>
      </c>
    </row>
    <row r="7" spans="1:28" hidden="1" x14ac:dyDescent="0.2">
      <c r="A7" s="158">
        <v>2</v>
      </c>
      <c r="B7" s="159" t="s">
        <v>1030</v>
      </c>
      <c r="C7" s="159" t="s">
        <v>295</v>
      </c>
      <c r="D7" s="160">
        <v>50</v>
      </c>
      <c r="E7" s="160" t="s">
        <v>909</v>
      </c>
      <c r="F7" s="162">
        <v>0.33</v>
      </c>
      <c r="G7" s="159" t="s">
        <v>295</v>
      </c>
      <c r="H7" s="160">
        <v>50</v>
      </c>
      <c r="I7" s="215" t="s">
        <v>1876</v>
      </c>
      <c r="J7" s="220">
        <v>0.2</v>
      </c>
      <c r="K7" s="159" t="s">
        <v>295</v>
      </c>
      <c r="L7" s="160">
        <v>50</v>
      </c>
      <c r="M7" s="161" t="s">
        <v>840</v>
      </c>
      <c r="N7" s="162">
        <v>6</v>
      </c>
      <c r="O7" s="159" t="s">
        <v>295</v>
      </c>
      <c r="P7" s="160">
        <v>50</v>
      </c>
      <c r="Q7" s="163" t="s">
        <v>918</v>
      </c>
      <c r="R7" s="164">
        <v>8</v>
      </c>
      <c r="S7" s="159" t="s">
        <v>295</v>
      </c>
      <c r="T7" s="160">
        <v>50</v>
      </c>
      <c r="U7" s="163" t="s">
        <v>839</v>
      </c>
      <c r="V7" s="164">
        <v>1</v>
      </c>
      <c r="W7" s="159" t="s">
        <v>295</v>
      </c>
      <c r="X7" s="160">
        <v>50</v>
      </c>
      <c r="Y7" s="163"/>
      <c r="Z7" s="164"/>
      <c r="AA7" s="219">
        <f t="shared" ref="AA7:AA25" si="1">F7+J7+N7+R7+V7+Z7</f>
        <v>15.530000000000001</v>
      </c>
    </row>
    <row r="8" spans="1:28" hidden="1" x14ac:dyDescent="0.2">
      <c r="A8" s="158">
        <v>3</v>
      </c>
      <c r="B8" s="159" t="s">
        <v>1031</v>
      </c>
      <c r="C8" s="159" t="s">
        <v>295</v>
      </c>
      <c r="D8" s="160">
        <v>50</v>
      </c>
      <c r="E8" s="160" t="s">
        <v>912</v>
      </c>
      <c r="F8" s="167">
        <v>2</v>
      </c>
      <c r="G8" s="159" t="s">
        <v>295</v>
      </c>
      <c r="H8" s="160">
        <v>50</v>
      </c>
      <c r="I8" s="215"/>
      <c r="J8" s="216"/>
      <c r="K8" s="159" t="s">
        <v>295</v>
      </c>
      <c r="L8" s="160">
        <v>50</v>
      </c>
      <c r="M8" s="161" t="s">
        <v>840</v>
      </c>
      <c r="N8" s="162">
        <v>6</v>
      </c>
      <c r="O8" s="159" t="s">
        <v>295</v>
      </c>
      <c r="P8" s="160">
        <v>50</v>
      </c>
      <c r="Q8" s="163" t="s">
        <v>918</v>
      </c>
      <c r="R8" s="164">
        <v>8</v>
      </c>
      <c r="S8" s="159" t="s">
        <v>295</v>
      </c>
      <c r="T8" s="160">
        <v>50</v>
      </c>
      <c r="U8" s="163"/>
      <c r="V8" s="164"/>
      <c r="W8" s="159" t="s">
        <v>295</v>
      </c>
      <c r="X8" s="160">
        <v>50</v>
      </c>
      <c r="Y8" s="163"/>
      <c r="Z8" s="164"/>
      <c r="AA8" s="219">
        <f t="shared" si="1"/>
        <v>16</v>
      </c>
    </row>
    <row r="9" spans="1:28" hidden="1" x14ac:dyDescent="0.2">
      <c r="A9" s="158">
        <v>4</v>
      </c>
      <c r="B9" s="159" t="s">
        <v>1032</v>
      </c>
      <c r="C9" s="159" t="s">
        <v>295</v>
      </c>
      <c r="D9" s="160">
        <v>50</v>
      </c>
      <c r="E9" s="160" t="s">
        <v>909</v>
      </c>
      <c r="F9" s="162">
        <v>0.33</v>
      </c>
      <c r="G9" s="159" t="s">
        <v>295</v>
      </c>
      <c r="H9" s="160">
        <v>50</v>
      </c>
      <c r="I9" s="215" t="s">
        <v>1876</v>
      </c>
      <c r="J9" s="220">
        <v>0.2</v>
      </c>
      <c r="K9" s="159" t="s">
        <v>295</v>
      </c>
      <c r="L9" s="160">
        <v>50</v>
      </c>
      <c r="M9" s="161" t="s">
        <v>840</v>
      </c>
      <c r="N9" s="162">
        <v>6</v>
      </c>
      <c r="O9" s="159" t="s">
        <v>295</v>
      </c>
      <c r="P9" s="160">
        <v>50</v>
      </c>
      <c r="Q9" s="163" t="s">
        <v>918</v>
      </c>
      <c r="R9" s="164">
        <v>8</v>
      </c>
      <c r="S9" s="159" t="s">
        <v>295</v>
      </c>
      <c r="T9" s="160">
        <v>50</v>
      </c>
      <c r="U9" s="163" t="s">
        <v>839</v>
      </c>
      <c r="V9" s="164">
        <v>1</v>
      </c>
      <c r="W9" s="159" t="s">
        <v>295</v>
      </c>
      <c r="X9" s="160">
        <v>50</v>
      </c>
      <c r="Y9" s="163"/>
      <c r="Z9" s="164"/>
      <c r="AA9" s="219">
        <f t="shared" si="1"/>
        <v>15.530000000000001</v>
      </c>
    </row>
    <row r="10" spans="1:28" hidden="1" x14ac:dyDescent="0.2">
      <c r="A10" s="158">
        <v>5</v>
      </c>
      <c r="B10" s="159" t="s">
        <v>1033</v>
      </c>
      <c r="C10" s="159" t="s">
        <v>295</v>
      </c>
      <c r="D10" s="160">
        <v>50</v>
      </c>
      <c r="E10" s="161" t="s">
        <v>224</v>
      </c>
      <c r="F10" s="162">
        <v>0.88</v>
      </c>
      <c r="G10" s="159" t="s">
        <v>295</v>
      </c>
      <c r="H10" s="160">
        <v>50</v>
      </c>
      <c r="I10" s="215"/>
      <c r="J10" s="216"/>
      <c r="K10" s="159" t="s">
        <v>295</v>
      </c>
      <c r="L10" s="160">
        <v>50</v>
      </c>
      <c r="M10" s="161"/>
      <c r="N10" s="162"/>
      <c r="O10" s="159" t="s">
        <v>295</v>
      </c>
      <c r="P10" s="160">
        <v>50</v>
      </c>
      <c r="Q10" s="163"/>
      <c r="R10" s="164"/>
      <c r="S10" s="159" t="s">
        <v>295</v>
      </c>
      <c r="T10" s="160">
        <v>50</v>
      </c>
      <c r="U10" s="163"/>
      <c r="V10" s="164"/>
      <c r="W10" s="159" t="s">
        <v>295</v>
      </c>
      <c r="X10" s="160">
        <v>50</v>
      </c>
      <c r="Y10" s="163"/>
      <c r="Z10" s="164"/>
      <c r="AA10" s="219">
        <f t="shared" si="1"/>
        <v>0.88</v>
      </c>
      <c r="AB10" s="193" t="s">
        <v>978</v>
      </c>
    </row>
    <row r="11" spans="1:28" hidden="1" x14ac:dyDescent="0.2">
      <c r="A11" s="158">
        <v>6</v>
      </c>
      <c r="B11" s="159" t="s">
        <v>1034</v>
      </c>
      <c r="C11" s="159" t="s">
        <v>295</v>
      </c>
      <c r="D11" s="160">
        <v>50</v>
      </c>
      <c r="E11" s="160" t="s">
        <v>912</v>
      </c>
      <c r="F11" s="162">
        <v>2</v>
      </c>
      <c r="G11" s="159" t="s">
        <v>295</v>
      </c>
      <c r="H11" s="160">
        <v>50</v>
      </c>
      <c r="I11" s="214"/>
      <c r="J11" s="220"/>
      <c r="K11" s="159" t="s">
        <v>295</v>
      </c>
      <c r="L11" s="160">
        <v>50</v>
      </c>
      <c r="M11" s="161" t="s">
        <v>840</v>
      </c>
      <c r="N11" s="162">
        <v>6</v>
      </c>
      <c r="O11" s="159" t="s">
        <v>295</v>
      </c>
      <c r="P11" s="160">
        <v>50</v>
      </c>
      <c r="Q11" s="163" t="s">
        <v>918</v>
      </c>
      <c r="R11" s="164">
        <v>8</v>
      </c>
      <c r="S11" s="159" t="s">
        <v>295</v>
      </c>
      <c r="T11" s="160">
        <v>50</v>
      </c>
      <c r="U11" s="163"/>
      <c r="V11" s="164"/>
      <c r="W11" s="159" t="s">
        <v>295</v>
      </c>
      <c r="X11" s="160">
        <v>50</v>
      </c>
      <c r="Y11" s="163"/>
      <c r="Z11" s="164"/>
      <c r="AA11" s="219">
        <f t="shared" si="1"/>
        <v>16</v>
      </c>
    </row>
    <row r="12" spans="1:28" hidden="1" x14ac:dyDescent="0.2">
      <c r="A12" s="158">
        <v>7</v>
      </c>
      <c r="B12" s="159" t="s">
        <v>1035</v>
      </c>
      <c r="C12" s="159" t="s">
        <v>295</v>
      </c>
      <c r="D12" s="160">
        <v>50</v>
      </c>
      <c r="E12" s="161" t="s">
        <v>913</v>
      </c>
      <c r="F12" s="162">
        <v>0.48</v>
      </c>
      <c r="G12" s="159" t="s">
        <v>295</v>
      </c>
      <c r="H12" s="160">
        <v>50</v>
      </c>
      <c r="I12" s="222" t="s">
        <v>725</v>
      </c>
      <c r="J12" s="223">
        <f>25/50</f>
        <v>0.5</v>
      </c>
      <c r="K12" s="159" t="s">
        <v>295</v>
      </c>
      <c r="L12" s="160">
        <v>50</v>
      </c>
      <c r="M12" s="161"/>
      <c r="N12" s="162"/>
      <c r="O12" s="159" t="s">
        <v>295</v>
      </c>
      <c r="P12" s="160">
        <v>50</v>
      </c>
      <c r="Q12" s="163"/>
      <c r="R12" s="164"/>
      <c r="S12" s="159" t="s">
        <v>295</v>
      </c>
      <c r="T12" s="160">
        <v>50</v>
      </c>
      <c r="U12" s="163"/>
      <c r="V12" s="164"/>
      <c r="W12" s="159" t="s">
        <v>295</v>
      </c>
      <c r="X12" s="160">
        <v>50</v>
      </c>
      <c r="Y12" s="163"/>
      <c r="Z12" s="164"/>
      <c r="AA12" s="219">
        <f t="shared" si="1"/>
        <v>0.98</v>
      </c>
      <c r="AB12" s="193" t="s">
        <v>979</v>
      </c>
    </row>
    <row r="13" spans="1:28" ht="18" hidden="1" customHeight="1" x14ac:dyDescent="0.2">
      <c r="A13" s="158">
        <v>8</v>
      </c>
      <c r="B13" s="159" t="s">
        <v>1036</v>
      </c>
      <c r="C13" s="159" t="s">
        <v>295</v>
      </c>
      <c r="D13" s="160">
        <v>50</v>
      </c>
      <c r="E13" s="161" t="s">
        <v>300</v>
      </c>
      <c r="F13" s="162">
        <v>1.1000000000000001</v>
      </c>
      <c r="G13" s="159" t="s">
        <v>295</v>
      </c>
      <c r="H13" s="160">
        <v>50</v>
      </c>
      <c r="I13" s="214"/>
      <c r="J13" s="220"/>
      <c r="K13" s="159" t="s">
        <v>295</v>
      </c>
      <c r="L13" s="160">
        <v>50</v>
      </c>
      <c r="M13" s="161"/>
      <c r="N13" s="162"/>
      <c r="O13" s="159" t="s">
        <v>295</v>
      </c>
      <c r="P13" s="160">
        <v>50</v>
      </c>
      <c r="Q13" s="163"/>
      <c r="R13" s="164"/>
      <c r="S13" s="159" t="s">
        <v>295</v>
      </c>
      <c r="T13" s="160">
        <v>50</v>
      </c>
      <c r="U13" s="163"/>
      <c r="V13" s="164"/>
      <c r="W13" s="159" t="s">
        <v>295</v>
      </c>
      <c r="X13" s="160">
        <v>50</v>
      </c>
      <c r="Y13" s="163"/>
      <c r="Z13" s="164"/>
      <c r="AA13" s="219">
        <f t="shared" si="1"/>
        <v>1.1000000000000001</v>
      </c>
    </row>
    <row r="14" spans="1:28" hidden="1" x14ac:dyDescent="0.2">
      <c r="A14" s="158">
        <v>9</v>
      </c>
      <c r="B14" s="159" t="s">
        <v>1037</v>
      </c>
      <c r="C14" s="159" t="s">
        <v>295</v>
      </c>
      <c r="D14" s="160">
        <v>50</v>
      </c>
      <c r="E14" s="160" t="s">
        <v>909</v>
      </c>
      <c r="F14" s="162">
        <v>0.33</v>
      </c>
      <c r="G14" s="159" t="s">
        <v>295</v>
      </c>
      <c r="H14" s="160">
        <v>50</v>
      </c>
      <c r="I14" s="214"/>
      <c r="J14" s="220"/>
      <c r="K14" s="159" t="s">
        <v>295</v>
      </c>
      <c r="L14" s="160">
        <v>50</v>
      </c>
      <c r="M14" s="161" t="s">
        <v>840</v>
      </c>
      <c r="N14" s="162">
        <v>6</v>
      </c>
      <c r="O14" s="159" t="s">
        <v>295</v>
      </c>
      <c r="P14" s="160">
        <v>50</v>
      </c>
      <c r="Q14" s="163" t="s">
        <v>918</v>
      </c>
      <c r="R14" s="164">
        <v>8</v>
      </c>
      <c r="S14" s="159" t="s">
        <v>295</v>
      </c>
      <c r="T14" s="160">
        <v>50</v>
      </c>
      <c r="U14" s="163"/>
      <c r="V14" s="164"/>
      <c r="W14" s="159" t="s">
        <v>295</v>
      </c>
      <c r="X14" s="160">
        <v>50</v>
      </c>
      <c r="Y14" s="163"/>
      <c r="Z14" s="164"/>
      <c r="AA14" s="219">
        <f t="shared" si="1"/>
        <v>14.33</v>
      </c>
    </row>
    <row r="15" spans="1:28" hidden="1" x14ac:dyDescent="0.2">
      <c r="A15" s="158">
        <v>10</v>
      </c>
      <c r="B15" s="159" t="s">
        <v>1038</v>
      </c>
      <c r="C15" s="159" t="s">
        <v>295</v>
      </c>
      <c r="D15" s="160">
        <v>50</v>
      </c>
      <c r="E15" s="161" t="s">
        <v>300</v>
      </c>
      <c r="F15" s="162">
        <v>1.1000000000000001</v>
      </c>
      <c r="G15" s="159" t="s">
        <v>295</v>
      </c>
      <c r="H15" s="160">
        <v>50</v>
      </c>
      <c r="I15" s="214"/>
      <c r="J15" s="220"/>
      <c r="K15" s="159" t="s">
        <v>295</v>
      </c>
      <c r="L15" s="160">
        <v>50</v>
      </c>
      <c r="M15" s="161"/>
      <c r="N15" s="162"/>
      <c r="O15" s="159" t="s">
        <v>295</v>
      </c>
      <c r="P15" s="160">
        <v>50</v>
      </c>
      <c r="Q15" s="163"/>
      <c r="R15" s="164"/>
      <c r="S15" s="159" t="s">
        <v>295</v>
      </c>
      <c r="T15" s="160">
        <v>50</v>
      </c>
      <c r="U15" s="163"/>
      <c r="V15" s="164"/>
      <c r="W15" s="159" t="s">
        <v>295</v>
      </c>
      <c r="X15" s="160">
        <v>50</v>
      </c>
      <c r="Y15" s="163"/>
      <c r="Z15" s="164"/>
      <c r="AA15" s="219">
        <f t="shared" si="1"/>
        <v>1.1000000000000001</v>
      </c>
    </row>
    <row r="16" spans="1:28" hidden="1" x14ac:dyDescent="0.2">
      <c r="A16" s="158">
        <v>11</v>
      </c>
      <c r="B16" s="159" t="s">
        <v>1039</v>
      </c>
      <c r="C16" s="159" t="s">
        <v>295</v>
      </c>
      <c r="D16" s="160"/>
      <c r="E16" s="160"/>
      <c r="F16" s="166"/>
      <c r="G16" s="159" t="s">
        <v>295</v>
      </c>
      <c r="H16" s="160"/>
      <c r="I16" s="214"/>
      <c r="J16" s="220"/>
      <c r="K16" s="159" t="s">
        <v>295</v>
      </c>
      <c r="L16" s="160"/>
      <c r="M16" s="160"/>
      <c r="N16" s="166"/>
      <c r="O16" s="159" t="s">
        <v>295</v>
      </c>
      <c r="P16" s="160"/>
      <c r="Q16" s="163"/>
      <c r="R16" s="164"/>
      <c r="S16" s="159" t="s">
        <v>295</v>
      </c>
      <c r="T16" s="160"/>
      <c r="U16" s="163"/>
      <c r="V16" s="164"/>
      <c r="W16" s="159" t="s">
        <v>295</v>
      </c>
      <c r="X16" s="160"/>
      <c r="Y16" s="163"/>
      <c r="Z16" s="164"/>
      <c r="AA16" s="219">
        <f t="shared" si="1"/>
        <v>0</v>
      </c>
    </row>
    <row r="17" spans="1:28" hidden="1" x14ac:dyDescent="0.2">
      <c r="A17" s="158">
        <v>12</v>
      </c>
      <c r="B17" s="159" t="s">
        <v>1040</v>
      </c>
      <c r="C17" s="159" t="s">
        <v>295</v>
      </c>
      <c r="D17" s="160">
        <v>50</v>
      </c>
      <c r="E17" s="160" t="s">
        <v>300</v>
      </c>
      <c r="F17" s="166">
        <v>1.1000000000000001</v>
      </c>
      <c r="G17" s="159" t="s">
        <v>295</v>
      </c>
      <c r="H17" s="160">
        <v>50</v>
      </c>
      <c r="I17" s="214"/>
      <c r="J17" s="220"/>
      <c r="K17" s="159" t="s">
        <v>295</v>
      </c>
      <c r="L17" s="160">
        <v>50</v>
      </c>
      <c r="M17" s="160"/>
      <c r="N17" s="166"/>
      <c r="O17" s="159" t="s">
        <v>295</v>
      </c>
      <c r="P17" s="160">
        <v>50</v>
      </c>
      <c r="Q17" s="163"/>
      <c r="R17" s="164"/>
      <c r="S17" s="159" t="s">
        <v>295</v>
      </c>
      <c r="T17" s="160">
        <v>50</v>
      </c>
      <c r="U17" s="163"/>
      <c r="V17" s="164"/>
      <c r="W17" s="159" t="s">
        <v>295</v>
      </c>
      <c r="X17" s="160">
        <v>50</v>
      </c>
      <c r="Y17" s="163"/>
      <c r="Z17" s="164"/>
      <c r="AA17" s="219">
        <f t="shared" si="1"/>
        <v>1.1000000000000001</v>
      </c>
    </row>
    <row r="18" spans="1:28" hidden="1" x14ac:dyDescent="0.2">
      <c r="A18" s="158">
        <v>13</v>
      </c>
      <c r="B18" s="159" t="s">
        <v>1041</v>
      </c>
      <c r="C18" s="159" t="s">
        <v>295</v>
      </c>
      <c r="D18" s="160">
        <v>50</v>
      </c>
      <c r="E18" s="160" t="s">
        <v>917</v>
      </c>
      <c r="F18" s="166">
        <v>1.45</v>
      </c>
      <c r="G18" s="159" t="s">
        <v>295</v>
      </c>
      <c r="H18" s="160">
        <v>50</v>
      </c>
      <c r="I18" s="214"/>
      <c r="J18" s="220"/>
      <c r="K18" s="159" t="s">
        <v>295</v>
      </c>
      <c r="L18" s="160">
        <v>50</v>
      </c>
      <c r="M18" s="160"/>
      <c r="N18" s="166"/>
      <c r="O18" s="159" t="s">
        <v>295</v>
      </c>
      <c r="P18" s="160">
        <v>50</v>
      </c>
      <c r="Q18" s="163"/>
      <c r="R18" s="164"/>
      <c r="S18" s="159" t="s">
        <v>295</v>
      </c>
      <c r="T18" s="160">
        <v>50</v>
      </c>
      <c r="U18" s="163"/>
      <c r="V18" s="164"/>
      <c r="W18" s="159" t="s">
        <v>295</v>
      </c>
      <c r="X18" s="160">
        <v>50</v>
      </c>
      <c r="Y18" s="163"/>
      <c r="Z18" s="164"/>
      <c r="AA18" s="219">
        <f t="shared" si="1"/>
        <v>1.45</v>
      </c>
    </row>
    <row r="19" spans="1:28" hidden="1" x14ac:dyDescent="0.2">
      <c r="A19" s="158">
        <v>14</v>
      </c>
      <c r="B19" s="159" t="s">
        <v>1042</v>
      </c>
      <c r="C19" s="159" t="s">
        <v>295</v>
      </c>
      <c r="D19" s="160"/>
      <c r="E19" s="160"/>
      <c r="F19" s="166"/>
      <c r="G19" s="159" t="s">
        <v>295</v>
      </c>
      <c r="H19" s="160"/>
      <c r="I19" s="214"/>
      <c r="J19" s="220"/>
      <c r="K19" s="159" t="s">
        <v>295</v>
      </c>
      <c r="L19" s="160"/>
      <c r="M19" s="160"/>
      <c r="N19" s="166"/>
      <c r="O19" s="159" t="s">
        <v>295</v>
      </c>
      <c r="P19" s="160"/>
      <c r="Q19" s="163"/>
      <c r="R19" s="164"/>
      <c r="S19" s="159" t="s">
        <v>295</v>
      </c>
      <c r="T19" s="160"/>
      <c r="U19" s="163"/>
      <c r="V19" s="164"/>
      <c r="W19" s="159" t="s">
        <v>295</v>
      </c>
      <c r="X19" s="160"/>
      <c r="Y19" s="163"/>
      <c r="Z19" s="164"/>
      <c r="AA19" s="219">
        <f t="shared" si="1"/>
        <v>0</v>
      </c>
    </row>
    <row r="20" spans="1:28" hidden="1" x14ac:dyDescent="0.2">
      <c r="A20" s="158">
        <v>15</v>
      </c>
      <c r="B20" s="159" t="s">
        <v>1043</v>
      </c>
      <c r="C20" s="159" t="s">
        <v>295</v>
      </c>
      <c r="D20" s="160">
        <v>50</v>
      </c>
      <c r="E20" s="161" t="s">
        <v>300</v>
      </c>
      <c r="F20" s="166">
        <v>1.1000000000000001</v>
      </c>
      <c r="G20" s="159" t="s">
        <v>295</v>
      </c>
      <c r="H20" s="160">
        <v>50</v>
      </c>
      <c r="I20" s="214"/>
      <c r="J20" s="220"/>
      <c r="K20" s="159" t="s">
        <v>295</v>
      </c>
      <c r="L20" s="160">
        <v>50</v>
      </c>
      <c r="M20" s="160"/>
      <c r="N20" s="166"/>
      <c r="O20" s="159" t="s">
        <v>295</v>
      </c>
      <c r="P20" s="160">
        <v>50</v>
      </c>
      <c r="Q20" s="163"/>
      <c r="R20" s="164"/>
      <c r="S20" s="159" t="s">
        <v>295</v>
      </c>
      <c r="T20" s="160">
        <v>50</v>
      </c>
      <c r="U20" s="163"/>
      <c r="V20" s="164"/>
      <c r="W20" s="159" t="s">
        <v>295</v>
      </c>
      <c r="X20" s="160">
        <v>50</v>
      </c>
      <c r="Y20" s="163"/>
      <c r="Z20" s="164"/>
      <c r="AA20" s="219">
        <f t="shared" si="1"/>
        <v>1.1000000000000001</v>
      </c>
    </row>
    <row r="21" spans="1:28" hidden="1" x14ac:dyDescent="0.2">
      <c r="A21" s="158">
        <v>16</v>
      </c>
      <c r="B21" s="159" t="s">
        <v>1044</v>
      </c>
      <c r="C21" s="159" t="s">
        <v>915</v>
      </c>
      <c r="D21" s="160">
        <v>7</v>
      </c>
      <c r="E21" s="160" t="s">
        <v>910</v>
      </c>
      <c r="F21" s="166">
        <v>2</v>
      </c>
      <c r="G21" s="159" t="s">
        <v>915</v>
      </c>
      <c r="H21" s="160">
        <v>7</v>
      </c>
      <c r="I21" s="214" t="s">
        <v>11</v>
      </c>
      <c r="J21" s="220">
        <v>0.2</v>
      </c>
      <c r="K21" s="159" t="s">
        <v>915</v>
      </c>
      <c r="L21" s="160">
        <v>7</v>
      </c>
      <c r="M21" s="160"/>
      <c r="N21" s="166"/>
      <c r="O21" s="159" t="s">
        <v>915</v>
      </c>
      <c r="P21" s="160">
        <v>7</v>
      </c>
      <c r="Q21" s="163"/>
      <c r="R21" s="164"/>
      <c r="S21" s="159" t="s">
        <v>915</v>
      </c>
      <c r="T21" s="160">
        <v>7</v>
      </c>
      <c r="U21" s="163"/>
      <c r="V21" s="164"/>
      <c r="W21" s="159" t="s">
        <v>915</v>
      </c>
      <c r="X21" s="160">
        <v>7</v>
      </c>
      <c r="Y21" s="163"/>
      <c r="Z21" s="164"/>
      <c r="AA21" s="219">
        <f t="shared" si="1"/>
        <v>2.2000000000000002</v>
      </c>
    </row>
    <row r="22" spans="1:28" ht="11.25" hidden="1" customHeight="1" x14ac:dyDescent="0.2">
      <c r="A22" s="158">
        <v>17</v>
      </c>
      <c r="B22" s="159" t="s">
        <v>1045</v>
      </c>
      <c r="C22" s="159"/>
      <c r="D22" s="160"/>
      <c r="E22" s="160"/>
      <c r="F22" s="166"/>
      <c r="G22" s="159"/>
      <c r="H22" s="160"/>
      <c r="I22" s="214"/>
      <c r="J22" s="220"/>
      <c r="K22" s="159"/>
      <c r="L22" s="160"/>
      <c r="M22" s="160"/>
      <c r="N22" s="166"/>
      <c r="O22" s="159"/>
      <c r="P22" s="160"/>
      <c r="Q22" s="163"/>
      <c r="R22" s="164"/>
      <c r="S22" s="159"/>
      <c r="T22" s="160"/>
      <c r="U22" s="163"/>
      <c r="V22" s="164"/>
      <c r="W22" s="159"/>
      <c r="X22" s="160"/>
      <c r="Y22" s="163"/>
      <c r="Z22" s="164"/>
      <c r="AA22" s="219">
        <f t="shared" si="1"/>
        <v>0</v>
      </c>
    </row>
    <row r="23" spans="1:28" hidden="1" x14ac:dyDescent="0.2">
      <c r="A23" s="158">
        <v>18</v>
      </c>
      <c r="B23" s="159" t="s">
        <v>1046</v>
      </c>
      <c r="C23" s="159" t="s">
        <v>295</v>
      </c>
      <c r="D23" s="160">
        <v>50</v>
      </c>
      <c r="E23" s="160" t="s">
        <v>888</v>
      </c>
      <c r="F23" s="169">
        <v>15</v>
      </c>
      <c r="G23" s="159" t="s">
        <v>295</v>
      </c>
      <c r="H23" s="160">
        <v>50</v>
      </c>
      <c r="I23" s="214"/>
      <c r="J23" s="220"/>
      <c r="K23" s="159" t="s">
        <v>295</v>
      </c>
      <c r="L23" s="160">
        <v>50</v>
      </c>
      <c r="M23" s="160"/>
      <c r="N23" s="166"/>
      <c r="O23" s="159" t="s">
        <v>295</v>
      </c>
      <c r="P23" s="160">
        <v>50</v>
      </c>
      <c r="Q23" s="163"/>
      <c r="R23" s="164"/>
      <c r="S23" s="159" t="s">
        <v>295</v>
      </c>
      <c r="T23" s="160">
        <v>50</v>
      </c>
      <c r="U23" s="163"/>
      <c r="V23" s="164"/>
      <c r="W23" s="159" t="s">
        <v>295</v>
      </c>
      <c r="X23" s="160">
        <v>50</v>
      </c>
      <c r="Y23" s="163"/>
      <c r="Z23" s="164"/>
      <c r="AA23" s="219">
        <f t="shared" si="1"/>
        <v>15</v>
      </c>
      <c r="AB23" s="193" t="s">
        <v>974</v>
      </c>
    </row>
    <row r="24" spans="1:28" hidden="1" x14ac:dyDescent="0.2">
      <c r="A24" s="158">
        <v>19</v>
      </c>
      <c r="B24" s="159" t="s">
        <v>1047</v>
      </c>
      <c r="C24" s="159"/>
      <c r="D24" s="160"/>
      <c r="E24" s="160"/>
      <c r="F24" s="166"/>
      <c r="G24" s="159"/>
      <c r="H24" s="160"/>
      <c r="I24" s="214"/>
      <c r="J24" s="220"/>
      <c r="K24" s="159"/>
      <c r="L24" s="160"/>
      <c r="M24" s="160"/>
      <c r="N24" s="166"/>
      <c r="O24" s="159"/>
      <c r="P24" s="160"/>
      <c r="Q24" s="163"/>
      <c r="R24" s="164"/>
      <c r="S24" s="159"/>
      <c r="T24" s="160"/>
      <c r="U24" s="163"/>
      <c r="V24" s="164"/>
      <c r="W24" s="159"/>
      <c r="X24" s="160"/>
      <c r="Y24" s="163"/>
      <c r="Z24" s="164"/>
      <c r="AA24" s="219">
        <f t="shared" si="1"/>
        <v>0</v>
      </c>
    </row>
    <row r="25" spans="1:28" hidden="1" x14ac:dyDescent="0.2">
      <c r="A25" s="158">
        <v>20</v>
      </c>
      <c r="B25" s="159" t="s">
        <v>1048</v>
      </c>
      <c r="C25" s="159"/>
      <c r="D25" s="160"/>
      <c r="E25" s="160"/>
      <c r="F25" s="166"/>
      <c r="G25" s="159"/>
      <c r="H25" s="160"/>
      <c r="I25" s="214"/>
      <c r="J25" s="220"/>
      <c r="K25" s="159"/>
      <c r="L25" s="160"/>
      <c r="M25" s="160"/>
      <c r="N25" s="166"/>
      <c r="O25" s="159"/>
      <c r="P25" s="160"/>
      <c r="Q25" s="170"/>
      <c r="R25" s="171"/>
      <c r="S25" s="159"/>
      <c r="T25" s="160"/>
      <c r="U25" s="163"/>
      <c r="V25" s="164"/>
      <c r="W25" s="159"/>
      <c r="X25" s="160"/>
      <c r="Y25" s="170"/>
      <c r="Z25" s="171"/>
      <c r="AA25" s="219">
        <f t="shared" si="1"/>
        <v>0</v>
      </c>
    </row>
    <row r="26" spans="1:28" ht="13.5" customHeight="1" thickBot="1" x14ac:dyDescent="0.25">
      <c r="B26" s="145" t="s">
        <v>983</v>
      </c>
      <c r="C26" s="146"/>
      <c r="D26" s="146"/>
      <c r="E26" s="145"/>
      <c r="F26" s="147"/>
      <c r="G26" s="146"/>
      <c r="H26" s="146"/>
      <c r="I26" s="199"/>
      <c r="J26" s="199"/>
      <c r="K26" s="146"/>
      <c r="L26" s="146"/>
      <c r="M26" s="147"/>
      <c r="N26" s="147"/>
      <c r="O26" s="146"/>
      <c r="P26" s="146"/>
      <c r="Q26" s="147"/>
      <c r="R26" s="147"/>
      <c r="S26" s="146"/>
      <c r="T26" s="146"/>
      <c r="U26" s="147"/>
      <c r="V26" s="147"/>
      <c r="W26" s="146"/>
      <c r="X26" s="146"/>
      <c r="Y26" s="147"/>
      <c r="Z26" s="147"/>
    </row>
    <row r="27" spans="1:28" s="211" customFormat="1" ht="34.5" thickBot="1" x14ac:dyDescent="0.25">
      <c r="A27" s="148" t="s">
        <v>292</v>
      </c>
      <c r="B27" s="149" t="s">
        <v>293</v>
      </c>
      <c r="C27" s="150" t="s">
        <v>1195</v>
      </c>
      <c r="D27" s="151" t="s">
        <v>1203</v>
      </c>
      <c r="E27" s="152" t="s">
        <v>4</v>
      </c>
      <c r="F27" s="153" t="s">
        <v>1202</v>
      </c>
      <c r="G27" s="150" t="s">
        <v>1196</v>
      </c>
      <c r="H27" s="151" t="s">
        <v>1204</v>
      </c>
      <c r="I27" s="207" t="s">
        <v>5</v>
      </c>
      <c r="J27" s="205" t="s">
        <v>1209</v>
      </c>
      <c r="K27" s="150" t="s">
        <v>1197</v>
      </c>
      <c r="L27" s="151" t="s">
        <v>1205</v>
      </c>
      <c r="M27" s="152" t="s">
        <v>6</v>
      </c>
      <c r="N27" s="153" t="s">
        <v>1217</v>
      </c>
      <c r="O27" s="150" t="s">
        <v>1198</v>
      </c>
      <c r="P27" s="151" t="s">
        <v>1206</v>
      </c>
      <c r="Q27" s="152" t="s">
        <v>7</v>
      </c>
      <c r="R27" s="153" t="s">
        <v>963</v>
      </c>
      <c r="S27" s="150" t="s">
        <v>1199</v>
      </c>
      <c r="T27" s="151" t="s">
        <v>1207</v>
      </c>
      <c r="U27" s="154" t="s">
        <v>8</v>
      </c>
      <c r="V27" s="155" t="s">
        <v>921</v>
      </c>
      <c r="W27" s="150" t="s">
        <v>1200</v>
      </c>
      <c r="X27" s="151" t="s">
        <v>1208</v>
      </c>
      <c r="Y27" s="152" t="s">
        <v>13</v>
      </c>
      <c r="Z27" s="153" t="s">
        <v>1210</v>
      </c>
      <c r="AA27" s="210" t="s">
        <v>1201</v>
      </c>
    </row>
    <row r="28" spans="1:28" x14ac:dyDescent="0.2">
      <c r="A28" s="158">
        <v>1</v>
      </c>
      <c r="B28" s="159" t="s">
        <v>1069</v>
      </c>
      <c r="C28" s="270" t="s">
        <v>915</v>
      </c>
      <c r="D28" s="271">
        <v>4</v>
      </c>
      <c r="E28" s="272" t="s">
        <v>181</v>
      </c>
      <c r="F28" s="273">
        <v>1</v>
      </c>
      <c r="G28" s="270" t="s">
        <v>915</v>
      </c>
      <c r="H28" s="271">
        <v>4</v>
      </c>
      <c r="I28" s="314" t="s">
        <v>11</v>
      </c>
      <c r="J28" s="315">
        <v>0.2</v>
      </c>
      <c r="K28" s="159"/>
      <c r="L28" s="160"/>
      <c r="M28" s="161"/>
      <c r="N28" s="162"/>
      <c r="O28" s="159"/>
      <c r="P28" s="160"/>
      <c r="Q28" s="161"/>
      <c r="R28" s="162"/>
      <c r="S28" s="159"/>
      <c r="T28" s="160"/>
      <c r="U28" s="161"/>
      <c r="V28" s="162"/>
      <c r="W28" s="159"/>
      <c r="X28" s="160"/>
      <c r="Y28" s="161"/>
      <c r="Z28" s="162"/>
      <c r="AA28" s="219">
        <f>F28+J28+N28+R28+V28+Z28</f>
        <v>1.2</v>
      </c>
    </row>
    <row r="29" spans="1:28" x14ac:dyDescent="0.2">
      <c r="A29" s="158">
        <v>2</v>
      </c>
      <c r="B29" s="159" t="s">
        <v>1070</v>
      </c>
      <c r="C29" s="274" t="s">
        <v>295</v>
      </c>
      <c r="D29" s="275">
        <v>50</v>
      </c>
      <c r="E29" s="275" t="s">
        <v>909</v>
      </c>
      <c r="F29" s="276">
        <v>0.33</v>
      </c>
      <c r="G29" s="274" t="s">
        <v>295</v>
      </c>
      <c r="H29" s="275">
        <v>50</v>
      </c>
      <c r="I29" s="277" t="s">
        <v>1892</v>
      </c>
      <c r="J29" s="278">
        <v>0.2</v>
      </c>
      <c r="K29" s="274" t="s">
        <v>295</v>
      </c>
      <c r="L29" s="275">
        <v>50</v>
      </c>
      <c r="M29" s="275" t="s">
        <v>1898</v>
      </c>
      <c r="N29" s="276">
        <v>0.18</v>
      </c>
      <c r="O29" s="159"/>
      <c r="P29" s="160"/>
      <c r="Q29" s="161"/>
      <c r="R29" s="162"/>
      <c r="S29" s="159"/>
      <c r="T29" s="160"/>
      <c r="U29" s="161"/>
      <c r="V29" s="162"/>
      <c r="W29" s="159"/>
      <c r="X29" s="160"/>
      <c r="Y29" s="161"/>
      <c r="Z29" s="162"/>
      <c r="AA29" s="219">
        <f>F29+J29+N29+R29+V29+Z29</f>
        <v>0.71</v>
      </c>
    </row>
    <row r="30" spans="1:28" x14ac:dyDescent="0.2">
      <c r="A30" s="158">
        <v>3</v>
      </c>
      <c r="B30" s="159" t="s">
        <v>1071</v>
      </c>
      <c r="C30" s="141" t="s">
        <v>295</v>
      </c>
      <c r="D30" s="43">
        <v>50</v>
      </c>
      <c r="E30" s="43" t="s">
        <v>1899</v>
      </c>
      <c r="F30" s="279">
        <v>0.64</v>
      </c>
      <c r="G30" s="159"/>
      <c r="H30" s="160"/>
      <c r="I30" s="214"/>
      <c r="J30" s="220"/>
      <c r="K30" s="159"/>
      <c r="L30" s="160"/>
      <c r="M30" s="161"/>
      <c r="N30" s="162"/>
      <c r="O30" s="159"/>
      <c r="P30" s="160"/>
      <c r="Q30" s="161"/>
      <c r="R30" s="162"/>
      <c r="S30" s="159"/>
      <c r="T30" s="160"/>
      <c r="U30" s="161"/>
      <c r="V30" s="162"/>
      <c r="W30" s="159"/>
      <c r="X30" s="160"/>
      <c r="Y30" s="161"/>
      <c r="Z30" s="162"/>
      <c r="AA30" s="219">
        <f>F30+J30+N30+R30+V30+Z30</f>
        <v>0.64</v>
      </c>
    </row>
    <row r="31" spans="1:28" x14ac:dyDescent="0.2">
      <c r="A31" s="158">
        <v>4</v>
      </c>
      <c r="B31" s="159" t="s">
        <v>1072</v>
      </c>
      <c r="C31" s="280" t="s">
        <v>915</v>
      </c>
      <c r="D31" s="46">
        <v>7</v>
      </c>
      <c r="E31" s="46" t="s">
        <v>1897</v>
      </c>
      <c r="F31" s="281">
        <v>2</v>
      </c>
      <c r="G31" s="280" t="s">
        <v>915</v>
      </c>
      <c r="H31" s="46">
        <v>7</v>
      </c>
      <c r="I31" s="228" t="s">
        <v>11</v>
      </c>
      <c r="J31" s="282">
        <v>0.2</v>
      </c>
      <c r="K31" s="159"/>
      <c r="L31" s="160"/>
      <c r="M31" s="161"/>
      <c r="N31" s="162"/>
      <c r="O31" s="159"/>
      <c r="P31" s="160"/>
      <c r="Q31" s="161"/>
      <c r="R31" s="162"/>
      <c r="S31" s="159"/>
      <c r="T31" s="160"/>
      <c r="U31" s="161"/>
      <c r="V31" s="162"/>
      <c r="W31" s="159"/>
      <c r="X31" s="160"/>
      <c r="Y31" s="161"/>
      <c r="Z31" s="162"/>
      <c r="AA31" s="219">
        <f t="shared" ref="AA31:AA47" si="2">F31+J31+N31+R31+V31+Z31</f>
        <v>2.2000000000000002</v>
      </c>
    </row>
    <row r="32" spans="1:28" x14ac:dyDescent="0.2">
      <c r="A32" s="158">
        <v>5</v>
      </c>
      <c r="B32" s="159" t="s">
        <v>1073</v>
      </c>
      <c r="C32" s="274" t="s">
        <v>295</v>
      </c>
      <c r="D32" s="275">
        <v>50</v>
      </c>
      <c r="E32" s="275" t="s">
        <v>909</v>
      </c>
      <c r="F32" s="276">
        <v>0.33</v>
      </c>
      <c r="G32" s="274" t="s">
        <v>295</v>
      </c>
      <c r="H32" s="275">
        <v>50</v>
      </c>
      <c r="I32" s="277" t="s">
        <v>1892</v>
      </c>
      <c r="J32" s="278">
        <v>0.2</v>
      </c>
      <c r="K32" s="274" t="s">
        <v>295</v>
      </c>
      <c r="L32" s="275">
        <v>50</v>
      </c>
      <c r="M32" s="316" t="s">
        <v>840</v>
      </c>
      <c r="N32" s="276">
        <v>6</v>
      </c>
      <c r="O32" s="274" t="s">
        <v>295</v>
      </c>
      <c r="P32" s="275">
        <v>50</v>
      </c>
      <c r="Q32" s="316" t="s">
        <v>918</v>
      </c>
      <c r="R32" s="276">
        <v>8</v>
      </c>
      <c r="S32" s="274" t="s">
        <v>295</v>
      </c>
      <c r="T32" s="275">
        <v>50</v>
      </c>
      <c r="U32" s="316" t="s">
        <v>839</v>
      </c>
      <c r="V32" s="276">
        <v>1</v>
      </c>
      <c r="W32" s="283"/>
      <c r="X32" s="284"/>
      <c r="Y32" s="286"/>
      <c r="Z32" s="285"/>
      <c r="AA32" s="219">
        <f t="shared" si="2"/>
        <v>15.530000000000001</v>
      </c>
      <c r="AB32" s="193" t="s">
        <v>978</v>
      </c>
    </row>
    <row r="33" spans="1:28" x14ac:dyDescent="0.2">
      <c r="A33" s="158">
        <v>6</v>
      </c>
      <c r="B33" s="159" t="s">
        <v>1074</v>
      </c>
      <c r="C33" s="280" t="s">
        <v>915</v>
      </c>
      <c r="D33" s="46">
        <v>7</v>
      </c>
      <c r="E33" s="287" t="s">
        <v>224</v>
      </c>
      <c r="F33" s="288">
        <v>2</v>
      </c>
      <c r="G33" s="280" t="s">
        <v>915</v>
      </c>
      <c r="H33" s="46">
        <v>7</v>
      </c>
      <c r="I33" s="228" t="s">
        <v>11</v>
      </c>
      <c r="J33" s="282">
        <v>0.2</v>
      </c>
      <c r="K33" s="159"/>
      <c r="L33" s="160"/>
      <c r="M33" s="161"/>
      <c r="N33" s="162"/>
      <c r="O33" s="159"/>
      <c r="P33" s="160"/>
      <c r="Q33" s="161"/>
      <c r="R33" s="162"/>
      <c r="S33" s="159"/>
      <c r="T33" s="160"/>
      <c r="U33" s="161"/>
      <c r="V33" s="162"/>
      <c r="W33" s="159"/>
      <c r="X33" s="160"/>
      <c r="Y33" s="161"/>
      <c r="Z33" s="162"/>
      <c r="AA33" s="219">
        <f t="shared" si="2"/>
        <v>2.2000000000000002</v>
      </c>
    </row>
    <row r="34" spans="1:28" x14ac:dyDescent="0.2">
      <c r="A34" s="158">
        <v>7</v>
      </c>
      <c r="B34" s="159" t="s">
        <v>1075</v>
      </c>
      <c r="C34" s="270" t="s">
        <v>295</v>
      </c>
      <c r="D34" s="271">
        <v>50</v>
      </c>
      <c r="E34" s="271" t="s">
        <v>300</v>
      </c>
      <c r="F34" s="273">
        <v>1.1000000000000001</v>
      </c>
      <c r="G34" s="159"/>
      <c r="H34" s="160"/>
      <c r="I34" s="214"/>
      <c r="J34" s="220"/>
      <c r="K34" s="159"/>
      <c r="L34" s="160"/>
      <c r="M34" s="161"/>
      <c r="N34" s="162"/>
      <c r="O34" s="159"/>
      <c r="P34" s="160"/>
      <c r="Q34" s="161"/>
      <c r="R34" s="162"/>
      <c r="S34" s="159"/>
      <c r="T34" s="160"/>
      <c r="U34" s="161"/>
      <c r="V34" s="162"/>
      <c r="W34" s="159"/>
      <c r="X34" s="160"/>
      <c r="Y34" s="161"/>
      <c r="Z34" s="162"/>
      <c r="AA34" s="219">
        <f t="shared" si="2"/>
        <v>1.1000000000000001</v>
      </c>
      <c r="AB34" s="193" t="s">
        <v>979</v>
      </c>
    </row>
    <row r="35" spans="1:28" x14ac:dyDescent="0.2">
      <c r="A35" s="158">
        <v>8</v>
      </c>
      <c r="B35" s="159" t="s">
        <v>1076</v>
      </c>
      <c r="C35" s="141" t="s">
        <v>295</v>
      </c>
      <c r="D35" s="43">
        <v>50</v>
      </c>
      <c r="E35" s="139" t="s">
        <v>725</v>
      </c>
      <c r="F35" s="140">
        <v>0.5</v>
      </c>
      <c r="G35" s="141" t="s">
        <v>295</v>
      </c>
      <c r="H35" s="43">
        <v>50</v>
      </c>
      <c r="I35" s="139" t="s">
        <v>1900</v>
      </c>
      <c r="J35" s="140">
        <v>0.2</v>
      </c>
      <c r="K35" s="159"/>
      <c r="L35" s="160"/>
      <c r="M35" s="161"/>
      <c r="N35" s="162"/>
      <c r="O35" s="159"/>
      <c r="P35" s="160"/>
      <c r="Q35" s="161"/>
      <c r="R35" s="162"/>
      <c r="S35" s="159"/>
      <c r="T35" s="160"/>
      <c r="U35" s="161"/>
      <c r="V35" s="162"/>
      <c r="W35" s="159"/>
      <c r="X35" s="160"/>
      <c r="Y35" s="161"/>
      <c r="Z35" s="162"/>
      <c r="AA35" s="219">
        <f t="shared" si="2"/>
        <v>0.7</v>
      </c>
    </row>
    <row r="36" spans="1:28" x14ac:dyDescent="0.2">
      <c r="A36" s="158">
        <v>9</v>
      </c>
      <c r="B36" s="159" t="s">
        <v>1077</v>
      </c>
      <c r="C36" s="274" t="s">
        <v>295</v>
      </c>
      <c r="D36" s="275">
        <v>50</v>
      </c>
      <c r="E36" s="275" t="s">
        <v>909</v>
      </c>
      <c r="F36" s="276">
        <v>0.33</v>
      </c>
      <c r="G36" s="274" t="s">
        <v>295</v>
      </c>
      <c r="H36" s="275">
        <v>50</v>
      </c>
      <c r="I36" s="277" t="s">
        <v>1892</v>
      </c>
      <c r="J36" s="278">
        <v>0.2</v>
      </c>
      <c r="K36" s="274" t="s">
        <v>295</v>
      </c>
      <c r="L36" s="275">
        <v>50</v>
      </c>
      <c r="M36" s="275" t="s">
        <v>1898</v>
      </c>
      <c r="N36" s="276">
        <v>0.18</v>
      </c>
      <c r="O36" s="159"/>
      <c r="P36" s="160"/>
      <c r="Q36" s="161"/>
      <c r="R36" s="162"/>
      <c r="S36" s="159"/>
      <c r="T36" s="160"/>
      <c r="U36" s="161"/>
      <c r="V36" s="162"/>
      <c r="W36" s="159"/>
      <c r="X36" s="160"/>
      <c r="Y36" s="161"/>
      <c r="Z36" s="162"/>
      <c r="AA36" s="219">
        <f t="shared" si="2"/>
        <v>0.71</v>
      </c>
    </row>
    <row r="37" spans="1:28" x14ac:dyDescent="0.2">
      <c r="A37" s="158">
        <v>10</v>
      </c>
      <c r="B37" s="159" t="s">
        <v>1078</v>
      </c>
      <c r="C37" s="274" t="s">
        <v>295</v>
      </c>
      <c r="D37" s="275">
        <v>50</v>
      </c>
      <c r="E37" s="316" t="s">
        <v>840</v>
      </c>
      <c r="F37" s="276">
        <v>6</v>
      </c>
      <c r="G37" s="274" t="s">
        <v>295</v>
      </c>
      <c r="H37" s="275">
        <v>50</v>
      </c>
      <c r="I37" s="316" t="s">
        <v>918</v>
      </c>
      <c r="J37" s="276">
        <v>8</v>
      </c>
      <c r="K37" s="159"/>
      <c r="L37" s="160"/>
      <c r="M37" s="160"/>
      <c r="N37" s="166"/>
      <c r="O37" s="159"/>
      <c r="P37" s="160"/>
      <c r="Q37" s="161"/>
      <c r="R37" s="162"/>
      <c r="S37" s="274" t="s">
        <v>295</v>
      </c>
      <c r="T37" s="275">
        <v>50</v>
      </c>
      <c r="U37" s="316" t="s">
        <v>839</v>
      </c>
      <c r="V37" s="276">
        <v>1</v>
      </c>
      <c r="W37" s="159"/>
      <c r="X37" s="160"/>
      <c r="Y37" s="161"/>
      <c r="Z37" s="162"/>
      <c r="AA37" s="219">
        <f t="shared" si="2"/>
        <v>15</v>
      </c>
    </row>
    <row r="38" spans="1:28" x14ac:dyDescent="0.2">
      <c r="A38" s="158">
        <v>11</v>
      </c>
      <c r="B38" s="159" t="s">
        <v>1079</v>
      </c>
      <c r="C38" s="292" t="s">
        <v>915</v>
      </c>
      <c r="D38" s="293">
        <v>10</v>
      </c>
      <c r="E38" s="293" t="s">
        <v>916</v>
      </c>
      <c r="F38" s="294">
        <v>2</v>
      </c>
      <c r="G38" s="292" t="s">
        <v>915</v>
      </c>
      <c r="H38" s="293">
        <v>10</v>
      </c>
      <c r="I38" s="317" t="s">
        <v>11</v>
      </c>
      <c r="J38" s="318">
        <v>0.2</v>
      </c>
      <c r="K38" s="159"/>
      <c r="L38" s="160"/>
      <c r="M38" s="160"/>
      <c r="N38" s="166"/>
      <c r="O38" s="159"/>
      <c r="P38" s="160"/>
      <c r="Q38" s="161"/>
      <c r="R38" s="162"/>
      <c r="S38" s="159"/>
      <c r="T38" s="160"/>
      <c r="U38" s="161"/>
      <c r="V38" s="162"/>
      <c r="W38" s="159"/>
      <c r="X38" s="160"/>
      <c r="Y38" s="161"/>
      <c r="Z38" s="162"/>
      <c r="AA38" s="219">
        <f t="shared" si="2"/>
        <v>2.2000000000000002</v>
      </c>
    </row>
    <row r="39" spans="1:28" x14ac:dyDescent="0.2">
      <c r="A39" s="290">
        <v>12</v>
      </c>
      <c r="B39" s="291" t="s">
        <v>1080</v>
      </c>
      <c r="C39" s="280" t="s">
        <v>1903</v>
      </c>
      <c r="D39" s="46">
        <v>7</v>
      </c>
      <c r="E39" s="287" t="s">
        <v>1910</v>
      </c>
      <c r="F39" s="319">
        <v>1.5</v>
      </c>
      <c r="G39" s="280" t="s">
        <v>1903</v>
      </c>
      <c r="H39" s="46">
        <v>7</v>
      </c>
      <c r="I39" s="228" t="s">
        <v>11</v>
      </c>
      <c r="J39" s="282">
        <v>0.2</v>
      </c>
      <c r="K39" s="159"/>
      <c r="L39" s="160"/>
      <c r="M39" s="161"/>
      <c r="N39" s="162"/>
      <c r="O39" s="159"/>
      <c r="P39" s="160"/>
      <c r="Q39" s="161"/>
      <c r="R39" s="162"/>
      <c r="S39" s="159"/>
      <c r="T39" s="160"/>
      <c r="U39" s="161"/>
      <c r="V39" s="162"/>
      <c r="W39" s="159"/>
      <c r="X39" s="160"/>
      <c r="Y39" s="161"/>
      <c r="Z39" s="162"/>
      <c r="AA39" s="219">
        <f t="shared" si="2"/>
        <v>1.7</v>
      </c>
    </row>
    <row r="40" spans="1:28" x14ac:dyDescent="0.2">
      <c r="A40" s="158">
        <v>13</v>
      </c>
      <c r="B40" s="159" t="s">
        <v>1081</v>
      </c>
      <c r="C40" s="270" t="s">
        <v>295</v>
      </c>
      <c r="D40" s="271">
        <v>50</v>
      </c>
      <c r="E40" s="272" t="s">
        <v>300</v>
      </c>
      <c r="F40" s="289">
        <v>1.1000000000000001</v>
      </c>
      <c r="G40" s="159"/>
      <c r="H40" s="160"/>
      <c r="I40" s="214"/>
      <c r="J40" s="220"/>
      <c r="K40" s="159"/>
      <c r="L40" s="160"/>
      <c r="M40" s="161"/>
      <c r="N40" s="162"/>
      <c r="O40" s="159"/>
      <c r="P40" s="160"/>
      <c r="Q40" s="161"/>
      <c r="R40" s="162"/>
      <c r="S40" s="159"/>
      <c r="T40" s="160"/>
      <c r="U40" s="161"/>
      <c r="V40" s="162"/>
      <c r="W40" s="159"/>
      <c r="X40" s="160"/>
      <c r="Y40" s="161"/>
      <c r="Z40" s="162"/>
      <c r="AA40" s="219">
        <f t="shared" si="2"/>
        <v>1.1000000000000001</v>
      </c>
    </row>
    <row r="41" spans="1:28" x14ac:dyDescent="0.2">
      <c r="A41" s="158">
        <v>14</v>
      </c>
      <c r="B41" s="159" t="s">
        <v>1082</v>
      </c>
      <c r="C41" s="270" t="s">
        <v>295</v>
      </c>
      <c r="D41" s="271">
        <v>50</v>
      </c>
      <c r="E41" s="271" t="s">
        <v>917</v>
      </c>
      <c r="F41" s="289">
        <v>1.25</v>
      </c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219">
        <f t="shared" si="2"/>
        <v>1.25</v>
      </c>
    </row>
    <row r="42" spans="1:28" x14ac:dyDescent="0.2">
      <c r="A42" s="158">
        <v>15</v>
      </c>
      <c r="B42" s="159" t="s">
        <v>1083</v>
      </c>
      <c r="C42" s="280" t="s">
        <v>1903</v>
      </c>
      <c r="D42" s="46">
        <v>7</v>
      </c>
      <c r="E42" s="287" t="s">
        <v>1912</v>
      </c>
      <c r="F42" s="319">
        <v>0.4</v>
      </c>
      <c r="G42" s="280" t="s">
        <v>1903</v>
      </c>
      <c r="H42" s="46">
        <v>7</v>
      </c>
      <c r="I42" s="228" t="s">
        <v>11</v>
      </c>
      <c r="J42" s="282">
        <v>0.2</v>
      </c>
      <c r="K42" s="159"/>
      <c r="L42" s="160"/>
      <c r="M42" s="161"/>
      <c r="N42" s="162"/>
      <c r="O42" s="159"/>
      <c r="P42" s="160"/>
      <c r="Q42" s="161"/>
      <c r="R42" s="162"/>
      <c r="S42" s="159"/>
      <c r="T42" s="160"/>
      <c r="U42" s="161"/>
      <c r="V42" s="162"/>
      <c r="W42" s="159"/>
      <c r="X42" s="160"/>
      <c r="Y42" s="161"/>
      <c r="Z42" s="162"/>
      <c r="AA42" s="219">
        <f t="shared" si="2"/>
        <v>0.60000000000000009</v>
      </c>
    </row>
    <row r="43" spans="1:28" ht="11.25" customHeight="1" x14ac:dyDescent="0.2">
      <c r="A43" s="158">
        <v>16</v>
      </c>
      <c r="B43" s="159" t="s">
        <v>1084</v>
      </c>
      <c r="C43" s="159"/>
      <c r="D43" s="160"/>
      <c r="E43" s="161"/>
      <c r="F43" s="162"/>
      <c r="G43" s="159"/>
      <c r="H43" s="160"/>
      <c r="I43" s="214"/>
      <c r="J43" s="220"/>
      <c r="K43" s="159"/>
      <c r="L43" s="160"/>
      <c r="M43" s="160"/>
      <c r="N43" s="166"/>
      <c r="O43" s="159"/>
      <c r="P43" s="160"/>
      <c r="Q43" s="161"/>
      <c r="R43" s="162"/>
      <c r="S43" s="159"/>
      <c r="T43" s="160"/>
      <c r="U43" s="161"/>
      <c r="V43" s="162"/>
      <c r="W43" s="159"/>
      <c r="X43" s="160"/>
      <c r="Y43" s="161"/>
      <c r="Z43" s="162"/>
      <c r="AA43" s="219">
        <f t="shared" si="2"/>
        <v>0</v>
      </c>
    </row>
    <row r="44" spans="1:28" x14ac:dyDescent="0.2">
      <c r="A44" s="158">
        <v>17</v>
      </c>
      <c r="B44" s="159" t="s">
        <v>1085</v>
      </c>
      <c r="C44" s="159"/>
      <c r="D44" s="160"/>
      <c r="E44" s="160"/>
      <c r="F44" s="166"/>
      <c r="G44" s="159"/>
      <c r="H44" s="160"/>
      <c r="I44" s="214"/>
      <c r="J44" s="220"/>
      <c r="K44" s="159"/>
      <c r="L44" s="160"/>
      <c r="M44" s="160"/>
      <c r="N44" s="166"/>
      <c r="O44" s="159"/>
      <c r="P44" s="160"/>
      <c r="Q44" s="163"/>
      <c r="R44" s="164"/>
      <c r="S44" s="159"/>
      <c r="T44" s="160"/>
      <c r="U44" s="163"/>
      <c r="V44" s="164"/>
      <c r="W44" s="159"/>
      <c r="X44" s="160"/>
      <c r="Y44" s="163"/>
      <c r="Z44" s="164"/>
      <c r="AA44" s="219">
        <f t="shared" si="2"/>
        <v>0</v>
      </c>
    </row>
    <row r="45" spans="1:28" x14ac:dyDescent="0.2">
      <c r="A45" s="158">
        <v>18</v>
      </c>
      <c r="B45" s="159" t="s">
        <v>1086</v>
      </c>
      <c r="C45" s="159"/>
      <c r="D45" s="160"/>
      <c r="E45" s="160"/>
      <c r="F45" s="169"/>
      <c r="G45" s="159"/>
      <c r="H45" s="160"/>
      <c r="I45" s="214"/>
      <c r="J45" s="220"/>
      <c r="K45" s="159"/>
      <c r="L45" s="160"/>
      <c r="M45" s="160"/>
      <c r="N45" s="166"/>
      <c r="O45" s="159"/>
      <c r="P45" s="160"/>
      <c r="Q45" s="163"/>
      <c r="R45" s="164"/>
      <c r="S45" s="159"/>
      <c r="T45" s="160"/>
      <c r="U45" s="163"/>
      <c r="V45" s="164"/>
      <c r="W45" s="159"/>
      <c r="X45" s="160"/>
      <c r="Y45" s="163"/>
      <c r="Z45" s="164"/>
      <c r="AA45" s="219">
        <f t="shared" si="2"/>
        <v>0</v>
      </c>
      <c r="AB45" s="193" t="s">
        <v>974</v>
      </c>
    </row>
    <row r="46" spans="1:28" x14ac:dyDescent="0.2">
      <c r="A46" s="158">
        <v>19</v>
      </c>
      <c r="B46" s="159" t="s">
        <v>1087</v>
      </c>
      <c r="C46" s="159"/>
      <c r="D46" s="160"/>
      <c r="E46" s="160"/>
      <c r="F46" s="166"/>
      <c r="G46" s="159"/>
      <c r="H46" s="160"/>
      <c r="I46" s="214"/>
      <c r="J46" s="220"/>
      <c r="K46" s="159"/>
      <c r="L46" s="160"/>
      <c r="M46" s="160"/>
      <c r="N46" s="166"/>
      <c r="O46" s="159"/>
      <c r="P46" s="160"/>
      <c r="Q46" s="163"/>
      <c r="R46" s="164"/>
      <c r="S46" s="159"/>
      <c r="T46" s="160"/>
      <c r="U46" s="163"/>
      <c r="V46" s="164"/>
      <c r="W46" s="159"/>
      <c r="X46" s="160"/>
      <c r="Y46" s="163"/>
      <c r="Z46" s="164"/>
      <c r="AA46" s="219">
        <f t="shared" si="2"/>
        <v>0</v>
      </c>
    </row>
    <row r="47" spans="1:28" x14ac:dyDescent="0.2">
      <c r="A47" s="158">
        <v>20</v>
      </c>
      <c r="B47" s="159" t="s">
        <v>1088</v>
      </c>
      <c r="C47" s="159"/>
      <c r="D47" s="160"/>
      <c r="E47" s="160"/>
      <c r="F47" s="166"/>
      <c r="G47" s="159"/>
      <c r="H47" s="160"/>
      <c r="I47" s="214"/>
      <c r="J47" s="220"/>
      <c r="K47" s="159"/>
      <c r="L47" s="160"/>
      <c r="M47" s="160"/>
      <c r="N47" s="166"/>
      <c r="O47" s="159"/>
      <c r="P47" s="160"/>
      <c r="Q47" s="170"/>
      <c r="R47" s="171"/>
      <c r="S47" s="159"/>
      <c r="T47" s="160"/>
      <c r="U47" s="163"/>
      <c r="V47" s="164"/>
      <c r="W47" s="159"/>
      <c r="X47" s="160"/>
      <c r="Y47" s="170"/>
      <c r="Z47" s="171"/>
      <c r="AA47" s="219">
        <f t="shared" si="2"/>
        <v>0</v>
      </c>
    </row>
    <row r="48" spans="1:28" ht="13.5" customHeight="1" thickBot="1" x14ac:dyDescent="0.25">
      <c r="B48" s="145" t="s">
        <v>985</v>
      </c>
      <c r="C48" s="147"/>
      <c r="D48" s="147"/>
      <c r="E48" s="147"/>
      <c r="F48" s="147"/>
      <c r="G48" s="147"/>
      <c r="H48" s="147"/>
      <c r="I48" s="199"/>
      <c r="J48" s="199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34" s="211" customFormat="1" ht="34.5" thickBot="1" x14ac:dyDescent="0.25">
      <c r="A49" s="148" t="s">
        <v>292</v>
      </c>
      <c r="B49" s="149" t="s">
        <v>293</v>
      </c>
      <c r="C49" s="150" t="s">
        <v>1195</v>
      </c>
      <c r="D49" s="151" t="s">
        <v>1203</v>
      </c>
      <c r="E49" s="152" t="s">
        <v>4</v>
      </c>
      <c r="F49" s="153" t="s">
        <v>1202</v>
      </c>
      <c r="G49" s="150" t="s">
        <v>1196</v>
      </c>
      <c r="H49" s="151" t="s">
        <v>1204</v>
      </c>
      <c r="I49" s="207" t="s">
        <v>5</v>
      </c>
      <c r="J49" s="205" t="s">
        <v>1209</v>
      </c>
      <c r="K49" s="150" t="s">
        <v>1197</v>
      </c>
      <c r="L49" s="151" t="s">
        <v>1205</v>
      </c>
      <c r="M49" s="152" t="s">
        <v>6</v>
      </c>
      <c r="N49" s="153" t="s">
        <v>1217</v>
      </c>
      <c r="O49" s="150" t="s">
        <v>1198</v>
      </c>
      <c r="P49" s="151" t="s">
        <v>1206</v>
      </c>
      <c r="Q49" s="152" t="s">
        <v>7</v>
      </c>
      <c r="R49" s="153" t="s">
        <v>963</v>
      </c>
      <c r="S49" s="150" t="s">
        <v>1199</v>
      </c>
      <c r="T49" s="151" t="s">
        <v>1207</v>
      </c>
      <c r="U49" s="154" t="s">
        <v>8</v>
      </c>
      <c r="V49" s="155" t="s">
        <v>921</v>
      </c>
      <c r="W49" s="150" t="s">
        <v>1200</v>
      </c>
      <c r="X49" s="151" t="s">
        <v>1208</v>
      </c>
      <c r="Y49" s="152" t="s">
        <v>13</v>
      </c>
      <c r="Z49" s="153" t="s">
        <v>1210</v>
      </c>
      <c r="AA49" s="210" t="s">
        <v>1201</v>
      </c>
      <c r="AB49" s="193"/>
      <c r="AC49" s="193"/>
      <c r="AD49" s="193"/>
      <c r="AE49" s="193"/>
      <c r="AF49" s="193"/>
      <c r="AG49" s="193"/>
      <c r="AH49" s="193"/>
    </row>
    <row r="50" spans="1:34" x14ac:dyDescent="0.2">
      <c r="A50" s="158">
        <v>1</v>
      </c>
      <c r="B50" s="159" t="s">
        <v>799</v>
      </c>
      <c r="C50" s="270" t="s">
        <v>915</v>
      </c>
      <c r="D50" s="271">
        <v>4</v>
      </c>
      <c r="E50" s="272" t="s">
        <v>181</v>
      </c>
      <c r="F50" s="273">
        <v>1</v>
      </c>
      <c r="G50" s="270" t="s">
        <v>915</v>
      </c>
      <c r="H50" s="271">
        <v>4</v>
      </c>
      <c r="I50" s="314" t="s">
        <v>11</v>
      </c>
      <c r="J50" s="315">
        <v>0.2</v>
      </c>
      <c r="K50" s="159"/>
      <c r="L50" s="160"/>
      <c r="M50" s="161"/>
      <c r="N50" s="162"/>
      <c r="O50" s="159"/>
      <c r="P50" s="160"/>
      <c r="Q50" s="161"/>
      <c r="R50" s="162"/>
      <c r="S50" s="159"/>
      <c r="T50" s="160"/>
      <c r="U50" s="161"/>
      <c r="V50" s="162"/>
      <c r="W50" s="159"/>
      <c r="X50" s="160"/>
      <c r="Y50" s="161"/>
      <c r="Z50" s="162"/>
      <c r="AA50" s="219">
        <f t="shared" ref="AA50:AA69" si="3">F50+J50+N50+R50+V50+Z50</f>
        <v>1.2</v>
      </c>
    </row>
    <row r="51" spans="1:34" x14ac:dyDescent="0.2">
      <c r="A51" s="158">
        <v>2</v>
      </c>
      <c r="B51" s="159" t="s">
        <v>800</v>
      </c>
      <c r="C51" s="274" t="s">
        <v>295</v>
      </c>
      <c r="D51" s="275">
        <v>50</v>
      </c>
      <c r="E51" s="275" t="s">
        <v>909</v>
      </c>
      <c r="F51" s="276">
        <v>0.33</v>
      </c>
      <c r="G51" s="274" t="s">
        <v>295</v>
      </c>
      <c r="H51" s="275">
        <v>50</v>
      </c>
      <c r="I51" s="277" t="s">
        <v>1892</v>
      </c>
      <c r="J51" s="278">
        <v>0.2</v>
      </c>
      <c r="K51" s="274" t="s">
        <v>295</v>
      </c>
      <c r="L51" s="275">
        <v>50</v>
      </c>
      <c r="M51" s="275" t="s">
        <v>1898</v>
      </c>
      <c r="N51" s="276">
        <v>0.18</v>
      </c>
      <c r="O51" s="159"/>
      <c r="P51" s="160"/>
      <c r="Q51" s="161"/>
      <c r="R51" s="162"/>
      <c r="S51" s="159"/>
      <c r="T51" s="160"/>
      <c r="U51" s="161"/>
      <c r="V51" s="162"/>
      <c r="W51" s="159"/>
      <c r="X51" s="160"/>
      <c r="Y51" s="161"/>
      <c r="Z51" s="162"/>
      <c r="AA51" s="219">
        <f t="shared" si="3"/>
        <v>0.71</v>
      </c>
    </row>
    <row r="52" spans="1:34" x14ac:dyDescent="0.2">
      <c r="A52" s="158">
        <v>3</v>
      </c>
      <c r="B52" s="159" t="s">
        <v>801</v>
      </c>
      <c r="C52" s="141" t="s">
        <v>295</v>
      </c>
      <c r="D52" s="43">
        <v>50</v>
      </c>
      <c r="E52" s="43" t="s">
        <v>1899</v>
      </c>
      <c r="F52" s="279">
        <v>0.64</v>
      </c>
      <c r="G52" s="159"/>
      <c r="H52" s="160"/>
      <c r="I52" s="214"/>
      <c r="J52" s="220"/>
      <c r="K52" s="159"/>
      <c r="L52" s="160"/>
      <c r="M52" s="161"/>
      <c r="N52" s="162"/>
      <c r="O52" s="159"/>
      <c r="P52" s="160"/>
      <c r="Q52" s="161"/>
      <c r="R52" s="162"/>
      <c r="S52" s="159"/>
      <c r="T52" s="160"/>
      <c r="U52" s="161"/>
      <c r="V52" s="162"/>
      <c r="W52" s="159"/>
      <c r="X52" s="160"/>
      <c r="Y52" s="161"/>
      <c r="Z52" s="162"/>
      <c r="AA52" s="219">
        <f t="shared" si="3"/>
        <v>0.64</v>
      </c>
    </row>
    <row r="53" spans="1:34" x14ac:dyDescent="0.2">
      <c r="A53" s="158">
        <v>4</v>
      </c>
      <c r="B53" s="159" t="s">
        <v>802</v>
      </c>
      <c r="C53" s="270" t="s">
        <v>295</v>
      </c>
      <c r="D53" s="271">
        <v>50</v>
      </c>
      <c r="E53" s="271" t="s">
        <v>300</v>
      </c>
      <c r="F53" s="289">
        <v>1.1000000000000001</v>
      </c>
      <c r="G53" s="160"/>
      <c r="H53" s="160"/>
      <c r="I53" s="214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9">
        <f t="shared" si="3"/>
        <v>1.1000000000000001</v>
      </c>
      <c r="AB53" s="193" t="s">
        <v>978</v>
      </c>
    </row>
    <row r="54" spans="1:34" x14ac:dyDescent="0.2">
      <c r="A54" s="158">
        <v>5</v>
      </c>
      <c r="B54" s="159" t="s">
        <v>803</v>
      </c>
      <c r="C54" s="274" t="s">
        <v>295</v>
      </c>
      <c r="D54" s="275">
        <v>50</v>
      </c>
      <c r="E54" s="275" t="s">
        <v>909</v>
      </c>
      <c r="F54" s="276">
        <v>0.33</v>
      </c>
      <c r="G54" s="274" t="s">
        <v>295</v>
      </c>
      <c r="H54" s="275">
        <v>50</v>
      </c>
      <c r="I54" s="277" t="s">
        <v>1892</v>
      </c>
      <c r="J54" s="278">
        <v>0.2</v>
      </c>
      <c r="K54" s="274" t="s">
        <v>295</v>
      </c>
      <c r="L54" s="275">
        <v>50</v>
      </c>
      <c r="M54" s="316" t="s">
        <v>840</v>
      </c>
      <c r="N54" s="276">
        <v>6</v>
      </c>
      <c r="O54" s="274" t="s">
        <v>295</v>
      </c>
      <c r="P54" s="275">
        <v>50</v>
      </c>
      <c r="Q54" s="316" t="s">
        <v>918</v>
      </c>
      <c r="R54" s="276">
        <v>8</v>
      </c>
      <c r="S54" s="274" t="s">
        <v>295</v>
      </c>
      <c r="T54" s="275">
        <v>50</v>
      </c>
      <c r="U54" s="316" t="s">
        <v>839</v>
      </c>
      <c r="V54" s="276">
        <v>1</v>
      </c>
      <c r="W54" s="283"/>
      <c r="X54" s="284"/>
      <c r="Y54" s="286"/>
      <c r="Z54" s="285"/>
      <c r="AA54" s="219">
        <f t="shared" si="3"/>
        <v>15.530000000000001</v>
      </c>
    </row>
    <row r="55" spans="1:34" x14ac:dyDescent="0.2">
      <c r="A55" s="158">
        <v>6</v>
      </c>
      <c r="B55" s="159" t="s">
        <v>804</v>
      </c>
      <c r="C55" s="280" t="s">
        <v>915</v>
      </c>
      <c r="D55" s="46">
        <v>7</v>
      </c>
      <c r="E55" s="287" t="s">
        <v>224</v>
      </c>
      <c r="F55" s="288">
        <v>2</v>
      </c>
      <c r="G55" s="280" t="s">
        <v>915</v>
      </c>
      <c r="H55" s="46">
        <v>7</v>
      </c>
      <c r="I55" s="228" t="s">
        <v>11</v>
      </c>
      <c r="J55" s="282">
        <v>0.2</v>
      </c>
      <c r="K55" s="159"/>
      <c r="L55" s="160"/>
      <c r="M55" s="161"/>
      <c r="N55" s="162"/>
      <c r="O55" s="159"/>
      <c r="P55" s="160"/>
      <c r="Q55" s="161"/>
      <c r="R55" s="162"/>
      <c r="S55" s="159"/>
      <c r="T55" s="160"/>
      <c r="U55" s="161"/>
      <c r="V55" s="162"/>
      <c r="W55" s="159"/>
      <c r="X55" s="160"/>
      <c r="Y55" s="161"/>
      <c r="Z55" s="162"/>
      <c r="AA55" s="219">
        <f t="shared" si="3"/>
        <v>2.2000000000000002</v>
      </c>
      <c r="AB55" s="193" t="s">
        <v>979</v>
      </c>
    </row>
    <row r="56" spans="1:34" x14ac:dyDescent="0.2">
      <c r="A56" s="158">
        <v>7</v>
      </c>
      <c r="B56" s="159" t="s">
        <v>805</v>
      </c>
      <c r="C56" s="270" t="s">
        <v>295</v>
      </c>
      <c r="D56" s="271">
        <v>50</v>
      </c>
      <c r="E56" s="271" t="s">
        <v>300</v>
      </c>
      <c r="F56" s="289">
        <v>1.1000000000000001</v>
      </c>
      <c r="G56" s="160"/>
      <c r="H56" s="160"/>
      <c r="I56" s="214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9">
        <f t="shared" si="3"/>
        <v>1.1000000000000001</v>
      </c>
    </row>
    <row r="57" spans="1:34" x14ac:dyDescent="0.2">
      <c r="A57" s="158">
        <v>8</v>
      </c>
      <c r="B57" s="159" t="s">
        <v>806</v>
      </c>
      <c r="C57" s="141" t="s">
        <v>295</v>
      </c>
      <c r="D57" s="43">
        <v>50</v>
      </c>
      <c r="E57" s="139" t="s">
        <v>725</v>
      </c>
      <c r="F57" s="140">
        <v>0.5</v>
      </c>
      <c r="G57" s="141" t="s">
        <v>295</v>
      </c>
      <c r="H57" s="43">
        <v>50</v>
      </c>
      <c r="I57" s="139" t="s">
        <v>1900</v>
      </c>
      <c r="J57" s="140">
        <v>0.2</v>
      </c>
      <c r="K57" s="159"/>
      <c r="L57" s="160"/>
      <c r="M57" s="161"/>
      <c r="N57" s="162"/>
      <c r="O57" s="159"/>
      <c r="P57" s="160"/>
      <c r="Q57" s="161"/>
      <c r="R57" s="162"/>
      <c r="S57" s="159"/>
      <c r="T57" s="160"/>
      <c r="U57" s="161"/>
      <c r="V57" s="162"/>
      <c r="W57" s="159"/>
      <c r="X57" s="160"/>
      <c r="Y57" s="161"/>
      <c r="Z57" s="162"/>
      <c r="AA57" s="219">
        <f t="shared" si="3"/>
        <v>0.7</v>
      </c>
    </row>
    <row r="58" spans="1:34" x14ac:dyDescent="0.2">
      <c r="A58" s="158">
        <v>9</v>
      </c>
      <c r="B58" s="159" t="s">
        <v>807</v>
      </c>
      <c r="C58" s="274" t="s">
        <v>295</v>
      </c>
      <c r="D58" s="275">
        <v>50</v>
      </c>
      <c r="E58" s="275" t="s">
        <v>909</v>
      </c>
      <c r="F58" s="276">
        <v>0.33</v>
      </c>
      <c r="G58" s="274" t="s">
        <v>295</v>
      </c>
      <c r="H58" s="275">
        <v>50</v>
      </c>
      <c r="I58" s="277" t="s">
        <v>1892</v>
      </c>
      <c r="J58" s="278">
        <v>0.2</v>
      </c>
      <c r="K58" s="274" t="s">
        <v>295</v>
      </c>
      <c r="L58" s="275">
        <v>50</v>
      </c>
      <c r="M58" s="275" t="s">
        <v>1898</v>
      </c>
      <c r="N58" s="276">
        <v>0.18</v>
      </c>
      <c r="O58" s="159"/>
      <c r="P58" s="160"/>
      <c r="Q58" s="161"/>
      <c r="R58" s="162"/>
      <c r="S58" s="159"/>
      <c r="T58" s="160"/>
      <c r="U58" s="161"/>
      <c r="V58" s="162"/>
      <c r="W58" s="159"/>
      <c r="X58" s="160"/>
      <c r="Y58" s="161"/>
      <c r="Z58" s="162"/>
      <c r="AA58" s="219">
        <f t="shared" si="3"/>
        <v>0.71</v>
      </c>
    </row>
    <row r="59" spans="1:34" x14ac:dyDescent="0.2">
      <c r="A59" s="158">
        <v>10</v>
      </c>
      <c r="B59" s="159" t="s">
        <v>808</v>
      </c>
      <c r="C59" s="274" t="s">
        <v>295</v>
      </c>
      <c r="D59" s="275">
        <v>50</v>
      </c>
      <c r="E59" s="316" t="s">
        <v>840</v>
      </c>
      <c r="F59" s="276">
        <v>6</v>
      </c>
      <c r="G59" s="274" t="s">
        <v>295</v>
      </c>
      <c r="H59" s="275">
        <v>50</v>
      </c>
      <c r="I59" s="316" t="s">
        <v>918</v>
      </c>
      <c r="J59" s="276">
        <v>8</v>
      </c>
      <c r="K59" s="159"/>
      <c r="L59" s="160"/>
      <c r="M59" s="160"/>
      <c r="N59" s="166"/>
      <c r="O59" s="159"/>
      <c r="P59" s="160"/>
      <c r="Q59" s="161"/>
      <c r="R59" s="162"/>
      <c r="S59" s="274" t="s">
        <v>295</v>
      </c>
      <c r="T59" s="275">
        <v>50</v>
      </c>
      <c r="U59" s="316" t="s">
        <v>839</v>
      </c>
      <c r="V59" s="276">
        <v>1</v>
      </c>
      <c r="W59" s="159"/>
      <c r="X59" s="160"/>
      <c r="Y59" s="161"/>
      <c r="Z59" s="162"/>
      <c r="AA59" s="219">
        <f t="shared" si="3"/>
        <v>15</v>
      </c>
    </row>
    <row r="60" spans="1:34" x14ac:dyDescent="0.2">
      <c r="A60" s="158">
        <v>11</v>
      </c>
      <c r="B60" s="159" t="s">
        <v>809</v>
      </c>
      <c r="C60" s="292" t="s">
        <v>915</v>
      </c>
      <c r="D60" s="293">
        <v>10</v>
      </c>
      <c r="E60" s="293" t="s">
        <v>916</v>
      </c>
      <c r="F60" s="294">
        <v>2</v>
      </c>
      <c r="G60" s="292" t="s">
        <v>915</v>
      </c>
      <c r="H60" s="293">
        <v>10</v>
      </c>
      <c r="I60" s="317" t="s">
        <v>11</v>
      </c>
      <c r="J60" s="318">
        <v>0.2</v>
      </c>
      <c r="K60" s="159"/>
      <c r="L60" s="160"/>
      <c r="M60" s="160"/>
      <c r="N60" s="166"/>
      <c r="O60" s="159"/>
      <c r="P60" s="160"/>
      <c r="Q60" s="161"/>
      <c r="R60" s="162"/>
      <c r="S60" s="159"/>
      <c r="T60" s="160"/>
      <c r="U60" s="161"/>
      <c r="V60" s="162"/>
      <c r="W60" s="159"/>
      <c r="X60" s="160"/>
      <c r="Y60" s="161"/>
      <c r="Z60" s="162"/>
      <c r="AA60" s="219">
        <f t="shared" si="3"/>
        <v>2.2000000000000002</v>
      </c>
    </row>
    <row r="61" spans="1:34" x14ac:dyDescent="0.2">
      <c r="A61" s="158">
        <v>12</v>
      </c>
      <c r="B61" s="159" t="s">
        <v>810</v>
      </c>
      <c r="C61" s="280" t="s">
        <v>1903</v>
      </c>
      <c r="D61" s="46">
        <v>7</v>
      </c>
      <c r="E61" s="287" t="s">
        <v>1910</v>
      </c>
      <c r="F61" s="319">
        <v>1.5</v>
      </c>
      <c r="G61" s="280" t="s">
        <v>1903</v>
      </c>
      <c r="H61" s="46">
        <v>7</v>
      </c>
      <c r="I61" s="228" t="s">
        <v>11</v>
      </c>
      <c r="J61" s="282">
        <v>0.2</v>
      </c>
      <c r="K61" s="159"/>
      <c r="L61" s="160"/>
      <c r="M61" s="161"/>
      <c r="N61" s="162"/>
      <c r="O61" s="159"/>
      <c r="P61" s="160"/>
      <c r="Q61" s="161"/>
      <c r="R61" s="162"/>
      <c r="S61" s="159"/>
      <c r="T61" s="160"/>
      <c r="U61" s="161"/>
      <c r="V61" s="162"/>
      <c r="W61" s="159"/>
      <c r="X61" s="160"/>
      <c r="Y61" s="161"/>
      <c r="Z61" s="162"/>
      <c r="AA61" s="219">
        <f t="shared" si="3"/>
        <v>1.7</v>
      </c>
    </row>
    <row r="62" spans="1:34" x14ac:dyDescent="0.2">
      <c r="A62" s="158">
        <v>13</v>
      </c>
      <c r="B62" s="159" t="s">
        <v>811</v>
      </c>
      <c r="C62" s="270" t="s">
        <v>295</v>
      </c>
      <c r="D62" s="271">
        <v>50</v>
      </c>
      <c r="E62" s="271" t="s">
        <v>300</v>
      </c>
      <c r="F62" s="289">
        <v>1.1000000000000001</v>
      </c>
      <c r="G62" s="160"/>
      <c r="H62" s="160"/>
      <c r="I62" s="214"/>
      <c r="J62" s="216"/>
      <c r="K62" s="216"/>
      <c r="L62" s="216"/>
      <c r="M62" s="160"/>
      <c r="N62" s="166"/>
      <c r="O62" s="159"/>
      <c r="P62" s="160"/>
      <c r="Q62" s="161"/>
      <c r="R62" s="162"/>
      <c r="S62" s="159"/>
      <c r="T62" s="160"/>
      <c r="U62" s="161"/>
      <c r="V62" s="162"/>
      <c r="W62" s="159"/>
      <c r="X62" s="160"/>
      <c r="Y62" s="161"/>
      <c r="Z62" s="162"/>
      <c r="AA62" s="219">
        <f t="shared" si="3"/>
        <v>1.1000000000000001</v>
      </c>
    </row>
    <row r="63" spans="1:34" x14ac:dyDescent="0.2">
      <c r="A63" s="158">
        <v>14</v>
      </c>
      <c r="B63" s="159" t="s">
        <v>812</v>
      </c>
      <c r="C63" s="280" t="s">
        <v>1903</v>
      </c>
      <c r="D63" s="46">
        <v>7</v>
      </c>
      <c r="E63" s="287" t="s">
        <v>1912</v>
      </c>
      <c r="F63" s="319">
        <v>0.4</v>
      </c>
      <c r="G63" s="280" t="s">
        <v>1903</v>
      </c>
      <c r="H63" s="46">
        <v>7</v>
      </c>
      <c r="I63" s="228" t="s">
        <v>11</v>
      </c>
      <c r="J63" s="282">
        <v>0.2</v>
      </c>
      <c r="K63" s="159"/>
      <c r="L63" s="160"/>
      <c r="M63" s="160"/>
      <c r="N63" s="166"/>
      <c r="O63" s="159"/>
      <c r="P63" s="160"/>
      <c r="Q63" s="161"/>
      <c r="R63" s="162"/>
      <c r="S63" s="159"/>
      <c r="T63" s="160"/>
      <c r="U63" s="161"/>
      <c r="V63" s="162"/>
      <c r="W63" s="159"/>
      <c r="X63" s="160"/>
      <c r="Y63" s="161"/>
      <c r="Z63" s="162"/>
      <c r="AA63" s="219">
        <f t="shared" si="3"/>
        <v>0.60000000000000009</v>
      </c>
    </row>
    <row r="64" spans="1:34" x14ac:dyDescent="0.2">
      <c r="A64" s="158">
        <v>15</v>
      </c>
      <c r="B64" s="159" t="s">
        <v>813</v>
      </c>
      <c r="C64" s="159"/>
      <c r="D64" s="160"/>
      <c r="E64" s="160"/>
      <c r="F64" s="175"/>
      <c r="G64" s="159"/>
      <c r="H64" s="160"/>
      <c r="I64" s="214"/>
      <c r="J64" s="220"/>
      <c r="K64" s="159"/>
      <c r="L64" s="160"/>
      <c r="M64" s="160"/>
      <c r="N64" s="166"/>
      <c r="O64" s="159"/>
      <c r="P64" s="160"/>
      <c r="Q64" s="161"/>
      <c r="R64" s="162"/>
      <c r="S64" s="159"/>
      <c r="T64" s="160"/>
      <c r="U64" s="161"/>
      <c r="V64" s="162"/>
      <c r="W64" s="159"/>
      <c r="X64" s="160"/>
      <c r="Y64" s="161"/>
      <c r="Z64" s="162"/>
      <c r="AA64" s="219">
        <f t="shared" si="3"/>
        <v>0</v>
      </c>
    </row>
    <row r="65" spans="1:34" x14ac:dyDescent="0.2">
      <c r="A65" s="158">
        <v>16</v>
      </c>
      <c r="B65" s="159" t="s">
        <v>814</v>
      </c>
      <c r="C65" s="159"/>
      <c r="D65" s="160"/>
      <c r="E65" s="160"/>
      <c r="F65" s="175"/>
      <c r="G65" s="159"/>
      <c r="H65" s="160"/>
      <c r="I65" s="214"/>
      <c r="J65" s="220"/>
      <c r="K65" s="159"/>
      <c r="L65" s="160"/>
      <c r="M65" s="160"/>
      <c r="N65" s="166"/>
      <c r="O65" s="159"/>
      <c r="P65" s="160"/>
      <c r="Q65" s="163"/>
      <c r="R65" s="164"/>
      <c r="S65" s="159"/>
      <c r="T65" s="160"/>
      <c r="U65" s="163"/>
      <c r="V65" s="164"/>
      <c r="W65" s="159"/>
      <c r="X65" s="160"/>
      <c r="Y65" s="163"/>
      <c r="Z65" s="164"/>
      <c r="AA65" s="219">
        <f t="shared" si="3"/>
        <v>0</v>
      </c>
    </row>
    <row r="66" spans="1:34" x14ac:dyDescent="0.2">
      <c r="A66" s="158">
        <v>17</v>
      </c>
      <c r="B66" s="159" t="s">
        <v>815</v>
      </c>
      <c r="C66" s="159"/>
      <c r="D66" s="160"/>
      <c r="E66" s="160"/>
      <c r="F66" s="175"/>
      <c r="G66" s="159"/>
      <c r="H66" s="160"/>
      <c r="I66" s="214"/>
      <c r="J66" s="220"/>
      <c r="K66" s="159"/>
      <c r="L66" s="160"/>
      <c r="M66" s="160"/>
      <c r="N66" s="166"/>
      <c r="O66" s="159"/>
      <c r="P66" s="160"/>
      <c r="Q66" s="163"/>
      <c r="R66" s="164"/>
      <c r="S66" s="159"/>
      <c r="T66" s="160"/>
      <c r="U66" s="163"/>
      <c r="V66" s="164"/>
      <c r="W66" s="159"/>
      <c r="X66" s="160"/>
      <c r="Y66" s="163"/>
      <c r="Z66" s="164"/>
      <c r="AA66" s="219">
        <f t="shared" si="3"/>
        <v>0</v>
      </c>
    </row>
    <row r="67" spans="1:34" x14ac:dyDescent="0.2">
      <c r="A67" s="158">
        <v>18</v>
      </c>
      <c r="B67" s="159" t="s">
        <v>816</v>
      </c>
      <c r="C67" s="159"/>
      <c r="D67" s="160"/>
      <c r="E67" s="160"/>
      <c r="F67" s="166"/>
      <c r="G67" s="159"/>
      <c r="H67" s="160"/>
      <c r="I67" s="214"/>
      <c r="J67" s="220"/>
      <c r="K67" s="159"/>
      <c r="L67" s="160"/>
      <c r="M67" s="160"/>
      <c r="N67" s="166"/>
      <c r="O67" s="159"/>
      <c r="P67" s="160"/>
      <c r="Q67" s="163"/>
      <c r="R67" s="164"/>
      <c r="S67" s="159"/>
      <c r="T67" s="160"/>
      <c r="U67" s="163"/>
      <c r="V67" s="164"/>
      <c r="W67" s="159"/>
      <c r="X67" s="160"/>
      <c r="Y67" s="163"/>
      <c r="Z67" s="164"/>
      <c r="AA67" s="219">
        <f t="shared" si="3"/>
        <v>0</v>
      </c>
    </row>
    <row r="68" spans="1:34" x14ac:dyDescent="0.2">
      <c r="A68" s="158">
        <v>19</v>
      </c>
      <c r="B68" s="159" t="s">
        <v>817</v>
      </c>
      <c r="C68" s="159"/>
      <c r="D68" s="160"/>
      <c r="E68" s="160"/>
      <c r="F68" s="166"/>
      <c r="G68" s="159"/>
      <c r="H68" s="160"/>
      <c r="I68" s="214"/>
      <c r="J68" s="220"/>
      <c r="K68" s="159"/>
      <c r="L68" s="160"/>
      <c r="M68" s="160"/>
      <c r="N68" s="166"/>
      <c r="O68" s="159"/>
      <c r="P68" s="160"/>
      <c r="Q68" s="163"/>
      <c r="R68" s="164"/>
      <c r="S68" s="159"/>
      <c r="T68" s="160"/>
      <c r="U68" s="163"/>
      <c r="V68" s="164"/>
      <c r="W68" s="159"/>
      <c r="X68" s="160"/>
      <c r="Y68" s="163"/>
      <c r="Z68" s="164"/>
      <c r="AA68" s="219">
        <f t="shared" si="3"/>
        <v>0</v>
      </c>
    </row>
    <row r="69" spans="1:34" x14ac:dyDescent="0.2">
      <c r="A69" s="158">
        <v>20</v>
      </c>
      <c r="B69" s="159" t="s">
        <v>818</v>
      </c>
      <c r="C69" s="159"/>
      <c r="D69" s="160"/>
      <c r="E69" s="160"/>
      <c r="F69" s="166"/>
      <c r="G69" s="159"/>
      <c r="H69" s="160"/>
      <c r="I69" s="214"/>
      <c r="J69" s="220"/>
      <c r="K69" s="159"/>
      <c r="L69" s="160"/>
      <c r="M69" s="160"/>
      <c r="N69" s="166"/>
      <c r="O69" s="159"/>
      <c r="P69" s="160"/>
      <c r="Q69" s="170"/>
      <c r="R69" s="171"/>
      <c r="S69" s="159"/>
      <c r="T69" s="160"/>
      <c r="U69" s="163"/>
      <c r="V69" s="164"/>
      <c r="W69" s="159"/>
      <c r="X69" s="160"/>
      <c r="Y69" s="170"/>
      <c r="Z69" s="171"/>
      <c r="AA69" s="219">
        <f t="shared" si="3"/>
        <v>0</v>
      </c>
    </row>
    <row r="70" spans="1:34" ht="13.5" hidden="1" customHeight="1" thickBot="1" x14ac:dyDescent="0.25">
      <c r="B70" s="145" t="s">
        <v>986</v>
      </c>
      <c r="C70" s="147"/>
      <c r="D70" s="147"/>
      <c r="E70" s="147"/>
      <c r="F70" s="147"/>
      <c r="G70" s="147"/>
      <c r="H70" s="147"/>
      <c r="I70" s="199"/>
      <c r="J70" s="199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34" s="211" customFormat="1" ht="34.5" hidden="1" thickBot="1" x14ac:dyDescent="0.25">
      <c r="A71" s="148" t="s">
        <v>292</v>
      </c>
      <c r="B71" s="149" t="s">
        <v>293</v>
      </c>
      <c r="C71" s="150" t="s">
        <v>1195</v>
      </c>
      <c r="D71" s="151" t="s">
        <v>1203</v>
      </c>
      <c r="E71" s="152" t="s">
        <v>4</v>
      </c>
      <c r="F71" s="153" t="s">
        <v>1202</v>
      </c>
      <c r="G71" s="150" t="s">
        <v>1196</v>
      </c>
      <c r="H71" s="151" t="s">
        <v>1204</v>
      </c>
      <c r="I71" s="207" t="s">
        <v>5</v>
      </c>
      <c r="J71" s="205" t="s">
        <v>1209</v>
      </c>
      <c r="K71" s="150" t="s">
        <v>1197</v>
      </c>
      <c r="L71" s="151" t="s">
        <v>1205</v>
      </c>
      <c r="M71" s="152" t="s">
        <v>6</v>
      </c>
      <c r="N71" s="153" t="s">
        <v>1217</v>
      </c>
      <c r="O71" s="150" t="s">
        <v>1198</v>
      </c>
      <c r="P71" s="151" t="s">
        <v>1206</v>
      </c>
      <c r="Q71" s="152" t="s">
        <v>7</v>
      </c>
      <c r="R71" s="153" t="s">
        <v>963</v>
      </c>
      <c r="S71" s="150" t="s">
        <v>1199</v>
      </c>
      <c r="T71" s="151" t="s">
        <v>1207</v>
      </c>
      <c r="U71" s="154" t="s">
        <v>8</v>
      </c>
      <c r="V71" s="155" t="s">
        <v>921</v>
      </c>
      <c r="W71" s="150" t="s">
        <v>1200</v>
      </c>
      <c r="X71" s="151" t="s">
        <v>1208</v>
      </c>
      <c r="Y71" s="152" t="s">
        <v>13</v>
      </c>
      <c r="Z71" s="153" t="s">
        <v>1210</v>
      </c>
      <c r="AA71" s="210" t="s">
        <v>1201</v>
      </c>
      <c r="AB71" s="193"/>
      <c r="AC71" s="193"/>
      <c r="AD71" s="193"/>
      <c r="AE71" s="193"/>
      <c r="AF71" s="193"/>
      <c r="AG71" s="193"/>
      <c r="AH71" s="193"/>
    </row>
    <row r="72" spans="1:34" hidden="1" x14ac:dyDescent="0.2">
      <c r="A72" s="158">
        <v>1</v>
      </c>
      <c r="B72" s="159" t="s">
        <v>1009</v>
      </c>
      <c r="C72" s="159" t="s">
        <v>915</v>
      </c>
      <c r="D72" s="160">
        <v>4</v>
      </c>
      <c r="E72" s="161" t="s">
        <v>181</v>
      </c>
      <c r="F72" s="162">
        <v>1</v>
      </c>
      <c r="G72" s="159" t="s">
        <v>915</v>
      </c>
      <c r="H72" s="160">
        <v>4</v>
      </c>
      <c r="I72" s="215"/>
      <c r="J72" s="216"/>
      <c r="K72" s="159" t="s">
        <v>915</v>
      </c>
      <c r="L72" s="160">
        <v>4</v>
      </c>
      <c r="M72" s="161"/>
      <c r="N72" s="162"/>
      <c r="O72" s="159" t="s">
        <v>915</v>
      </c>
      <c r="P72" s="160">
        <v>4</v>
      </c>
      <c r="Q72" s="163"/>
      <c r="R72" s="164"/>
      <c r="S72" s="159" t="s">
        <v>915</v>
      </c>
      <c r="T72" s="160">
        <v>4</v>
      </c>
      <c r="U72" s="163"/>
      <c r="V72" s="164"/>
      <c r="W72" s="159" t="s">
        <v>915</v>
      </c>
      <c r="X72" s="160">
        <v>4</v>
      </c>
      <c r="Y72" s="163"/>
      <c r="Z72" s="164"/>
      <c r="AA72" s="219">
        <f t="shared" ref="AA72:AA91" si="4">F72+J72+N72+R72+V72+Z72</f>
        <v>1</v>
      </c>
    </row>
    <row r="73" spans="1:34" hidden="1" x14ac:dyDescent="0.2">
      <c r="A73" s="158">
        <v>2</v>
      </c>
      <c r="B73" s="159" t="s">
        <v>1010</v>
      </c>
      <c r="C73" s="159" t="s">
        <v>295</v>
      </c>
      <c r="D73" s="160">
        <v>50</v>
      </c>
      <c r="E73" s="160" t="s">
        <v>909</v>
      </c>
      <c r="F73" s="162">
        <v>0.33</v>
      </c>
      <c r="G73" s="159" t="s">
        <v>295</v>
      </c>
      <c r="H73" s="160">
        <v>50</v>
      </c>
      <c r="I73" s="215" t="s">
        <v>1876</v>
      </c>
      <c r="J73" s="220">
        <v>0.2</v>
      </c>
      <c r="K73" s="159" t="s">
        <v>295</v>
      </c>
      <c r="L73" s="160">
        <v>50</v>
      </c>
      <c r="M73" s="161" t="s">
        <v>840</v>
      </c>
      <c r="N73" s="162">
        <v>6</v>
      </c>
      <c r="O73" s="159" t="s">
        <v>295</v>
      </c>
      <c r="P73" s="160">
        <v>50</v>
      </c>
      <c r="Q73" s="163" t="s">
        <v>918</v>
      </c>
      <c r="R73" s="164">
        <v>8</v>
      </c>
      <c r="S73" s="159" t="s">
        <v>295</v>
      </c>
      <c r="T73" s="160">
        <v>50</v>
      </c>
      <c r="U73" s="163" t="s">
        <v>839</v>
      </c>
      <c r="V73" s="164">
        <v>1</v>
      </c>
      <c r="W73" s="159" t="s">
        <v>295</v>
      </c>
      <c r="X73" s="160">
        <v>50</v>
      </c>
      <c r="Y73" s="163"/>
      <c r="Z73" s="164"/>
      <c r="AA73" s="219">
        <f t="shared" si="4"/>
        <v>15.530000000000001</v>
      </c>
    </row>
    <row r="74" spans="1:34" hidden="1" x14ac:dyDescent="0.2">
      <c r="A74" s="173">
        <v>3</v>
      </c>
      <c r="B74" s="141" t="s">
        <v>1011</v>
      </c>
      <c r="C74" s="141" t="s">
        <v>295</v>
      </c>
      <c r="D74" s="43">
        <v>50</v>
      </c>
      <c r="E74" s="139" t="s">
        <v>300</v>
      </c>
      <c r="F74" s="140">
        <v>1.1000000000000001</v>
      </c>
      <c r="G74" s="141" t="s">
        <v>295</v>
      </c>
      <c r="H74" s="43">
        <v>50</v>
      </c>
      <c r="I74" s="215"/>
      <c r="J74" s="220"/>
      <c r="K74" s="141" t="s">
        <v>295</v>
      </c>
      <c r="L74" s="43">
        <v>50</v>
      </c>
      <c r="M74" s="139" t="s">
        <v>840</v>
      </c>
      <c r="N74" s="140">
        <v>6</v>
      </c>
      <c r="O74" s="141" t="s">
        <v>295</v>
      </c>
      <c r="P74" s="43">
        <v>50</v>
      </c>
      <c r="Q74" s="139" t="s">
        <v>918</v>
      </c>
      <c r="R74" s="140">
        <v>8</v>
      </c>
      <c r="S74" s="141" t="s">
        <v>295</v>
      </c>
      <c r="T74" s="43">
        <v>50</v>
      </c>
      <c r="U74" s="139"/>
      <c r="V74" s="140"/>
      <c r="W74" s="141" t="s">
        <v>295</v>
      </c>
      <c r="X74" s="43">
        <v>50</v>
      </c>
      <c r="Y74" s="139"/>
      <c r="Z74" s="140"/>
      <c r="AA74" s="219">
        <f t="shared" si="4"/>
        <v>15.1</v>
      </c>
    </row>
    <row r="75" spans="1:34" hidden="1" x14ac:dyDescent="0.2">
      <c r="A75" s="158">
        <v>4</v>
      </c>
      <c r="B75" s="159" t="s">
        <v>1012</v>
      </c>
      <c r="C75" s="159" t="s">
        <v>295</v>
      </c>
      <c r="D75" s="160">
        <v>50</v>
      </c>
      <c r="E75" s="160" t="s">
        <v>224</v>
      </c>
      <c r="F75" s="162">
        <v>0.33</v>
      </c>
      <c r="G75" s="159" t="s">
        <v>295</v>
      </c>
      <c r="H75" s="160">
        <v>50</v>
      </c>
      <c r="I75" s="214"/>
      <c r="J75" s="220"/>
      <c r="K75" s="159" t="s">
        <v>295</v>
      </c>
      <c r="L75" s="160">
        <v>50</v>
      </c>
      <c r="M75" s="161"/>
      <c r="N75" s="162"/>
      <c r="O75" s="159" t="s">
        <v>295</v>
      </c>
      <c r="P75" s="160">
        <v>50</v>
      </c>
      <c r="Q75" s="163"/>
      <c r="R75" s="164"/>
      <c r="S75" s="159" t="s">
        <v>295</v>
      </c>
      <c r="T75" s="160">
        <v>50</v>
      </c>
      <c r="U75" s="163"/>
      <c r="V75" s="164"/>
      <c r="W75" s="159" t="s">
        <v>295</v>
      </c>
      <c r="X75" s="160">
        <v>50</v>
      </c>
      <c r="Y75" s="163"/>
      <c r="Z75" s="164"/>
      <c r="AA75" s="219">
        <f t="shared" si="4"/>
        <v>0.33</v>
      </c>
      <c r="AB75" s="193" t="s">
        <v>978</v>
      </c>
    </row>
    <row r="76" spans="1:34" hidden="1" x14ac:dyDescent="0.2">
      <c r="A76" s="158">
        <v>5</v>
      </c>
      <c r="B76" s="159" t="s">
        <v>1013</v>
      </c>
      <c r="C76" s="159" t="s">
        <v>295</v>
      </c>
      <c r="D76" s="160">
        <v>50</v>
      </c>
      <c r="E76" s="161" t="s">
        <v>300</v>
      </c>
      <c r="F76" s="162">
        <v>1.1000000000000001</v>
      </c>
      <c r="G76" s="159" t="s">
        <v>295</v>
      </c>
      <c r="H76" s="160">
        <v>50</v>
      </c>
      <c r="I76" s="215"/>
      <c r="J76" s="216"/>
      <c r="K76" s="159" t="s">
        <v>295</v>
      </c>
      <c r="L76" s="160">
        <v>50</v>
      </c>
      <c r="M76" s="161" t="s">
        <v>840</v>
      </c>
      <c r="N76" s="162">
        <v>6</v>
      </c>
      <c r="O76" s="159" t="s">
        <v>295</v>
      </c>
      <c r="P76" s="160">
        <v>50</v>
      </c>
      <c r="Q76" s="163" t="s">
        <v>918</v>
      </c>
      <c r="R76" s="164">
        <v>8</v>
      </c>
      <c r="S76" s="159" t="s">
        <v>295</v>
      </c>
      <c r="T76" s="160">
        <v>50</v>
      </c>
      <c r="U76" s="163"/>
      <c r="V76" s="164"/>
      <c r="W76" s="159" t="s">
        <v>295</v>
      </c>
      <c r="X76" s="160">
        <v>50</v>
      </c>
      <c r="Y76" s="163"/>
      <c r="Z76" s="164"/>
      <c r="AA76" s="219">
        <f t="shared" si="4"/>
        <v>15.1</v>
      </c>
    </row>
    <row r="77" spans="1:34" hidden="1" x14ac:dyDescent="0.2">
      <c r="A77" s="158">
        <v>6</v>
      </c>
      <c r="B77" s="159" t="s">
        <v>1014</v>
      </c>
      <c r="C77" s="159" t="s">
        <v>295</v>
      </c>
      <c r="D77" s="160">
        <v>50</v>
      </c>
      <c r="E77" s="161" t="s">
        <v>913</v>
      </c>
      <c r="F77" s="162">
        <v>0.48</v>
      </c>
      <c r="G77" s="159" t="s">
        <v>295</v>
      </c>
      <c r="H77" s="160">
        <v>50</v>
      </c>
      <c r="I77" s="214"/>
      <c r="J77" s="220"/>
      <c r="K77" s="159" t="s">
        <v>295</v>
      </c>
      <c r="L77" s="160">
        <v>50</v>
      </c>
      <c r="M77" s="161"/>
      <c r="N77" s="162"/>
      <c r="O77" s="159" t="s">
        <v>295</v>
      </c>
      <c r="P77" s="160">
        <v>50</v>
      </c>
      <c r="Q77" s="163"/>
      <c r="R77" s="164"/>
      <c r="S77" s="159" t="s">
        <v>295</v>
      </c>
      <c r="T77" s="160">
        <v>50</v>
      </c>
      <c r="U77" s="163"/>
      <c r="V77" s="164"/>
      <c r="W77" s="159" t="s">
        <v>295</v>
      </c>
      <c r="X77" s="160">
        <v>50</v>
      </c>
      <c r="Y77" s="163"/>
      <c r="Z77" s="164"/>
      <c r="AA77" s="219">
        <f t="shared" si="4"/>
        <v>0.48</v>
      </c>
      <c r="AB77" s="193" t="s">
        <v>979</v>
      </c>
    </row>
    <row r="78" spans="1:34" hidden="1" x14ac:dyDescent="0.2">
      <c r="A78" s="158">
        <v>7</v>
      </c>
      <c r="B78" s="159" t="s">
        <v>1015</v>
      </c>
      <c r="C78" s="159" t="s">
        <v>915</v>
      </c>
      <c r="D78" s="41">
        <v>10</v>
      </c>
      <c r="E78" s="174" t="s">
        <v>916</v>
      </c>
      <c r="F78" s="162">
        <v>2</v>
      </c>
      <c r="G78" s="159" t="s">
        <v>915</v>
      </c>
      <c r="H78" s="46">
        <v>50</v>
      </c>
      <c r="I78" s="222" t="s">
        <v>725</v>
      </c>
      <c r="J78" s="223">
        <f>25/50</f>
        <v>0.5</v>
      </c>
      <c r="K78" s="159" t="s">
        <v>915</v>
      </c>
      <c r="L78" s="46">
        <v>50</v>
      </c>
      <c r="M78" s="161"/>
      <c r="N78" s="162"/>
      <c r="O78" s="159" t="s">
        <v>915</v>
      </c>
      <c r="P78" s="46">
        <v>50</v>
      </c>
      <c r="Q78" s="163"/>
      <c r="R78" s="164"/>
      <c r="S78" s="159" t="s">
        <v>915</v>
      </c>
      <c r="T78" s="46">
        <v>50</v>
      </c>
      <c r="U78" s="163"/>
      <c r="V78" s="164"/>
      <c r="W78" s="159" t="s">
        <v>915</v>
      </c>
      <c r="X78" s="46">
        <v>50</v>
      </c>
      <c r="Y78" s="163"/>
      <c r="Z78" s="164"/>
      <c r="AA78" s="219">
        <f t="shared" si="4"/>
        <v>2.5</v>
      </c>
    </row>
    <row r="79" spans="1:34" hidden="1" x14ac:dyDescent="0.2">
      <c r="A79" s="158">
        <v>8</v>
      </c>
      <c r="B79" s="159" t="s">
        <v>1016</v>
      </c>
      <c r="C79" s="159" t="s">
        <v>295</v>
      </c>
      <c r="D79" s="160">
        <v>50</v>
      </c>
      <c r="E79" s="161" t="s">
        <v>909</v>
      </c>
      <c r="F79" s="162">
        <v>0.33</v>
      </c>
      <c r="G79" s="159" t="s">
        <v>295</v>
      </c>
      <c r="H79" s="160">
        <v>50</v>
      </c>
      <c r="I79" s="214"/>
      <c r="J79" s="220"/>
      <c r="K79" s="159" t="s">
        <v>295</v>
      </c>
      <c r="L79" s="160">
        <v>50</v>
      </c>
      <c r="M79" s="161" t="s">
        <v>840</v>
      </c>
      <c r="N79" s="162">
        <v>6</v>
      </c>
      <c r="O79" s="159" t="s">
        <v>295</v>
      </c>
      <c r="P79" s="160">
        <v>50</v>
      </c>
      <c r="Q79" s="163" t="s">
        <v>918</v>
      </c>
      <c r="R79" s="164">
        <v>8</v>
      </c>
      <c r="S79" s="159" t="s">
        <v>295</v>
      </c>
      <c r="T79" s="160">
        <v>50</v>
      </c>
      <c r="U79" s="163"/>
      <c r="V79" s="164"/>
      <c r="W79" s="159" t="s">
        <v>295</v>
      </c>
      <c r="X79" s="160">
        <v>50</v>
      </c>
      <c r="Y79" s="163"/>
      <c r="Z79" s="164"/>
      <c r="AA79" s="219">
        <f t="shared" si="4"/>
        <v>14.33</v>
      </c>
    </row>
    <row r="80" spans="1:34" hidden="1" x14ac:dyDescent="0.2">
      <c r="A80" s="158">
        <v>9</v>
      </c>
      <c r="B80" s="159" t="s">
        <v>1017</v>
      </c>
      <c r="C80" s="176" t="s">
        <v>295</v>
      </c>
      <c r="D80" s="41">
        <v>50</v>
      </c>
      <c r="E80" s="41" t="s">
        <v>964</v>
      </c>
      <c r="F80" s="168">
        <v>0.25</v>
      </c>
      <c r="G80" s="176" t="s">
        <v>295</v>
      </c>
      <c r="H80" s="41">
        <v>50</v>
      </c>
      <c r="I80" s="227"/>
      <c r="J80" s="231"/>
      <c r="K80" s="176" t="s">
        <v>295</v>
      </c>
      <c r="L80" s="41">
        <v>50</v>
      </c>
      <c r="M80" s="174"/>
      <c r="N80" s="177"/>
      <c r="O80" s="176" t="s">
        <v>295</v>
      </c>
      <c r="P80" s="41">
        <v>50</v>
      </c>
      <c r="Q80" s="174"/>
      <c r="R80" s="177"/>
      <c r="S80" s="176" t="s">
        <v>295</v>
      </c>
      <c r="T80" s="41">
        <v>50</v>
      </c>
      <c r="U80" s="174"/>
      <c r="V80" s="177"/>
      <c r="W80" s="176" t="s">
        <v>295</v>
      </c>
      <c r="X80" s="41">
        <v>50</v>
      </c>
      <c r="Y80" s="174"/>
      <c r="Z80" s="177"/>
      <c r="AA80" s="219">
        <f t="shared" si="4"/>
        <v>0.25</v>
      </c>
      <c r="AB80" s="232" t="s">
        <v>976</v>
      </c>
      <c r="AC80" s="232"/>
    </row>
    <row r="81" spans="1:34" hidden="1" x14ac:dyDescent="0.2">
      <c r="A81" s="158">
        <v>10</v>
      </c>
      <c r="B81" s="159" t="s">
        <v>1018</v>
      </c>
      <c r="C81" s="159" t="s">
        <v>295</v>
      </c>
      <c r="D81" s="160">
        <v>50</v>
      </c>
      <c r="E81" s="160" t="s">
        <v>300</v>
      </c>
      <c r="F81" s="166">
        <v>1.1000000000000001</v>
      </c>
      <c r="G81" s="159" t="s">
        <v>295</v>
      </c>
      <c r="H81" s="160">
        <v>50</v>
      </c>
      <c r="I81" s="215"/>
      <c r="J81" s="216"/>
      <c r="K81" s="159" t="s">
        <v>295</v>
      </c>
      <c r="L81" s="160">
        <v>50</v>
      </c>
      <c r="M81" s="161"/>
      <c r="N81" s="162"/>
      <c r="O81" s="159" t="s">
        <v>295</v>
      </c>
      <c r="P81" s="160">
        <v>50</v>
      </c>
      <c r="Q81" s="163"/>
      <c r="R81" s="164"/>
      <c r="S81" s="159" t="s">
        <v>295</v>
      </c>
      <c r="T81" s="160">
        <v>50</v>
      </c>
      <c r="U81" s="163"/>
      <c r="V81" s="164"/>
      <c r="W81" s="159" t="s">
        <v>295</v>
      </c>
      <c r="X81" s="160">
        <v>50</v>
      </c>
      <c r="Y81" s="163"/>
      <c r="Z81" s="164"/>
      <c r="AA81" s="219">
        <f t="shared" si="4"/>
        <v>1.1000000000000001</v>
      </c>
    </row>
    <row r="82" spans="1:34" hidden="1" x14ac:dyDescent="0.2">
      <c r="A82" s="158">
        <v>11</v>
      </c>
      <c r="B82" s="159" t="s">
        <v>1019</v>
      </c>
      <c r="C82" s="159"/>
      <c r="D82" s="160"/>
      <c r="E82" s="160"/>
      <c r="F82" s="166"/>
      <c r="G82" s="159"/>
      <c r="H82" s="160"/>
      <c r="I82" s="215"/>
      <c r="J82" s="216"/>
      <c r="K82" s="159"/>
      <c r="L82" s="160"/>
      <c r="M82" s="161"/>
      <c r="N82" s="162"/>
      <c r="O82" s="159"/>
      <c r="P82" s="160"/>
      <c r="Q82" s="163"/>
      <c r="R82" s="164"/>
      <c r="S82" s="159"/>
      <c r="T82" s="160"/>
      <c r="U82" s="163"/>
      <c r="V82" s="164"/>
      <c r="W82" s="159"/>
      <c r="X82" s="160"/>
      <c r="Y82" s="163"/>
      <c r="Z82" s="164"/>
      <c r="AA82" s="219">
        <f t="shared" si="4"/>
        <v>0</v>
      </c>
    </row>
    <row r="83" spans="1:34" hidden="1" x14ac:dyDescent="0.2">
      <c r="A83" s="158">
        <v>12</v>
      </c>
      <c r="B83" s="159" t="s">
        <v>1020</v>
      </c>
      <c r="C83" s="159" t="s">
        <v>915</v>
      </c>
      <c r="D83" s="160">
        <v>10</v>
      </c>
      <c r="E83" s="160" t="s">
        <v>916</v>
      </c>
      <c r="F83" s="166">
        <v>2</v>
      </c>
      <c r="G83" s="159" t="s">
        <v>915</v>
      </c>
      <c r="H83" s="160">
        <v>10</v>
      </c>
      <c r="I83" s="215"/>
      <c r="J83" s="216"/>
      <c r="K83" s="159" t="s">
        <v>915</v>
      </c>
      <c r="L83" s="160">
        <v>10</v>
      </c>
      <c r="M83" s="161"/>
      <c r="N83" s="162"/>
      <c r="O83" s="159" t="s">
        <v>915</v>
      </c>
      <c r="P83" s="160">
        <v>10</v>
      </c>
      <c r="Q83" s="163"/>
      <c r="R83" s="164"/>
      <c r="S83" s="159" t="s">
        <v>915</v>
      </c>
      <c r="T83" s="160">
        <v>10</v>
      </c>
      <c r="U83" s="163"/>
      <c r="V83" s="164"/>
      <c r="W83" s="159" t="s">
        <v>915</v>
      </c>
      <c r="X83" s="160">
        <v>10</v>
      </c>
      <c r="Y83" s="163"/>
      <c r="Z83" s="164"/>
      <c r="AA83" s="219">
        <f t="shared" si="4"/>
        <v>2</v>
      </c>
    </row>
    <row r="84" spans="1:34" hidden="1" x14ac:dyDescent="0.2">
      <c r="A84" s="158">
        <v>13</v>
      </c>
      <c r="B84" s="159" t="s">
        <v>1021</v>
      </c>
      <c r="C84" s="159"/>
      <c r="D84" s="160"/>
      <c r="E84" s="160"/>
      <c r="F84" s="166"/>
      <c r="G84" s="159"/>
      <c r="H84" s="160"/>
      <c r="I84" s="215"/>
      <c r="J84" s="216"/>
      <c r="K84" s="159"/>
      <c r="L84" s="160"/>
      <c r="M84" s="161"/>
      <c r="N84" s="162"/>
      <c r="O84" s="159"/>
      <c r="P84" s="160"/>
      <c r="Q84" s="163"/>
      <c r="R84" s="164"/>
      <c r="S84" s="159"/>
      <c r="T84" s="160"/>
      <c r="U84" s="163"/>
      <c r="V84" s="164"/>
      <c r="W84" s="159"/>
      <c r="X84" s="160"/>
      <c r="Y84" s="163"/>
      <c r="Z84" s="164"/>
      <c r="AA84" s="219">
        <f t="shared" si="4"/>
        <v>0</v>
      </c>
    </row>
    <row r="85" spans="1:34" hidden="1" x14ac:dyDescent="0.2">
      <c r="A85" s="158">
        <v>14</v>
      </c>
      <c r="B85" s="159" t="s">
        <v>1022</v>
      </c>
      <c r="C85" s="159" t="s">
        <v>295</v>
      </c>
      <c r="D85" s="160">
        <v>50</v>
      </c>
      <c r="E85" s="160" t="s">
        <v>300</v>
      </c>
      <c r="F85" s="166">
        <v>1.1000000000000001</v>
      </c>
      <c r="G85" s="159" t="s">
        <v>295</v>
      </c>
      <c r="H85" s="160">
        <v>50</v>
      </c>
      <c r="I85" s="215"/>
      <c r="J85" s="216"/>
      <c r="K85" s="159" t="s">
        <v>295</v>
      </c>
      <c r="L85" s="160">
        <v>50</v>
      </c>
      <c r="M85" s="161"/>
      <c r="N85" s="162"/>
      <c r="O85" s="159" t="s">
        <v>295</v>
      </c>
      <c r="P85" s="160">
        <v>50</v>
      </c>
      <c r="Q85" s="163"/>
      <c r="R85" s="164"/>
      <c r="S85" s="159" t="s">
        <v>295</v>
      </c>
      <c r="T85" s="160">
        <v>50</v>
      </c>
      <c r="U85" s="163"/>
      <c r="V85" s="164"/>
      <c r="W85" s="159" t="s">
        <v>295</v>
      </c>
      <c r="X85" s="160">
        <v>50</v>
      </c>
      <c r="Y85" s="163"/>
      <c r="Z85" s="164"/>
      <c r="AA85" s="219">
        <f t="shared" si="4"/>
        <v>1.1000000000000001</v>
      </c>
    </row>
    <row r="86" spans="1:34" hidden="1" x14ac:dyDescent="0.2">
      <c r="A86" s="158">
        <v>15</v>
      </c>
      <c r="B86" s="159" t="s">
        <v>1023</v>
      </c>
      <c r="C86" s="159" t="s">
        <v>915</v>
      </c>
      <c r="D86" s="160">
        <v>7</v>
      </c>
      <c r="E86" s="160" t="s">
        <v>910</v>
      </c>
      <c r="F86" s="166">
        <v>2</v>
      </c>
      <c r="G86" s="159" t="s">
        <v>915</v>
      </c>
      <c r="H86" s="160">
        <v>7</v>
      </c>
      <c r="I86" s="214" t="s">
        <v>11</v>
      </c>
      <c r="J86" s="216">
        <v>0.2</v>
      </c>
      <c r="K86" s="159" t="s">
        <v>915</v>
      </c>
      <c r="L86" s="160">
        <v>7</v>
      </c>
      <c r="M86" s="161"/>
      <c r="N86" s="162"/>
      <c r="O86" s="159" t="s">
        <v>915</v>
      </c>
      <c r="P86" s="160">
        <v>7</v>
      </c>
      <c r="Q86" s="163"/>
      <c r="R86" s="164"/>
      <c r="S86" s="159" t="s">
        <v>915</v>
      </c>
      <c r="T86" s="160">
        <v>7</v>
      </c>
      <c r="U86" s="163"/>
      <c r="V86" s="164"/>
      <c r="W86" s="159" t="s">
        <v>915</v>
      </c>
      <c r="X86" s="160">
        <v>7</v>
      </c>
      <c r="Y86" s="163"/>
      <c r="Z86" s="164"/>
      <c r="AA86" s="219">
        <f t="shared" si="4"/>
        <v>2.2000000000000002</v>
      </c>
    </row>
    <row r="87" spans="1:34" hidden="1" x14ac:dyDescent="0.2">
      <c r="A87" s="158">
        <v>16</v>
      </c>
      <c r="B87" s="159" t="s">
        <v>1024</v>
      </c>
      <c r="C87" s="159" t="s">
        <v>295</v>
      </c>
      <c r="D87" s="160">
        <v>50</v>
      </c>
      <c r="E87" s="160" t="s">
        <v>300</v>
      </c>
      <c r="F87" s="166">
        <v>1.1000000000000001</v>
      </c>
      <c r="G87" s="159" t="s">
        <v>295</v>
      </c>
      <c r="H87" s="160">
        <v>50</v>
      </c>
      <c r="I87" s="214"/>
      <c r="J87" s="220"/>
      <c r="K87" s="159" t="s">
        <v>295</v>
      </c>
      <c r="L87" s="160">
        <v>50</v>
      </c>
      <c r="M87" s="160"/>
      <c r="N87" s="166"/>
      <c r="O87" s="159" t="s">
        <v>295</v>
      </c>
      <c r="P87" s="160">
        <v>50</v>
      </c>
      <c r="Q87" s="163"/>
      <c r="R87" s="164"/>
      <c r="S87" s="159" t="s">
        <v>295</v>
      </c>
      <c r="T87" s="160">
        <v>50</v>
      </c>
      <c r="U87" s="163"/>
      <c r="V87" s="164"/>
      <c r="W87" s="159" t="s">
        <v>295</v>
      </c>
      <c r="X87" s="160">
        <v>50</v>
      </c>
      <c r="Y87" s="163"/>
      <c r="Z87" s="164"/>
      <c r="AA87" s="219">
        <f t="shared" si="4"/>
        <v>1.1000000000000001</v>
      </c>
    </row>
    <row r="88" spans="1:34" hidden="1" x14ac:dyDescent="0.2">
      <c r="A88" s="158">
        <v>17</v>
      </c>
      <c r="B88" s="159" t="s">
        <v>1025</v>
      </c>
      <c r="C88" s="159"/>
      <c r="D88" s="160"/>
      <c r="E88" s="160"/>
      <c r="F88" s="175"/>
      <c r="G88" s="159"/>
      <c r="H88" s="160"/>
      <c r="I88" s="214"/>
      <c r="J88" s="220"/>
      <c r="K88" s="159"/>
      <c r="L88" s="160"/>
      <c r="M88" s="160"/>
      <c r="N88" s="166"/>
      <c r="O88" s="159"/>
      <c r="P88" s="160"/>
      <c r="Q88" s="163"/>
      <c r="R88" s="164"/>
      <c r="S88" s="159"/>
      <c r="T88" s="160"/>
      <c r="U88" s="163"/>
      <c r="V88" s="164"/>
      <c r="W88" s="159"/>
      <c r="X88" s="160"/>
      <c r="Y88" s="163"/>
      <c r="Z88" s="164"/>
      <c r="AA88" s="219">
        <f t="shared" si="4"/>
        <v>0</v>
      </c>
    </row>
    <row r="89" spans="1:34" hidden="1" x14ac:dyDescent="0.2">
      <c r="A89" s="158">
        <v>18</v>
      </c>
      <c r="B89" s="159" t="s">
        <v>1026</v>
      </c>
      <c r="C89" s="159"/>
      <c r="D89" s="160"/>
      <c r="E89" s="160"/>
      <c r="F89" s="166"/>
      <c r="G89" s="159"/>
      <c r="H89" s="160"/>
      <c r="I89" s="214"/>
      <c r="J89" s="220"/>
      <c r="K89" s="159"/>
      <c r="L89" s="160"/>
      <c r="M89" s="160"/>
      <c r="N89" s="166"/>
      <c r="O89" s="159"/>
      <c r="P89" s="160"/>
      <c r="Q89" s="163"/>
      <c r="R89" s="164"/>
      <c r="S89" s="159"/>
      <c r="T89" s="160"/>
      <c r="U89" s="163"/>
      <c r="V89" s="164"/>
      <c r="W89" s="159"/>
      <c r="X89" s="160"/>
      <c r="Y89" s="163"/>
      <c r="Z89" s="164"/>
      <c r="AA89" s="219">
        <f t="shared" si="4"/>
        <v>0</v>
      </c>
    </row>
    <row r="90" spans="1:34" hidden="1" x14ac:dyDescent="0.2">
      <c r="A90" s="158">
        <v>19</v>
      </c>
      <c r="B90" s="159" t="s">
        <v>1027</v>
      </c>
      <c r="C90" s="159"/>
      <c r="D90" s="160"/>
      <c r="E90" s="160"/>
      <c r="F90" s="166"/>
      <c r="G90" s="159"/>
      <c r="H90" s="160"/>
      <c r="I90" s="214"/>
      <c r="J90" s="220"/>
      <c r="K90" s="159"/>
      <c r="L90" s="160"/>
      <c r="M90" s="160"/>
      <c r="N90" s="166"/>
      <c r="O90" s="159"/>
      <c r="P90" s="160"/>
      <c r="Q90" s="163"/>
      <c r="R90" s="164"/>
      <c r="S90" s="159"/>
      <c r="T90" s="160"/>
      <c r="U90" s="163"/>
      <c r="V90" s="164"/>
      <c r="W90" s="159"/>
      <c r="X90" s="160"/>
      <c r="Y90" s="163"/>
      <c r="Z90" s="164"/>
      <c r="AA90" s="219">
        <f t="shared" si="4"/>
        <v>0</v>
      </c>
    </row>
    <row r="91" spans="1:34" hidden="1" x14ac:dyDescent="0.2">
      <c r="A91" s="158">
        <v>20</v>
      </c>
      <c r="B91" s="159" t="s">
        <v>1028</v>
      </c>
      <c r="C91" s="159"/>
      <c r="D91" s="160"/>
      <c r="E91" s="160"/>
      <c r="F91" s="166"/>
      <c r="G91" s="159"/>
      <c r="H91" s="160"/>
      <c r="I91" s="214"/>
      <c r="J91" s="220"/>
      <c r="K91" s="159"/>
      <c r="L91" s="160"/>
      <c r="M91" s="160"/>
      <c r="N91" s="166"/>
      <c r="O91" s="159"/>
      <c r="P91" s="160"/>
      <c r="Q91" s="170"/>
      <c r="R91" s="171"/>
      <c r="S91" s="159"/>
      <c r="T91" s="160"/>
      <c r="U91" s="163"/>
      <c r="V91" s="164"/>
      <c r="W91" s="159"/>
      <c r="X91" s="160"/>
      <c r="Y91" s="170"/>
      <c r="Z91" s="171"/>
      <c r="AA91" s="219">
        <f t="shared" si="4"/>
        <v>0</v>
      </c>
    </row>
    <row r="92" spans="1:34" ht="13.5" hidden="1" thickBot="1" x14ac:dyDescent="0.25">
      <c r="B92" s="145" t="s">
        <v>982</v>
      </c>
      <c r="C92" s="147"/>
      <c r="D92" s="147"/>
      <c r="E92" s="147"/>
      <c r="F92" s="147"/>
      <c r="G92" s="147"/>
      <c r="H92" s="147"/>
      <c r="I92" s="199"/>
      <c r="J92" s="199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34" s="211" customFormat="1" ht="34.5" hidden="1" thickBot="1" x14ac:dyDescent="0.25">
      <c r="A93" s="148" t="s">
        <v>292</v>
      </c>
      <c r="B93" s="149" t="s">
        <v>293</v>
      </c>
      <c r="C93" s="150" t="s">
        <v>1195</v>
      </c>
      <c r="D93" s="151" t="s">
        <v>1203</v>
      </c>
      <c r="E93" s="152" t="s">
        <v>4</v>
      </c>
      <c r="F93" s="153" t="s">
        <v>1202</v>
      </c>
      <c r="G93" s="150" t="s">
        <v>1196</v>
      </c>
      <c r="H93" s="151" t="s">
        <v>1204</v>
      </c>
      <c r="I93" s="207" t="s">
        <v>5</v>
      </c>
      <c r="J93" s="205" t="s">
        <v>1209</v>
      </c>
      <c r="K93" s="150" t="s">
        <v>1197</v>
      </c>
      <c r="L93" s="151" t="s">
        <v>1205</v>
      </c>
      <c r="M93" s="152" t="s">
        <v>6</v>
      </c>
      <c r="N93" s="153" t="s">
        <v>1217</v>
      </c>
      <c r="O93" s="150" t="s">
        <v>1198</v>
      </c>
      <c r="P93" s="151" t="s">
        <v>1206</v>
      </c>
      <c r="Q93" s="152" t="s">
        <v>7</v>
      </c>
      <c r="R93" s="153" t="s">
        <v>963</v>
      </c>
      <c r="S93" s="150" t="s">
        <v>1199</v>
      </c>
      <c r="T93" s="151" t="s">
        <v>1207</v>
      </c>
      <c r="U93" s="154" t="s">
        <v>8</v>
      </c>
      <c r="V93" s="155" t="s">
        <v>921</v>
      </c>
      <c r="W93" s="150" t="s">
        <v>1200</v>
      </c>
      <c r="X93" s="151" t="s">
        <v>1208</v>
      </c>
      <c r="Y93" s="152" t="s">
        <v>13</v>
      </c>
      <c r="Z93" s="153" t="s">
        <v>1210</v>
      </c>
      <c r="AA93" s="210" t="s">
        <v>1201</v>
      </c>
      <c r="AB93" s="193"/>
      <c r="AC93" s="193"/>
      <c r="AD93" s="193"/>
      <c r="AE93" s="193"/>
      <c r="AF93" s="193"/>
      <c r="AG93" s="193"/>
      <c r="AH93" s="193"/>
    </row>
    <row r="94" spans="1:34" hidden="1" x14ac:dyDescent="0.2">
      <c r="A94" s="158">
        <v>1</v>
      </c>
      <c r="B94" s="159" t="s">
        <v>1049</v>
      </c>
      <c r="C94" s="159" t="s">
        <v>915</v>
      </c>
      <c r="D94" s="160">
        <v>7</v>
      </c>
      <c r="E94" s="160" t="s">
        <v>910</v>
      </c>
      <c r="F94" s="166">
        <v>2</v>
      </c>
      <c r="G94" s="159" t="s">
        <v>915</v>
      </c>
      <c r="H94" s="160">
        <v>7</v>
      </c>
      <c r="I94" s="215" t="s">
        <v>507</v>
      </c>
      <c r="J94" s="216">
        <v>2</v>
      </c>
      <c r="K94" s="159" t="s">
        <v>915</v>
      </c>
      <c r="L94" s="160">
        <v>7</v>
      </c>
      <c r="M94" s="160"/>
      <c r="N94" s="166"/>
      <c r="O94" s="159" t="s">
        <v>915</v>
      </c>
      <c r="P94" s="160">
        <v>7</v>
      </c>
      <c r="Q94" s="179"/>
      <c r="R94" s="180"/>
      <c r="S94" s="159" t="s">
        <v>915</v>
      </c>
      <c r="T94" s="160">
        <v>7</v>
      </c>
      <c r="U94" s="179"/>
      <c r="V94" s="180"/>
      <c r="W94" s="159" t="s">
        <v>915</v>
      </c>
      <c r="X94" s="160">
        <v>7</v>
      </c>
      <c r="Y94" s="179"/>
      <c r="Z94" s="180"/>
      <c r="AA94" s="219">
        <f t="shared" ref="AA94:AA113" si="5">F94+J94+N94+R94+V94+Z94</f>
        <v>4</v>
      </c>
      <c r="AB94" s="193" t="s">
        <v>975</v>
      </c>
    </row>
    <row r="95" spans="1:34" hidden="1" x14ac:dyDescent="0.2">
      <c r="A95" s="158">
        <v>2</v>
      </c>
      <c r="B95" s="159" t="s">
        <v>1050</v>
      </c>
      <c r="C95" s="159" t="s">
        <v>915</v>
      </c>
      <c r="D95" s="160">
        <v>15</v>
      </c>
      <c r="E95" s="160" t="s">
        <v>214</v>
      </c>
      <c r="F95" s="166">
        <v>2</v>
      </c>
      <c r="G95" s="159" t="s">
        <v>915</v>
      </c>
      <c r="H95" s="160">
        <v>15</v>
      </c>
      <c r="I95" s="215"/>
      <c r="J95" s="216"/>
      <c r="K95" s="159" t="s">
        <v>915</v>
      </c>
      <c r="L95" s="160">
        <v>15</v>
      </c>
      <c r="M95" s="160"/>
      <c r="N95" s="166"/>
      <c r="O95" s="159" t="s">
        <v>915</v>
      </c>
      <c r="P95" s="160">
        <v>15</v>
      </c>
      <c r="Q95" s="179"/>
      <c r="R95" s="180"/>
      <c r="S95" s="159" t="s">
        <v>915</v>
      </c>
      <c r="T95" s="160">
        <v>15</v>
      </c>
      <c r="U95" s="179"/>
      <c r="V95" s="180"/>
      <c r="W95" s="159" t="s">
        <v>915</v>
      </c>
      <c r="X95" s="160">
        <v>15</v>
      </c>
      <c r="Y95" s="179"/>
      <c r="Z95" s="180"/>
      <c r="AA95" s="219">
        <f t="shared" si="5"/>
        <v>2</v>
      </c>
    </row>
    <row r="96" spans="1:34" hidden="1" x14ac:dyDescent="0.2">
      <c r="A96" s="158">
        <v>3</v>
      </c>
      <c r="B96" s="159" t="s">
        <v>1051</v>
      </c>
      <c r="C96" s="159" t="s">
        <v>295</v>
      </c>
      <c r="D96" s="160">
        <v>50</v>
      </c>
      <c r="E96" s="160" t="s">
        <v>909</v>
      </c>
      <c r="F96" s="166">
        <v>0.33</v>
      </c>
      <c r="G96" s="159" t="s">
        <v>295</v>
      </c>
      <c r="H96" s="160">
        <v>50</v>
      </c>
      <c r="I96" s="215" t="s">
        <v>1876</v>
      </c>
      <c r="J96" s="220">
        <v>0.2</v>
      </c>
      <c r="K96" s="159" t="s">
        <v>295</v>
      </c>
      <c r="L96" s="160">
        <v>50</v>
      </c>
      <c r="M96" s="160"/>
      <c r="N96" s="166"/>
      <c r="O96" s="159" t="s">
        <v>295</v>
      </c>
      <c r="P96" s="160">
        <v>50</v>
      </c>
      <c r="Q96" s="179"/>
      <c r="R96" s="180"/>
      <c r="S96" s="159" t="s">
        <v>295</v>
      </c>
      <c r="T96" s="160">
        <v>50</v>
      </c>
      <c r="U96" s="179" t="s">
        <v>839</v>
      </c>
      <c r="V96" s="180">
        <v>1</v>
      </c>
      <c r="W96" s="159" t="s">
        <v>295</v>
      </c>
      <c r="X96" s="160">
        <v>50</v>
      </c>
      <c r="Y96" s="179"/>
      <c r="Z96" s="180"/>
      <c r="AA96" s="219">
        <f t="shared" si="5"/>
        <v>1.53</v>
      </c>
    </row>
    <row r="97" spans="1:28" hidden="1" x14ac:dyDescent="0.2">
      <c r="A97" s="158">
        <v>4</v>
      </c>
      <c r="B97" s="159" t="s">
        <v>1052</v>
      </c>
      <c r="C97" s="159" t="s">
        <v>294</v>
      </c>
      <c r="D97" s="160">
        <v>50</v>
      </c>
      <c r="E97" s="161" t="s">
        <v>912</v>
      </c>
      <c r="F97" s="167">
        <v>2.5</v>
      </c>
      <c r="G97" s="159" t="s">
        <v>294</v>
      </c>
      <c r="H97" s="160">
        <v>50</v>
      </c>
      <c r="I97" s="214"/>
      <c r="J97" s="220"/>
      <c r="K97" s="159" t="s">
        <v>294</v>
      </c>
      <c r="L97" s="160">
        <v>50</v>
      </c>
      <c r="M97" s="161" t="s">
        <v>840</v>
      </c>
      <c r="N97" s="162">
        <v>6</v>
      </c>
      <c r="O97" s="159" t="s">
        <v>294</v>
      </c>
      <c r="P97" s="160">
        <v>50</v>
      </c>
      <c r="Q97" s="179" t="s">
        <v>918</v>
      </c>
      <c r="R97" s="180">
        <v>8</v>
      </c>
      <c r="S97" s="159" t="s">
        <v>294</v>
      </c>
      <c r="T97" s="160">
        <v>50</v>
      </c>
      <c r="U97" s="179" t="s">
        <v>839</v>
      </c>
      <c r="V97" s="180">
        <v>1</v>
      </c>
      <c r="W97" s="159" t="s">
        <v>294</v>
      </c>
      <c r="X97" s="160">
        <v>50</v>
      </c>
      <c r="Y97" s="179"/>
      <c r="Z97" s="180"/>
      <c r="AA97" s="219">
        <f t="shared" si="5"/>
        <v>17.5</v>
      </c>
      <c r="AB97" s="193" t="s">
        <v>977</v>
      </c>
    </row>
    <row r="98" spans="1:28" hidden="1" x14ac:dyDescent="0.2">
      <c r="A98" s="158">
        <v>5</v>
      </c>
      <c r="B98" s="159" t="s">
        <v>1053</v>
      </c>
      <c r="C98" s="159" t="s">
        <v>915</v>
      </c>
      <c r="D98" s="160">
        <v>15</v>
      </c>
      <c r="E98" s="161" t="s">
        <v>224</v>
      </c>
      <c r="F98" s="162">
        <v>2</v>
      </c>
      <c r="G98" s="159" t="s">
        <v>915</v>
      </c>
      <c r="H98" s="160">
        <v>15</v>
      </c>
      <c r="I98" s="214"/>
      <c r="J98" s="220"/>
      <c r="K98" s="159" t="s">
        <v>915</v>
      </c>
      <c r="L98" s="160">
        <v>15</v>
      </c>
      <c r="M98" s="161"/>
      <c r="N98" s="162"/>
      <c r="O98" s="159" t="s">
        <v>915</v>
      </c>
      <c r="P98" s="160">
        <v>15</v>
      </c>
      <c r="Q98" s="179"/>
      <c r="R98" s="180"/>
      <c r="S98" s="159" t="s">
        <v>915</v>
      </c>
      <c r="T98" s="160">
        <v>15</v>
      </c>
      <c r="U98" s="179"/>
      <c r="V98" s="180"/>
      <c r="W98" s="159" t="s">
        <v>915</v>
      </c>
      <c r="X98" s="160">
        <v>15</v>
      </c>
      <c r="Y98" s="179"/>
      <c r="Z98" s="180"/>
      <c r="AA98" s="219">
        <f t="shared" si="5"/>
        <v>2</v>
      </c>
    </row>
    <row r="99" spans="1:28" hidden="1" x14ac:dyDescent="0.2">
      <c r="A99" s="158">
        <v>6</v>
      </c>
      <c r="B99" s="159" t="s">
        <v>1054</v>
      </c>
      <c r="C99" s="159" t="s">
        <v>295</v>
      </c>
      <c r="D99" s="160">
        <v>50</v>
      </c>
      <c r="E99" s="161" t="s">
        <v>300</v>
      </c>
      <c r="F99" s="162">
        <v>1.1000000000000001</v>
      </c>
      <c r="G99" s="159" t="s">
        <v>295</v>
      </c>
      <c r="H99" s="160">
        <v>50</v>
      </c>
      <c r="I99" s="215"/>
      <c r="J99" s="216"/>
      <c r="K99" s="159" t="s">
        <v>295</v>
      </c>
      <c r="L99" s="160">
        <v>50</v>
      </c>
      <c r="M99" s="161"/>
      <c r="N99" s="162"/>
      <c r="O99" s="159" t="s">
        <v>295</v>
      </c>
      <c r="P99" s="160">
        <v>50</v>
      </c>
      <c r="Q99" s="179"/>
      <c r="R99" s="180"/>
      <c r="S99" s="159" t="s">
        <v>295</v>
      </c>
      <c r="T99" s="160">
        <v>50</v>
      </c>
      <c r="U99" s="179"/>
      <c r="V99" s="180"/>
      <c r="W99" s="159" t="s">
        <v>295</v>
      </c>
      <c r="X99" s="160">
        <v>50</v>
      </c>
      <c r="Y99" s="179"/>
      <c r="Z99" s="180"/>
      <c r="AA99" s="219">
        <f t="shared" si="5"/>
        <v>1.1000000000000001</v>
      </c>
    </row>
    <row r="100" spans="1:28" hidden="1" x14ac:dyDescent="0.2">
      <c r="A100" s="158">
        <v>7</v>
      </c>
      <c r="B100" s="159" t="s">
        <v>1055</v>
      </c>
      <c r="C100" s="159" t="s">
        <v>915</v>
      </c>
      <c r="D100" s="41">
        <v>10</v>
      </c>
      <c r="E100" s="174" t="s">
        <v>914</v>
      </c>
      <c r="F100" s="162">
        <v>0.8</v>
      </c>
      <c r="G100" s="159" t="s">
        <v>915</v>
      </c>
      <c r="H100" s="46">
        <v>50</v>
      </c>
      <c r="I100" s="222" t="s">
        <v>725</v>
      </c>
      <c r="J100" s="223">
        <f>25/50</f>
        <v>0.5</v>
      </c>
      <c r="K100" s="159" t="s">
        <v>915</v>
      </c>
      <c r="L100" s="46">
        <v>50</v>
      </c>
      <c r="M100" s="161"/>
      <c r="N100" s="162"/>
      <c r="O100" s="159" t="s">
        <v>915</v>
      </c>
      <c r="P100" s="46">
        <v>50</v>
      </c>
      <c r="Q100" s="179"/>
      <c r="R100" s="180"/>
      <c r="S100" s="159" t="s">
        <v>915</v>
      </c>
      <c r="T100" s="46">
        <v>50</v>
      </c>
      <c r="U100" s="179"/>
      <c r="V100" s="180"/>
      <c r="W100" s="159" t="s">
        <v>915</v>
      </c>
      <c r="X100" s="46">
        <v>50</v>
      </c>
      <c r="Y100" s="179"/>
      <c r="Z100" s="180"/>
      <c r="AA100" s="219">
        <f t="shared" si="5"/>
        <v>1.3</v>
      </c>
    </row>
    <row r="101" spans="1:28" hidden="1" x14ac:dyDescent="0.2">
      <c r="A101" s="158">
        <v>8</v>
      </c>
      <c r="B101" s="159" t="s">
        <v>1056</v>
      </c>
      <c r="C101" s="159" t="s">
        <v>295</v>
      </c>
      <c r="D101" s="160">
        <v>50</v>
      </c>
      <c r="E101" s="161" t="s">
        <v>300</v>
      </c>
      <c r="F101" s="162">
        <v>1.1000000000000001</v>
      </c>
      <c r="G101" s="159" t="s">
        <v>295</v>
      </c>
      <c r="H101" s="160">
        <v>50</v>
      </c>
      <c r="I101" s="214"/>
      <c r="J101" s="220"/>
      <c r="K101" s="159" t="s">
        <v>295</v>
      </c>
      <c r="L101" s="160">
        <v>50</v>
      </c>
      <c r="M101" s="161"/>
      <c r="N101" s="162"/>
      <c r="O101" s="159" t="s">
        <v>295</v>
      </c>
      <c r="P101" s="160">
        <v>50</v>
      </c>
      <c r="Q101" s="179"/>
      <c r="R101" s="180"/>
      <c r="S101" s="159" t="s">
        <v>295</v>
      </c>
      <c r="T101" s="160">
        <v>50</v>
      </c>
      <c r="U101" s="179"/>
      <c r="V101" s="180"/>
      <c r="W101" s="159" t="s">
        <v>295</v>
      </c>
      <c r="X101" s="160">
        <v>50</v>
      </c>
      <c r="Y101" s="179"/>
      <c r="Z101" s="180"/>
      <c r="AA101" s="219">
        <f t="shared" si="5"/>
        <v>1.1000000000000001</v>
      </c>
    </row>
    <row r="102" spans="1:28" hidden="1" x14ac:dyDescent="0.2">
      <c r="A102" s="158">
        <v>9</v>
      </c>
      <c r="B102" s="159" t="s">
        <v>1057</v>
      </c>
      <c r="C102" s="159" t="s">
        <v>295</v>
      </c>
      <c r="D102" s="160">
        <v>50</v>
      </c>
      <c r="E102" s="160" t="s">
        <v>909</v>
      </c>
      <c r="F102" s="162">
        <v>0.33</v>
      </c>
      <c r="G102" s="159" t="s">
        <v>295</v>
      </c>
      <c r="H102" s="160">
        <v>50</v>
      </c>
      <c r="I102" s="215" t="s">
        <v>1876</v>
      </c>
      <c r="J102" s="220">
        <v>0.2</v>
      </c>
      <c r="K102" s="159" t="s">
        <v>295</v>
      </c>
      <c r="L102" s="160">
        <v>50</v>
      </c>
      <c r="M102" s="161" t="s">
        <v>840</v>
      </c>
      <c r="N102" s="162">
        <v>6</v>
      </c>
      <c r="O102" s="159" t="s">
        <v>295</v>
      </c>
      <c r="P102" s="160">
        <v>50</v>
      </c>
      <c r="Q102" s="179" t="s">
        <v>918</v>
      </c>
      <c r="R102" s="180">
        <v>8</v>
      </c>
      <c r="S102" s="159" t="s">
        <v>295</v>
      </c>
      <c r="T102" s="160">
        <v>50</v>
      </c>
      <c r="U102" s="179"/>
      <c r="V102" s="180"/>
      <c r="W102" s="159" t="s">
        <v>295</v>
      </c>
      <c r="X102" s="160">
        <v>50</v>
      </c>
      <c r="Y102" s="179"/>
      <c r="Z102" s="180"/>
      <c r="AA102" s="219">
        <f t="shared" si="5"/>
        <v>14.530000000000001</v>
      </c>
    </row>
    <row r="103" spans="1:28" hidden="1" x14ac:dyDescent="0.2">
      <c r="A103" s="158">
        <v>10</v>
      </c>
      <c r="B103" s="159" t="s">
        <v>1058</v>
      </c>
      <c r="C103" s="159" t="s">
        <v>295</v>
      </c>
      <c r="D103" s="160">
        <v>50</v>
      </c>
      <c r="E103" s="160" t="s">
        <v>300</v>
      </c>
      <c r="F103" s="166">
        <v>1.45</v>
      </c>
      <c r="G103" s="159" t="s">
        <v>295</v>
      </c>
      <c r="H103" s="160">
        <v>50</v>
      </c>
      <c r="I103" s="215"/>
      <c r="J103" s="220"/>
      <c r="K103" s="159" t="s">
        <v>295</v>
      </c>
      <c r="L103" s="160">
        <v>50</v>
      </c>
      <c r="M103" s="161"/>
      <c r="N103" s="162"/>
      <c r="O103" s="159" t="s">
        <v>295</v>
      </c>
      <c r="P103" s="160">
        <v>50</v>
      </c>
      <c r="Q103" s="179"/>
      <c r="R103" s="180"/>
      <c r="S103" s="159" t="s">
        <v>295</v>
      </c>
      <c r="T103" s="160">
        <v>50</v>
      </c>
      <c r="U103" s="179"/>
      <c r="V103" s="180"/>
      <c r="W103" s="159" t="s">
        <v>295</v>
      </c>
      <c r="X103" s="160">
        <v>50</v>
      </c>
      <c r="Y103" s="179"/>
      <c r="Z103" s="180"/>
      <c r="AA103" s="219">
        <f t="shared" si="5"/>
        <v>1.45</v>
      </c>
    </row>
    <row r="104" spans="1:28" hidden="1" x14ac:dyDescent="0.2">
      <c r="A104" s="158">
        <v>11</v>
      </c>
      <c r="B104" s="159" t="s">
        <v>1059</v>
      </c>
      <c r="C104" s="159"/>
      <c r="D104" s="160"/>
      <c r="E104" s="160"/>
      <c r="F104" s="166"/>
      <c r="G104" s="159"/>
      <c r="H104" s="160"/>
      <c r="I104" s="215"/>
      <c r="J104" s="216"/>
      <c r="K104" s="159"/>
      <c r="L104" s="160"/>
      <c r="M104" s="161"/>
      <c r="N104" s="162"/>
      <c r="O104" s="159"/>
      <c r="P104" s="160"/>
      <c r="Q104" s="179"/>
      <c r="R104" s="180"/>
      <c r="S104" s="159"/>
      <c r="T104" s="160"/>
      <c r="U104" s="179"/>
      <c r="V104" s="180"/>
      <c r="W104" s="159"/>
      <c r="X104" s="160"/>
      <c r="Y104" s="179"/>
      <c r="Z104" s="180"/>
      <c r="AA104" s="219">
        <f t="shared" si="5"/>
        <v>0</v>
      </c>
    </row>
    <row r="105" spans="1:28" hidden="1" x14ac:dyDescent="0.2">
      <c r="A105" s="158">
        <v>12</v>
      </c>
      <c r="B105" s="159" t="s">
        <v>1060</v>
      </c>
      <c r="C105" s="159" t="s">
        <v>295</v>
      </c>
      <c r="D105" s="160">
        <v>50</v>
      </c>
      <c r="E105" s="160" t="s">
        <v>300</v>
      </c>
      <c r="F105" s="166">
        <v>1.1000000000000001</v>
      </c>
      <c r="G105" s="159" t="s">
        <v>295</v>
      </c>
      <c r="H105" s="160">
        <v>50</v>
      </c>
      <c r="I105" s="215"/>
      <c r="J105" s="216"/>
      <c r="K105" s="159" t="s">
        <v>295</v>
      </c>
      <c r="L105" s="160">
        <v>50</v>
      </c>
      <c r="M105" s="161"/>
      <c r="N105" s="162"/>
      <c r="O105" s="159" t="s">
        <v>295</v>
      </c>
      <c r="P105" s="160">
        <v>50</v>
      </c>
      <c r="Q105" s="179"/>
      <c r="R105" s="180"/>
      <c r="S105" s="159" t="s">
        <v>295</v>
      </c>
      <c r="T105" s="160">
        <v>50</v>
      </c>
      <c r="U105" s="179"/>
      <c r="V105" s="180"/>
      <c r="W105" s="159" t="s">
        <v>295</v>
      </c>
      <c r="X105" s="160">
        <v>50</v>
      </c>
      <c r="Y105" s="179"/>
      <c r="Z105" s="180"/>
      <c r="AA105" s="219">
        <f t="shared" si="5"/>
        <v>1.1000000000000001</v>
      </c>
    </row>
    <row r="106" spans="1:28" hidden="1" x14ac:dyDescent="0.2">
      <c r="A106" s="158">
        <v>13</v>
      </c>
      <c r="B106" s="159" t="s">
        <v>1061</v>
      </c>
      <c r="C106" s="159" t="s">
        <v>294</v>
      </c>
      <c r="D106" s="160">
        <v>50</v>
      </c>
      <c r="E106" s="160" t="s">
        <v>917</v>
      </c>
      <c r="F106" s="166">
        <v>1.45</v>
      </c>
      <c r="G106" s="159" t="s">
        <v>294</v>
      </c>
      <c r="H106" s="160">
        <v>50</v>
      </c>
      <c r="I106" s="215"/>
      <c r="J106" s="216"/>
      <c r="K106" s="159" t="s">
        <v>294</v>
      </c>
      <c r="L106" s="160">
        <v>50</v>
      </c>
      <c r="M106" s="161"/>
      <c r="N106" s="162"/>
      <c r="O106" s="159" t="s">
        <v>294</v>
      </c>
      <c r="P106" s="160">
        <v>50</v>
      </c>
      <c r="Q106" s="179"/>
      <c r="R106" s="180"/>
      <c r="S106" s="159" t="s">
        <v>294</v>
      </c>
      <c r="T106" s="160">
        <v>50</v>
      </c>
      <c r="U106" s="179"/>
      <c r="V106" s="180"/>
      <c r="W106" s="159" t="s">
        <v>294</v>
      </c>
      <c r="X106" s="160">
        <v>50</v>
      </c>
      <c r="Y106" s="179"/>
      <c r="Z106" s="180"/>
      <c r="AA106" s="219">
        <f t="shared" si="5"/>
        <v>1.45</v>
      </c>
    </row>
    <row r="107" spans="1:28" hidden="1" x14ac:dyDescent="0.2">
      <c r="A107" s="158">
        <v>14</v>
      </c>
      <c r="B107" s="159" t="s">
        <v>1062</v>
      </c>
      <c r="C107" s="159"/>
      <c r="D107" s="160"/>
      <c r="E107" s="160"/>
      <c r="F107" s="166"/>
      <c r="G107" s="159"/>
      <c r="H107" s="160"/>
      <c r="I107" s="215"/>
      <c r="J107" s="216"/>
      <c r="K107" s="159"/>
      <c r="L107" s="160"/>
      <c r="M107" s="161"/>
      <c r="N107" s="162"/>
      <c r="O107" s="159"/>
      <c r="P107" s="160"/>
      <c r="Q107" s="179"/>
      <c r="R107" s="180"/>
      <c r="S107" s="159"/>
      <c r="T107" s="160"/>
      <c r="U107" s="179"/>
      <c r="V107" s="180"/>
      <c r="W107" s="159"/>
      <c r="X107" s="160"/>
      <c r="Y107" s="179"/>
      <c r="Z107" s="180"/>
      <c r="AA107" s="219">
        <f t="shared" si="5"/>
        <v>0</v>
      </c>
    </row>
    <row r="108" spans="1:28" hidden="1" x14ac:dyDescent="0.2">
      <c r="A108" s="158">
        <v>15</v>
      </c>
      <c r="B108" s="159" t="s">
        <v>1063</v>
      </c>
      <c r="C108" s="159" t="s">
        <v>295</v>
      </c>
      <c r="D108" s="160">
        <v>50</v>
      </c>
      <c r="E108" s="160" t="s">
        <v>300</v>
      </c>
      <c r="F108" s="166">
        <v>1.1000000000000001</v>
      </c>
      <c r="G108" s="159" t="s">
        <v>295</v>
      </c>
      <c r="H108" s="160">
        <v>50</v>
      </c>
      <c r="I108" s="215"/>
      <c r="J108" s="216"/>
      <c r="K108" s="159" t="s">
        <v>295</v>
      </c>
      <c r="L108" s="160">
        <v>50</v>
      </c>
      <c r="M108" s="161" t="s">
        <v>840</v>
      </c>
      <c r="N108" s="162">
        <v>6</v>
      </c>
      <c r="O108" s="159" t="s">
        <v>295</v>
      </c>
      <c r="P108" s="160">
        <v>50</v>
      </c>
      <c r="Q108" s="179" t="s">
        <v>918</v>
      </c>
      <c r="R108" s="180">
        <v>8</v>
      </c>
      <c r="S108" s="159" t="s">
        <v>295</v>
      </c>
      <c r="T108" s="160">
        <v>50</v>
      </c>
      <c r="U108" s="179"/>
      <c r="V108" s="180"/>
      <c r="W108" s="159" t="s">
        <v>295</v>
      </c>
      <c r="X108" s="160">
        <v>50</v>
      </c>
      <c r="Y108" s="179"/>
      <c r="Z108" s="180"/>
      <c r="AA108" s="219">
        <f t="shared" si="5"/>
        <v>15.1</v>
      </c>
    </row>
    <row r="109" spans="1:28" hidden="1" x14ac:dyDescent="0.2">
      <c r="A109" s="158">
        <v>16</v>
      </c>
      <c r="B109" s="159" t="s">
        <v>1064</v>
      </c>
      <c r="C109" s="159" t="s">
        <v>915</v>
      </c>
      <c r="D109" s="160">
        <v>7</v>
      </c>
      <c r="E109" s="160" t="s">
        <v>910</v>
      </c>
      <c r="F109" s="166">
        <v>2</v>
      </c>
      <c r="G109" s="159" t="s">
        <v>915</v>
      </c>
      <c r="H109" s="160">
        <v>7</v>
      </c>
      <c r="I109" s="214" t="s">
        <v>11</v>
      </c>
      <c r="J109" s="220">
        <f>0.2</f>
        <v>0.2</v>
      </c>
      <c r="K109" s="159" t="s">
        <v>915</v>
      </c>
      <c r="L109" s="160">
        <v>7</v>
      </c>
      <c r="M109" s="160"/>
      <c r="N109" s="166"/>
      <c r="O109" s="159" t="s">
        <v>915</v>
      </c>
      <c r="P109" s="160">
        <v>7</v>
      </c>
      <c r="Q109" s="179"/>
      <c r="R109" s="180"/>
      <c r="S109" s="159" t="s">
        <v>915</v>
      </c>
      <c r="T109" s="160">
        <v>7</v>
      </c>
      <c r="U109" s="179"/>
      <c r="V109" s="180"/>
      <c r="W109" s="159" t="s">
        <v>915</v>
      </c>
      <c r="X109" s="160">
        <v>7</v>
      </c>
      <c r="Y109" s="179"/>
      <c r="Z109" s="180"/>
      <c r="AA109" s="219">
        <f t="shared" si="5"/>
        <v>2.2000000000000002</v>
      </c>
    </row>
    <row r="110" spans="1:28" hidden="1" x14ac:dyDescent="0.2">
      <c r="A110" s="158">
        <v>17</v>
      </c>
      <c r="B110" s="159" t="s">
        <v>1065</v>
      </c>
      <c r="C110" s="159"/>
      <c r="D110" s="160"/>
      <c r="E110" s="160"/>
      <c r="F110" s="166"/>
      <c r="G110" s="159"/>
      <c r="H110" s="160"/>
      <c r="I110" s="214"/>
      <c r="J110" s="220"/>
      <c r="K110" s="159"/>
      <c r="L110" s="160"/>
      <c r="M110" s="160"/>
      <c r="N110" s="166"/>
      <c r="O110" s="159"/>
      <c r="P110" s="160"/>
      <c r="Q110" s="179"/>
      <c r="R110" s="180"/>
      <c r="S110" s="159"/>
      <c r="T110" s="160"/>
      <c r="U110" s="179"/>
      <c r="V110" s="180"/>
      <c r="W110" s="159"/>
      <c r="X110" s="160"/>
      <c r="Y110" s="179"/>
      <c r="Z110" s="180"/>
      <c r="AA110" s="219">
        <f t="shared" si="5"/>
        <v>0</v>
      </c>
    </row>
    <row r="111" spans="1:28" hidden="1" x14ac:dyDescent="0.2">
      <c r="A111" s="158">
        <v>18</v>
      </c>
      <c r="B111" s="159" t="s">
        <v>1066</v>
      </c>
      <c r="C111" s="159" t="s">
        <v>295</v>
      </c>
      <c r="D111" s="160">
        <v>50</v>
      </c>
      <c r="E111" s="160" t="s">
        <v>888</v>
      </c>
      <c r="F111" s="169">
        <v>15</v>
      </c>
      <c r="G111" s="159" t="s">
        <v>295</v>
      </c>
      <c r="H111" s="160">
        <v>50</v>
      </c>
      <c r="I111" s="214"/>
      <c r="J111" s="220"/>
      <c r="K111" s="159" t="s">
        <v>295</v>
      </c>
      <c r="L111" s="160">
        <v>50</v>
      </c>
      <c r="M111" s="160"/>
      <c r="N111" s="166"/>
      <c r="O111" s="159" t="s">
        <v>295</v>
      </c>
      <c r="P111" s="160">
        <v>50</v>
      </c>
      <c r="Q111" s="179"/>
      <c r="R111" s="180"/>
      <c r="S111" s="159" t="s">
        <v>295</v>
      </c>
      <c r="T111" s="160">
        <v>50</v>
      </c>
      <c r="U111" s="179"/>
      <c r="V111" s="180"/>
      <c r="W111" s="159" t="s">
        <v>295</v>
      </c>
      <c r="X111" s="160">
        <v>50</v>
      </c>
      <c r="Y111" s="179"/>
      <c r="Z111" s="180"/>
      <c r="AA111" s="219">
        <f t="shared" si="5"/>
        <v>15</v>
      </c>
      <c r="AB111" s="193" t="s">
        <v>974</v>
      </c>
    </row>
    <row r="112" spans="1:28" hidden="1" x14ac:dyDescent="0.2">
      <c r="A112" s="158">
        <v>19</v>
      </c>
      <c r="B112" s="159" t="s">
        <v>1067</v>
      </c>
      <c r="C112" s="159"/>
      <c r="D112" s="160"/>
      <c r="E112" s="160"/>
      <c r="F112" s="166"/>
      <c r="G112" s="159"/>
      <c r="H112" s="160"/>
      <c r="I112" s="214"/>
      <c r="J112" s="220"/>
      <c r="K112" s="159"/>
      <c r="L112" s="160"/>
      <c r="M112" s="160"/>
      <c r="N112" s="166"/>
      <c r="O112" s="159"/>
      <c r="P112" s="160"/>
      <c r="Q112" s="179"/>
      <c r="R112" s="180"/>
      <c r="S112" s="159"/>
      <c r="T112" s="160"/>
      <c r="U112" s="179"/>
      <c r="V112" s="180"/>
      <c r="W112" s="159"/>
      <c r="X112" s="160"/>
      <c r="Y112" s="179"/>
      <c r="Z112" s="180"/>
      <c r="AA112" s="219">
        <f t="shared" si="5"/>
        <v>0</v>
      </c>
    </row>
    <row r="113" spans="1:34" hidden="1" x14ac:dyDescent="0.2">
      <c r="A113" s="158">
        <v>20</v>
      </c>
      <c r="B113" s="159" t="s">
        <v>1068</v>
      </c>
      <c r="C113" s="159"/>
      <c r="D113" s="160"/>
      <c r="E113" s="160"/>
      <c r="F113" s="166"/>
      <c r="G113" s="159"/>
      <c r="H113" s="160"/>
      <c r="I113" s="214"/>
      <c r="J113" s="220"/>
      <c r="K113" s="159"/>
      <c r="L113" s="160"/>
      <c r="M113" s="160"/>
      <c r="N113" s="166"/>
      <c r="O113" s="159"/>
      <c r="P113" s="160"/>
      <c r="Q113" s="179"/>
      <c r="R113" s="180"/>
      <c r="S113" s="159"/>
      <c r="T113" s="160"/>
      <c r="U113" s="179"/>
      <c r="V113" s="180"/>
      <c r="W113" s="159"/>
      <c r="X113" s="160"/>
      <c r="Y113" s="179"/>
      <c r="Z113" s="180"/>
      <c r="AA113" s="219">
        <f t="shared" si="5"/>
        <v>0</v>
      </c>
    </row>
    <row r="114" spans="1:34" ht="13.5" thickBot="1" x14ac:dyDescent="0.25">
      <c r="B114" s="145" t="s">
        <v>981</v>
      </c>
      <c r="C114" s="147"/>
      <c r="D114" s="147"/>
      <c r="E114" s="147"/>
      <c r="F114" s="147"/>
      <c r="G114" s="147"/>
      <c r="H114" s="147"/>
      <c r="I114" s="199"/>
      <c r="J114" s="199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34" s="211" customFormat="1" ht="34.5" thickBot="1" x14ac:dyDescent="0.25">
      <c r="A115" s="148" t="s">
        <v>292</v>
      </c>
      <c r="B115" s="149" t="s">
        <v>293</v>
      </c>
      <c r="C115" s="150" t="s">
        <v>1195</v>
      </c>
      <c r="D115" s="151" t="s">
        <v>1203</v>
      </c>
      <c r="E115" s="152" t="s">
        <v>4</v>
      </c>
      <c r="F115" s="153" t="s">
        <v>1202</v>
      </c>
      <c r="G115" s="150" t="s">
        <v>1196</v>
      </c>
      <c r="H115" s="151" t="s">
        <v>1204</v>
      </c>
      <c r="I115" s="207" t="s">
        <v>5</v>
      </c>
      <c r="J115" s="205" t="s">
        <v>1209</v>
      </c>
      <c r="K115" s="150" t="s">
        <v>1197</v>
      </c>
      <c r="L115" s="151" t="s">
        <v>1205</v>
      </c>
      <c r="M115" s="152" t="s">
        <v>6</v>
      </c>
      <c r="N115" s="153" t="s">
        <v>1217</v>
      </c>
      <c r="O115" s="150" t="s">
        <v>1198</v>
      </c>
      <c r="P115" s="151" t="s">
        <v>1206</v>
      </c>
      <c r="Q115" s="152" t="s">
        <v>7</v>
      </c>
      <c r="R115" s="153" t="s">
        <v>963</v>
      </c>
      <c r="S115" s="150" t="s">
        <v>1199</v>
      </c>
      <c r="T115" s="151" t="s">
        <v>1207</v>
      </c>
      <c r="U115" s="154" t="s">
        <v>8</v>
      </c>
      <c r="V115" s="155" t="s">
        <v>921</v>
      </c>
      <c r="W115" s="150" t="s">
        <v>1200</v>
      </c>
      <c r="X115" s="151" t="s">
        <v>1208</v>
      </c>
      <c r="Y115" s="152" t="s">
        <v>13</v>
      </c>
      <c r="Z115" s="153" t="s">
        <v>1210</v>
      </c>
      <c r="AA115" s="210" t="s">
        <v>1201</v>
      </c>
      <c r="AB115" s="193"/>
      <c r="AC115" s="193"/>
      <c r="AD115" s="193"/>
      <c r="AE115" s="193"/>
      <c r="AF115" s="193"/>
      <c r="AG115" s="193"/>
      <c r="AH115" s="193"/>
    </row>
    <row r="116" spans="1:34" x14ac:dyDescent="0.2">
      <c r="A116" s="158">
        <v>1</v>
      </c>
      <c r="B116" s="159" t="s">
        <v>1089</v>
      </c>
      <c r="C116" s="280" t="s">
        <v>915</v>
      </c>
      <c r="D116" s="46">
        <v>7</v>
      </c>
      <c r="E116" s="46" t="s">
        <v>910</v>
      </c>
      <c r="F116" s="288">
        <v>2</v>
      </c>
      <c r="G116" s="280" t="s">
        <v>915</v>
      </c>
      <c r="H116" s="46">
        <v>7</v>
      </c>
      <c r="I116" s="228" t="s">
        <v>507</v>
      </c>
      <c r="J116" s="282">
        <v>2</v>
      </c>
      <c r="K116" s="280" t="s">
        <v>915</v>
      </c>
      <c r="L116" s="46">
        <v>7</v>
      </c>
      <c r="M116" s="228" t="s">
        <v>11</v>
      </c>
      <c r="N116" s="282">
        <v>0.2</v>
      </c>
      <c r="O116" s="159"/>
      <c r="P116" s="160"/>
      <c r="Q116" s="161"/>
      <c r="R116" s="162"/>
      <c r="S116" s="159"/>
      <c r="T116" s="160"/>
      <c r="U116" s="161"/>
      <c r="V116" s="162"/>
      <c r="W116" s="159"/>
      <c r="X116" s="160"/>
      <c r="Y116" s="161"/>
      <c r="Z116" s="162"/>
      <c r="AA116" s="219">
        <f t="shared" ref="AA116:AA135" si="6">F116+J116+N116+R116+V116+Z116</f>
        <v>4.2</v>
      </c>
      <c r="AB116" s="193" t="s">
        <v>975</v>
      </c>
    </row>
    <row r="117" spans="1:34" x14ac:dyDescent="0.2">
      <c r="A117" s="158">
        <v>2</v>
      </c>
      <c r="B117" s="159" t="s">
        <v>1090</v>
      </c>
      <c r="C117" s="274" t="s">
        <v>295</v>
      </c>
      <c r="D117" s="275">
        <v>50</v>
      </c>
      <c r="E117" s="275" t="s">
        <v>909</v>
      </c>
      <c r="F117" s="276">
        <v>0.33</v>
      </c>
      <c r="G117" s="274" t="s">
        <v>295</v>
      </c>
      <c r="H117" s="275">
        <v>50</v>
      </c>
      <c r="I117" s="277" t="s">
        <v>1892</v>
      </c>
      <c r="J117" s="278">
        <v>0.2</v>
      </c>
      <c r="K117" s="274" t="s">
        <v>295</v>
      </c>
      <c r="L117" s="275">
        <v>50</v>
      </c>
      <c r="M117" s="275" t="s">
        <v>1898</v>
      </c>
      <c r="N117" s="276">
        <v>0.18</v>
      </c>
      <c r="O117" s="159"/>
      <c r="P117" s="160"/>
      <c r="Q117" s="161"/>
      <c r="R117" s="162"/>
      <c r="S117" s="159"/>
      <c r="T117" s="160"/>
      <c r="U117" s="161"/>
      <c r="V117" s="162"/>
      <c r="W117" s="159"/>
      <c r="X117" s="160"/>
      <c r="Y117" s="161"/>
      <c r="Z117" s="162"/>
      <c r="AA117" s="219">
        <f t="shared" si="6"/>
        <v>0.71</v>
      </c>
    </row>
    <row r="118" spans="1:34" x14ac:dyDescent="0.2">
      <c r="A118" s="158">
        <v>3</v>
      </c>
      <c r="B118" s="159" t="s">
        <v>1091</v>
      </c>
      <c r="C118" s="141" t="s">
        <v>295</v>
      </c>
      <c r="D118" s="43">
        <v>50</v>
      </c>
      <c r="E118" s="43" t="s">
        <v>1899</v>
      </c>
      <c r="F118" s="279">
        <v>0.64</v>
      </c>
      <c r="G118" s="159"/>
      <c r="H118" s="160"/>
      <c r="I118" s="214"/>
      <c r="J118" s="220"/>
      <c r="K118" s="159"/>
      <c r="L118" s="160"/>
      <c r="M118" s="161"/>
      <c r="N118" s="162"/>
      <c r="O118" s="159"/>
      <c r="P118" s="160"/>
      <c r="Q118" s="161"/>
      <c r="R118" s="162"/>
      <c r="S118" s="159"/>
      <c r="T118" s="160"/>
      <c r="U118" s="161"/>
      <c r="V118" s="162"/>
      <c r="W118" s="159"/>
      <c r="X118" s="160"/>
      <c r="Y118" s="161"/>
      <c r="Z118" s="162"/>
      <c r="AA118" s="219">
        <f t="shared" si="6"/>
        <v>0.64</v>
      </c>
    </row>
    <row r="119" spans="1:34" x14ac:dyDescent="0.2">
      <c r="A119" s="158">
        <v>4</v>
      </c>
      <c r="B119" s="159" t="s">
        <v>1092</v>
      </c>
      <c r="C119" s="280" t="s">
        <v>915</v>
      </c>
      <c r="D119" s="46">
        <v>7</v>
      </c>
      <c r="E119" s="287" t="s">
        <v>1897</v>
      </c>
      <c r="F119" s="288">
        <v>2</v>
      </c>
      <c r="G119" s="280" t="s">
        <v>915</v>
      </c>
      <c r="H119" s="46">
        <v>7</v>
      </c>
      <c r="I119" s="228" t="s">
        <v>11</v>
      </c>
      <c r="J119" s="282">
        <v>0.2</v>
      </c>
      <c r="K119" s="159"/>
      <c r="L119" s="160"/>
      <c r="M119" s="161"/>
      <c r="N119" s="162"/>
      <c r="O119" s="159"/>
      <c r="P119" s="160"/>
      <c r="Q119" s="161"/>
      <c r="R119" s="162"/>
      <c r="S119" s="159"/>
      <c r="T119" s="160"/>
      <c r="U119" s="161"/>
      <c r="V119" s="162"/>
      <c r="W119" s="159"/>
      <c r="X119" s="160"/>
      <c r="Y119" s="161"/>
      <c r="Z119" s="162"/>
      <c r="AA119" s="219">
        <f t="shared" si="6"/>
        <v>2.2000000000000002</v>
      </c>
      <c r="AB119" s="193" t="s">
        <v>977</v>
      </c>
    </row>
    <row r="120" spans="1:34" x14ac:dyDescent="0.2">
      <c r="A120" s="158">
        <v>5</v>
      </c>
      <c r="B120" s="159" t="s">
        <v>1093</v>
      </c>
      <c r="C120" s="274" t="s">
        <v>295</v>
      </c>
      <c r="D120" s="275">
        <v>50</v>
      </c>
      <c r="E120" s="275" t="s">
        <v>909</v>
      </c>
      <c r="F120" s="276">
        <v>0.33</v>
      </c>
      <c r="G120" s="274" t="s">
        <v>295</v>
      </c>
      <c r="H120" s="275">
        <v>50</v>
      </c>
      <c r="I120" s="277" t="s">
        <v>1892</v>
      </c>
      <c r="J120" s="278">
        <v>0.2</v>
      </c>
      <c r="K120" s="274" t="s">
        <v>295</v>
      </c>
      <c r="L120" s="275">
        <v>50</v>
      </c>
      <c r="M120" s="316" t="s">
        <v>840</v>
      </c>
      <c r="N120" s="276">
        <v>6</v>
      </c>
      <c r="O120" s="274" t="s">
        <v>295</v>
      </c>
      <c r="P120" s="275">
        <v>50</v>
      </c>
      <c r="Q120" s="316" t="s">
        <v>918</v>
      </c>
      <c r="R120" s="276">
        <v>8</v>
      </c>
      <c r="S120" s="274" t="s">
        <v>295</v>
      </c>
      <c r="T120" s="275">
        <v>50</v>
      </c>
      <c r="U120" s="316" t="s">
        <v>839</v>
      </c>
      <c r="V120" s="276">
        <v>1</v>
      </c>
      <c r="W120" s="283"/>
      <c r="X120" s="284"/>
      <c r="Y120" s="286"/>
      <c r="Z120" s="285"/>
      <c r="AA120" s="219">
        <f t="shared" si="6"/>
        <v>15.530000000000001</v>
      </c>
    </row>
    <row r="121" spans="1:34" x14ac:dyDescent="0.2">
      <c r="A121" s="158">
        <v>6</v>
      </c>
      <c r="B121" s="159" t="s">
        <v>1094</v>
      </c>
      <c r="C121" s="280" t="s">
        <v>915</v>
      </c>
      <c r="D121" s="46">
        <v>7</v>
      </c>
      <c r="E121" s="287" t="s">
        <v>224</v>
      </c>
      <c r="F121" s="288">
        <v>2</v>
      </c>
      <c r="G121" s="280" t="s">
        <v>915</v>
      </c>
      <c r="H121" s="46">
        <v>7</v>
      </c>
      <c r="I121" s="228" t="s">
        <v>11</v>
      </c>
      <c r="J121" s="282">
        <v>0.2</v>
      </c>
      <c r="K121" s="159"/>
      <c r="L121" s="160"/>
      <c r="M121" s="161"/>
      <c r="N121" s="162"/>
      <c r="O121" s="159"/>
      <c r="P121" s="160"/>
      <c r="Q121" s="161"/>
      <c r="R121" s="162"/>
      <c r="S121" s="159"/>
      <c r="T121" s="160"/>
      <c r="U121" s="161"/>
      <c r="V121" s="162"/>
      <c r="W121" s="159"/>
      <c r="X121" s="160"/>
      <c r="Y121" s="161"/>
      <c r="Z121" s="162"/>
      <c r="AA121" s="219">
        <f t="shared" si="6"/>
        <v>2.2000000000000002</v>
      </c>
    </row>
    <row r="122" spans="1:34" x14ac:dyDescent="0.2">
      <c r="A122" s="158">
        <v>7</v>
      </c>
      <c r="B122" s="159" t="s">
        <v>1095</v>
      </c>
      <c r="C122" s="270" t="s">
        <v>295</v>
      </c>
      <c r="D122" s="271">
        <v>50</v>
      </c>
      <c r="E122" s="271" t="s">
        <v>300</v>
      </c>
      <c r="F122" s="289">
        <v>1.1000000000000001</v>
      </c>
      <c r="G122" s="160"/>
      <c r="H122" s="160"/>
      <c r="I122" s="214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9">
        <f t="shared" si="6"/>
        <v>1.1000000000000001</v>
      </c>
    </row>
    <row r="123" spans="1:34" x14ac:dyDescent="0.2">
      <c r="A123" s="158">
        <v>8</v>
      </c>
      <c r="B123" s="159" t="s">
        <v>1096</v>
      </c>
      <c r="C123" s="141" t="s">
        <v>295</v>
      </c>
      <c r="D123" s="43">
        <v>50</v>
      </c>
      <c r="E123" s="139" t="s">
        <v>725</v>
      </c>
      <c r="F123" s="140">
        <v>0.5</v>
      </c>
      <c r="G123" s="141" t="s">
        <v>295</v>
      </c>
      <c r="H123" s="43">
        <v>50</v>
      </c>
      <c r="I123" s="139" t="s">
        <v>1900</v>
      </c>
      <c r="J123" s="140">
        <v>0.2</v>
      </c>
      <c r="K123" s="159"/>
      <c r="L123" s="160"/>
      <c r="M123" s="161"/>
      <c r="N123" s="162"/>
      <c r="O123" s="159"/>
      <c r="P123" s="160"/>
      <c r="Q123" s="161"/>
      <c r="R123" s="162"/>
      <c r="S123" s="159"/>
      <c r="T123" s="160"/>
      <c r="U123" s="161"/>
      <c r="V123" s="162"/>
      <c r="W123" s="159"/>
      <c r="X123" s="160"/>
      <c r="Y123" s="161"/>
      <c r="Z123" s="162"/>
      <c r="AA123" s="219">
        <f t="shared" si="6"/>
        <v>0.7</v>
      </c>
    </row>
    <row r="124" spans="1:34" x14ac:dyDescent="0.2">
      <c r="A124" s="158">
        <v>9</v>
      </c>
      <c r="B124" s="159" t="s">
        <v>1097</v>
      </c>
      <c r="C124" s="274" t="s">
        <v>295</v>
      </c>
      <c r="D124" s="275">
        <v>50</v>
      </c>
      <c r="E124" s="275" t="s">
        <v>909</v>
      </c>
      <c r="F124" s="276">
        <v>0.33</v>
      </c>
      <c r="G124" s="274" t="s">
        <v>295</v>
      </c>
      <c r="H124" s="275">
        <v>50</v>
      </c>
      <c r="I124" s="277" t="s">
        <v>1892</v>
      </c>
      <c r="J124" s="278">
        <v>0.2</v>
      </c>
      <c r="K124" s="274" t="s">
        <v>295</v>
      </c>
      <c r="L124" s="275">
        <v>50</v>
      </c>
      <c r="M124" s="275" t="s">
        <v>1898</v>
      </c>
      <c r="N124" s="276">
        <v>0.18</v>
      </c>
      <c r="O124" s="159"/>
      <c r="P124" s="160"/>
      <c r="Q124" s="161"/>
      <c r="R124" s="162"/>
      <c r="S124" s="159"/>
      <c r="T124" s="160"/>
      <c r="U124" s="161"/>
      <c r="V124" s="162"/>
      <c r="W124" s="159"/>
      <c r="X124" s="160"/>
      <c r="Y124" s="161"/>
      <c r="Z124" s="162"/>
      <c r="AA124" s="219">
        <f t="shared" si="6"/>
        <v>0.71</v>
      </c>
    </row>
    <row r="125" spans="1:34" x14ac:dyDescent="0.2">
      <c r="A125" s="158">
        <v>10</v>
      </c>
      <c r="B125" s="159" t="s">
        <v>1098</v>
      </c>
      <c r="C125" s="274" t="s">
        <v>295</v>
      </c>
      <c r="D125" s="275">
        <v>50</v>
      </c>
      <c r="E125" s="316" t="s">
        <v>840</v>
      </c>
      <c r="F125" s="276">
        <v>6</v>
      </c>
      <c r="G125" s="274" t="s">
        <v>295</v>
      </c>
      <c r="H125" s="275">
        <v>50</v>
      </c>
      <c r="I125" s="316" t="s">
        <v>918</v>
      </c>
      <c r="J125" s="276">
        <v>8</v>
      </c>
      <c r="K125" s="159"/>
      <c r="L125" s="160"/>
      <c r="M125" s="160"/>
      <c r="N125" s="166"/>
      <c r="O125" s="159"/>
      <c r="P125" s="216"/>
      <c r="Q125" s="216"/>
      <c r="R125" s="216"/>
      <c r="S125" s="274" t="s">
        <v>295</v>
      </c>
      <c r="T125" s="275">
        <v>50</v>
      </c>
      <c r="U125" s="316" t="s">
        <v>839</v>
      </c>
      <c r="V125" s="276">
        <v>1</v>
      </c>
      <c r="W125" s="216"/>
      <c r="X125" s="216"/>
      <c r="Y125" s="216"/>
      <c r="Z125" s="216"/>
      <c r="AA125" s="219">
        <f t="shared" si="6"/>
        <v>15</v>
      </c>
    </row>
    <row r="126" spans="1:34" x14ac:dyDescent="0.2">
      <c r="A126" s="158">
        <v>11</v>
      </c>
      <c r="B126" s="159" t="s">
        <v>1099</v>
      </c>
      <c r="C126" s="292" t="s">
        <v>915</v>
      </c>
      <c r="D126" s="293">
        <v>10</v>
      </c>
      <c r="E126" s="293" t="s">
        <v>916</v>
      </c>
      <c r="F126" s="294">
        <v>2</v>
      </c>
      <c r="G126" s="292" t="s">
        <v>915</v>
      </c>
      <c r="H126" s="293">
        <v>10</v>
      </c>
      <c r="I126" s="317" t="s">
        <v>11</v>
      </c>
      <c r="J126" s="318">
        <v>0.2</v>
      </c>
      <c r="K126" s="159"/>
      <c r="L126" s="160"/>
      <c r="M126" s="160"/>
      <c r="N126" s="166"/>
      <c r="O126" s="159"/>
      <c r="P126" s="160"/>
      <c r="Q126" s="161"/>
      <c r="R126" s="162"/>
      <c r="S126" s="159"/>
      <c r="T126" s="160"/>
      <c r="U126" s="161"/>
      <c r="V126" s="162"/>
      <c r="W126" s="159"/>
      <c r="X126" s="160"/>
      <c r="Y126" s="161"/>
      <c r="Z126" s="162"/>
      <c r="AA126" s="219">
        <f t="shared" si="6"/>
        <v>2.2000000000000002</v>
      </c>
    </row>
    <row r="127" spans="1:34" x14ac:dyDescent="0.2">
      <c r="A127" s="158">
        <v>12</v>
      </c>
      <c r="B127" s="159" t="s">
        <v>1100</v>
      </c>
      <c r="C127" s="280" t="s">
        <v>1903</v>
      </c>
      <c r="D127" s="46">
        <v>7</v>
      </c>
      <c r="E127" s="287" t="s">
        <v>1910</v>
      </c>
      <c r="F127" s="319">
        <v>1.5</v>
      </c>
      <c r="G127" s="280" t="s">
        <v>1903</v>
      </c>
      <c r="H127" s="46">
        <v>7</v>
      </c>
      <c r="I127" s="228" t="s">
        <v>11</v>
      </c>
      <c r="J127" s="282">
        <v>0.2</v>
      </c>
      <c r="K127" s="159"/>
      <c r="L127" s="160"/>
      <c r="M127" s="161"/>
      <c r="N127" s="162"/>
      <c r="O127" s="159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9">
        <f t="shared" si="6"/>
        <v>1.7</v>
      </c>
    </row>
    <row r="128" spans="1:34" x14ac:dyDescent="0.2">
      <c r="A128" s="290">
        <v>13</v>
      </c>
      <c r="B128" s="291" t="s">
        <v>1101</v>
      </c>
      <c r="C128" s="270" t="s">
        <v>295</v>
      </c>
      <c r="D128" s="271">
        <v>50</v>
      </c>
      <c r="E128" s="272" t="s">
        <v>300</v>
      </c>
      <c r="F128" s="289">
        <v>1.1000000000000001</v>
      </c>
      <c r="G128" s="159"/>
      <c r="H128" s="160"/>
      <c r="I128" s="214"/>
      <c r="J128" s="220"/>
      <c r="K128" s="159"/>
      <c r="L128" s="160"/>
      <c r="M128" s="161"/>
      <c r="N128" s="162"/>
      <c r="O128" s="159"/>
      <c r="P128" s="160"/>
      <c r="Q128" s="161"/>
      <c r="R128" s="162"/>
      <c r="S128" s="159"/>
      <c r="T128" s="160"/>
      <c r="U128" s="161"/>
      <c r="V128" s="162"/>
      <c r="W128" s="159"/>
      <c r="X128" s="159"/>
      <c r="Y128" s="159"/>
      <c r="Z128" s="162"/>
      <c r="AA128" s="219">
        <f t="shared" si="6"/>
        <v>1.1000000000000001</v>
      </c>
    </row>
    <row r="129" spans="1:34" x14ac:dyDescent="0.2">
      <c r="A129" s="158">
        <v>14</v>
      </c>
      <c r="B129" s="159" t="s">
        <v>1102</v>
      </c>
      <c r="C129" s="270" t="s">
        <v>295</v>
      </c>
      <c r="D129" s="271">
        <v>50</v>
      </c>
      <c r="E129" s="271" t="s">
        <v>917</v>
      </c>
      <c r="F129" s="289">
        <v>1.25</v>
      </c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219">
        <f t="shared" si="6"/>
        <v>1.25</v>
      </c>
    </row>
    <row r="130" spans="1:34" x14ac:dyDescent="0.2">
      <c r="A130" s="158">
        <v>15</v>
      </c>
      <c r="B130" s="159" t="s">
        <v>1103</v>
      </c>
      <c r="C130" s="280" t="s">
        <v>1903</v>
      </c>
      <c r="D130" s="46">
        <v>7</v>
      </c>
      <c r="E130" s="287" t="s">
        <v>1912</v>
      </c>
      <c r="F130" s="319">
        <v>0.4</v>
      </c>
      <c r="G130" s="280" t="s">
        <v>1903</v>
      </c>
      <c r="H130" s="46">
        <v>7</v>
      </c>
      <c r="I130" s="228" t="s">
        <v>11</v>
      </c>
      <c r="J130" s="282">
        <v>0.2</v>
      </c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62"/>
      <c r="AA130" s="219">
        <f t="shared" si="6"/>
        <v>0.60000000000000009</v>
      </c>
    </row>
    <row r="131" spans="1:34" x14ac:dyDescent="0.2">
      <c r="A131" s="158">
        <v>16</v>
      </c>
      <c r="B131" s="159" t="s">
        <v>1104</v>
      </c>
      <c r="C131" s="159"/>
      <c r="D131" s="160"/>
      <c r="E131" s="160"/>
      <c r="F131" s="166"/>
      <c r="G131" s="159"/>
      <c r="H131" s="160"/>
      <c r="I131" s="214"/>
      <c r="J131" s="220"/>
      <c r="K131" s="159"/>
      <c r="L131" s="160"/>
      <c r="M131" s="160"/>
      <c r="N131" s="166"/>
      <c r="O131" s="159"/>
      <c r="P131" s="160"/>
      <c r="Q131" s="161"/>
      <c r="R131" s="162"/>
      <c r="S131" s="159"/>
      <c r="T131" s="160"/>
      <c r="U131" s="161"/>
      <c r="V131" s="162"/>
      <c r="W131" s="159"/>
      <c r="X131" s="160"/>
      <c r="Y131" s="161"/>
      <c r="Z131" s="162"/>
      <c r="AA131" s="219">
        <f t="shared" si="6"/>
        <v>0</v>
      </c>
    </row>
    <row r="132" spans="1:34" x14ac:dyDescent="0.2">
      <c r="A132" s="158">
        <v>17</v>
      </c>
      <c r="B132" s="159" t="s">
        <v>1105</v>
      </c>
      <c r="C132" s="159"/>
      <c r="D132" s="160"/>
      <c r="E132" s="160"/>
      <c r="F132" s="166"/>
      <c r="G132" s="159"/>
      <c r="H132" s="160"/>
      <c r="I132" s="214"/>
      <c r="J132" s="220"/>
      <c r="K132" s="159"/>
      <c r="L132" s="160"/>
      <c r="M132" s="160"/>
      <c r="N132" s="166"/>
      <c r="O132" s="159"/>
      <c r="P132" s="160"/>
      <c r="Q132" s="161"/>
      <c r="R132" s="162"/>
      <c r="S132" s="159"/>
      <c r="T132" s="160"/>
      <c r="U132" s="161"/>
      <c r="V132" s="162"/>
      <c r="W132" s="159"/>
      <c r="X132" s="160"/>
      <c r="Y132" s="161"/>
      <c r="Z132" s="162"/>
      <c r="AA132" s="219">
        <f t="shared" si="6"/>
        <v>0</v>
      </c>
    </row>
    <row r="133" spans="1:34" x14ac:dyDescent="0.2">
      <c r="A133" s="158">
        <v>18</v>
      </c>
      <c r="B133" s="159" t="s">
        <v>1106</v>
      </c>
      <c r="C133" s="159"/>
      <c r="D133" s="160"/>
      <c r="E133" s="160"/>
      <c r="F133" s="169"/>
      <c r="G133" s="159"/>
      <c r="H133" s="160"/>
      <c r="I133" s="214"/>
      <c r="J133" s="220"/>
      <c r="K133" s="159"/>
      <c r="L133" s="160"/>
      <c r="M133" s="160"/>
      <c r="N133" s="166"/>
      <c r="O133" s="159"/>
      <c r="P133" s="160"/>
      <c r="Q133" s="179"/>
      <c r="R133" s="180"/>
      <c r="S133" s="159"/>
      <c r="T133" s="160"/>
      <c r="U133" s="179"/>
      <c r="V133" s="180"/>
      <c r="W133" s="159"/>
      <c r="X133" s="160"/>
      <c r="Y133" s="179"/>
      <c r="Z133" s="180"/>
      <c r="AA133" s="219">
        <f t="shared" si="6"/>
        <v>0</v>
      </c>
      <c r="AB133" s="193" t="s">
        <v>974</v>
      </c>
    </row>
    <row r="134" spans="1:34" x14ac:dyDescent="0.2">
      <c r="A134" s="158">
        <v>19</v>
      </c>
      <c r="B134" s="159" t="s">
        <v>1107</v>
      </c>
      <c r="C134" s="159"/>
      <c r="D134" s="160"/>
      <c r="E134" s="160"/>
      <c r="F134" s="166"/>
      <c r="G134" s="159"/>
      <c r="H134" s="160"/>
      <c r="I134" s="214"/>
      <c r="J134" s="220"/>
      <c r="K134" s="159"/>
      <c r="L134" s="160"/>
      <c r="M134" s="160"/>
      <c r="N134" s="166"/>
      <c r="O134" s="159"/>
      <c r="P134" s="160"/>
      <c r="Q134" s="179"/>
      <c r="R134" s="180"/>
      <c r="S134" s="159"/>
      <c r="T134" s="160"/>
      <c r="U134" s="179"/>
      <c r="V134" s="180"/>
      <c r="W134" s="159"/>
      <c r="X134" s="160"/>
      <c r="Y134" s="179"/>
      <c r="Z134" s="180"/>
      <c r="AA134" s="219">
        <f t="shared" si="6"/>
        <v>0</v>
      </c>
    </row>
    <row r="135" spans="1:34" x14ac:dyDescent="0.2">
      <c r="A135" s="158">
        <v>20</v>
      </c>
      <c r="B135" s="159" t="s">
        <v>1108</v>
      </c>
      <c r="C135" s="159"/>
      <c r="D135" s="160"/>
      <c r="E135" s="160"/>
      <c r="F135" s="166"/>
      <c r="G135" s="159"/>
      <c r="H135" s="160"/>
      <c r="I135" s="214"/>
      <c r="J135" s="220"/>
      <c r="K135" s="159"/>
      <c r="L135" s="160"/>
      <c r="M135" s="160"/>
      <c r="N135" s="166"/>
      <c r="O135" s="159"/>
      <c r="P135" s="160"/>
      <c r="Q135" s="179"/>
      <c r="R135" s="180"/>
      <c r="S135" s="159"/>
      <c r="T135" s="160"/>
      <c r="U135" s="179"/>
      <c r="V135" s="180"/>
      <c r="W135" s="159"/>
      <c r="X135" s="160"/>
      <c r="Y135" s="179"/>
      <c r="Z135" s="180"/>
      <c r="AA135" s="219">
        <f t="shared" si="6"/>
        <v>0</v>
      </c>
    </row>
    <row r="136" spans="1:34" ht="13.5" thickBot="1" x14ac:dyDescent="0.25">
      <c r="B136" s="145" t="s">
        <v>987</v>
      </c>
      <c r="C136" s="147"/>
      <c r="D136" s="147"/>
      <c r="E136" s="147"/>
      <c r="F136" s="147"/>
      <c r="G136" s="147"/>
      <c r="H136" s="147"/>
      <c r="I136" s="199"/>
      <c r="J136" s="199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34" s="211" customFormat="1" ht="34.5" thickBot="1" x14ac:dyDescent="0.25">
      <c r="A137" s="148" t="s">
        <v>292</v>
      </c>
      <c r="B137" s="149" t="s">
        <v>293</v>
      </c>
      <c r="C137" s="150" t="s">
        <v>1195</v>
      </c>
      <c r="D137" s="151" t="s">
        <v>1203</v>
      </c>
      <c r="E137" s="152" t="s">
        <v>4</v>
      </c>
      <c r="F137" s="153" t="s">
        <v>1202</v>
      </c>
      <c r="G137" s="150" t="s">
        <v>1196</v>
      </c>
      <c r="H137" s="151" t="s">
        <v>1204</v>
      </c>
      <c r="I137" s="207" t="s">
        <v>5</v>
      </c>
      <c r="J137" s="205" t="s">
        <v>1209</v>
      </c>
      <c r="K137" s="150" t="s">
        <v>1197</v>
      </c>
      <c r="L137" s="151" t="s">
        <v>1205</v>
      </c>
      <c r="M137" s="152" t="s">
        <v>6</v>
      </c>
      <c r="N137" s="153" t="s">
        <v>1217</v>
      </c>
      <c r="O137" s="150" t="s">
        <v>1198</v>
      </c>
      <c r="P137" s="151" t="s">
        <v>1206</v>
      </c>
      <c r="Q137" s="152" t="s">
        <v>7</v>
      </c>
      <c r="R137" s="153" t="s">
        <v>963</v>
      </c>
      <c r="S137" s="150" t="s">
        <v>1199</v>
      </c>
      <c r="T137" s="151" t="s">
        <v>1207</v>
      </c>
      <c r="U137" s="154" t="s">
        <v>8</v>
      </c>
      <c r="V137" s="155" t="s">
        <v>921</v>
      </c>
      <c r="W137" s="150" t="s">
        <v>1200</v>
      </c>
      <c r="X137" s="151" t="s">
        <v>1208</v>
      </c>
      <c r="Y137" s="152" t="s">
        <v>13</v>
      </c>
      <c r="Z137" s="153" t="s">
        <v>1210</v>
      </c>
      <c r="AA137" s="210" t="s">
        <v>1201</v>
      </c>
      <c r="AB137" s="193"/>
      <c r="AC137" s="193"/>
      <c r="AD137" s="193"/>
      <c r="AE137" s="193"/>
      <c r="AF137" s="193"/>
      <c r="AG137" s="193"/>
      <c r="AH137" s="193"/>
    </row>
    <row r="138" spans="1:34" x14ac:dyDescent="0.2">
      <c r="A138" s="158">
        <v>1</v>
      </c>
      <c r="B138" s="159" t="s">
        <v>819</v>
      </c>
      <c r="C138" s="280" t="s">
        <v>915</v>
      </c>
      <c r="D138" s="46">
        <v>7</v>
      </c>
      <c r="E138" s="46" t="s">
        <v>910</v>
      </c>
      <c r="F138" s="288">
        <v>2</v>
      </c>
      <c r="G138" s="280" t="s">
        <v>915</v>
      </c>
      <c r="H138" s="46">
        <v>7</v>
      </c>
      <c r="I138" s="228" t="s">
        <v>507</v>
      </c>
      <c r="J138" s="282">
        <v>2</v>
      </c>
      <c r="K138" s="280" t="s">
        <v>915</v>
      </c>
      <c r="L138" s="46">
        <v>7</v>
      </c>
      <c r="M138" s="228" t="s">
        <v>11</v>
      </c>
      <c r="N138" s="282">
        <v>0.2</v>
      </c>
      <c r="O138" s="159"/>
      <c r="P138" s="160"/>
      <c r="Q138" s="161"/>
      <c r="R138" s="162"/>
      <c r="S138" s="159"/>
      <c r="T138" s="160"/>
      <c r="U138" s="161"/>
      <c r="V138" s="162"/>
      <c r="W138" s="159"/>
      <c r="X138" s="160"/>
      <c r="Y138" s="161"/>
      <c r="Z138" s="162"/>
      <c r="AA138" s="219">
        <f t="shared" ref="AA138:AA157" si="7">F138+J138+N138+R138+V138+Z138</f>
        <v>4.2</v>
      </c>
      <c r="AB138" s="193" t="s">
        <v>975</v>
      </c>
    </row>
    <row r="139" spans="1:34" x14ac:dyDescent="0.2">
      <c r="A139" s="158">
        <v>2</v>
      </c>
      <c r="B139" s="159" t="s">
        <v>820</v>
      </c>
      <c r="C139" s="274" t="s">
        <v>295</v>
      </c>
      <c r="D139" s="275">
        <v>50</v>
      </c>
      <c r="E139" s="275" t="s">
        <v>909</v>
      </c>
      <c r="F139" s="276">
        <v>0.33</v>
      </c>
      <c r="G139" s="274" t="s">
        <v>295</v>
      </c>
      <c r="H139" s="275">
        <v>50</v>
      </c>
      <c r="I139" s="277" t="s">
        <v>1892</v>
      </c>
      <c r="J139" s="278">
        <v>0.2</v>
      </c>
      <c r="K139" s="274" t="s">
        <v>295</v>
      </c>
      <c r="L139" s="275">
        <v>50</v>
      </c>
      <c r="M139" s="275" t="s">
        <v>1898</v>
      </c>
      <c r="N139" s="276">
        <v>0.18</v>
      </c>
      <c r="O139" s="159"/>
      <c r="P139" s="160"/>
      <c r="Q139" s="161"/>
      <c r="R139" s="162"/>
      <c r="S139" s="159"/>
      <c r="T139" s="160"/>
      <c r="U139" s="161"/>
      <c r="V139" s="162"/>
      <c r="W139" s="159"/>
      <c r="X139" s="160"/>
      <c r="Y139" s="161"/>
      <c r="Z139" s="162"/>
      <c r="AA139" s="219">
        <f t="shared" si="7"/>
        <v>0.71</v>
      </c>
    </row>
    <row r="140" spans="1:34" x14ac:dyDescent="0.2">
      <c r="A140" s="158">
        <v>3</v>
      </c>
      <c r="B140" s="159" t="s">
        <v>821</v>
      </c>
      <c r="C140" s="141" t="s">
        <v>295</v>
      </c>
      <c r="D140" s="43">
        <v>50</v>
      </c>
      <c r="E140" s="43" t="s">
        <v>1899</v>
      </c>
      <c r="F140" s="279">
        <v>0.64</v>
      </c>
      <c r="G140" s="159"/>
      <c r="H140" s="160"/>
      <c r="I140" s="214"/>
      <c r="J140" s="220"/>
      <c r="K140" s="159"/>
      <c r="L140" s="160"/>
      <c r="M140" s="161"/>
      <c r="N140" s="162"/>
      <c r="O140" s="159"/>
      <c r="P140" s="160"/>
      <c r="Q140" s="161"/>
      <c r="R140" s="162"/>
      <c r="S140" s="159"/>
      <c r="T140" s="160"/>
      <c r="U140" s="161"/>
      <c r="V140" s="162"/>
      <c r="W140" s="159"/>
      <c r="X140" s="160"/>
      <c r="Y140" s="161"/>
      <c r="Z140" s="162"/>
      <c r="AA140" s="219">
        <f t="shared" si="7"/>
        <v>0.64</v>
      </c>
    </row>
    <row r="141" spans="1:34" x14ac:dyDescent="0.2">
      <c r="A141" s="158">
        <v>4</v>
      </c>
      <c r="B141" s="159" t="s">
        <v>822</v>
      </c>
      <c r="C141" s="274" t="s">
        <v>295</v>
      </c>
      <c r="D141" s="275">
        <v>50</v>
      </c>
      <c r="E141" s="275" t="s">
        <v>909</v>
      </c>
      <c r="F141" s="276">
        <v>0.33</v>
      </c>
      <c r="G141" s="274" t="s">
        <v>295</v>
      </c>
      <c r="H141" s="275">
        <v>50</v>
      </c>
      <c r="I141" s="277" t="s">
        <v>1892</v>
      </c>
      <c r="J141" s="278">
        <v>0.2</v>
      </c>
      <c r="K141" s="274" t="s">
        <v>295</v>
      </c>
      <c r="L141" s="275">
        <v>50</v>
      </c>
      <c r="M141" s="316" t="s">
        <v>840</v>
      </c>
      <c r="N141" s="276">
        <v>6</v>
      </c>
      <c r="O141" s="274" t="s">
        <v>295</v>
      </c>
      <c r="P141" s="275">
        <v>50</v>
      </c>
      <c r="Q141" s="316" t="s">
        <v>918</v>
      </c>
      <c r="R141" s="276">
        <v>8</v>
      </c>
      <c r="S141" s="274" t="s">
        <v>295</v>
      </c>
      <c r="T141" s="275">
        <v>50</v>
      </c>
      <c r="U141" s="316" t="s">
        <v>839</v>
      </c>
      <c r="V141" s="276">
        <v>1</v>
      </c>
      <c r="W141" s="283"/>
      <c r="X141" s="284"/>
      <c r="Y141" s="286"/>
      <c r="Z141" s="285"/>
      <c r="AA141" s="219">
        <f t="shared" si="7"/>
        <v>15.530000000000001</v>
      </c>
    </row>
    <row r="142" spans="1:34" x14ac:dyDescent="0.2">
      <c r="A142" s="158">
        <v>5</v>
      </c>
      <c r="B142" s="159" t="s">
        <v>823</v>
      </c>
      <c r="C142" s="280" t="s">
        <v>915</v>
      </c>
      <c r="D142" s="46">
        <v>7</v>
      </c>
      <c r="E142" s="287" t="s">
        <v>224</v>
      </c>
      <c r="F142" s="288">
        <v>2</v>
      </c>
      <c r="G142" s="280" t="s">
        <v>915</v>
      </c>
      <c r="H142" s="46">
        <v>7</v>
      </c>
      <c r="I142" s="228" t="s">
        <v>11</v>
      </c>
      <c r="J142" s="282">
        <v>0.2</v>
      </c>
      <c r="K142" s="159"/>
      <c r="L142" s="160"/>
      <c r="M142" s="161"/>
      <c r="N142" s="162"/>
      <c r="O142" s="159"/>
      <c r="P142" s="160"/>
      <c r="Q142" s="161"/>
      <c r="R142" s="162"/>
      <c r="S142" s="159"/>
      <c r="T142" s="160"/>
      <c r="U142" s="161"/>
      <c r="V142" s="162"/>
      <c r="W142" s="159"/>
      <c r="X142" s="160"/>
      <c r="Y142" s="161"/>
      <c r="Z142" s="162"/>
      <c r="AA142" s="219">
        <f t="shared" si="7"/>
        <v>2.2000000000000002</v>
      </c>
    </row>
    <row r="143" spans="1:34" x14ac:dyDescent="0.2">
      <c r="A143" s="158">
        <v>6</v>
      </c>
      <c r="B143" s="159" t="s">
        <v>824</v>
      </c>
      <c r="C143" s="270" t="s">
        <v>295</v>
      </c>
      <c r="D143" s="271">
        <v>50</v>
      </c>
      <c r="E143" s="271" t="s">
        <v>300</v>
      </c>
      <c r="F143" s="289">
        <v>1.1000000000000001</v>
      </c>
      <c r="G143" s="160"/>
      <c r="H143" s="160"/>
      <c r="I143" s="214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9">
        <f t="shared" si="7"/>
        <v>1.1000000000000001</v>
      </c>
    </row>
    <row r="144" spans="1:34" x14ac:dyDescent="0.2">
      <c r="A144" s="158">
        <v>7</v>
      </c>
      <c r="B144" s="159" t="s">
        <v>825</v>
      </c>
      <c r="C144" s="141" t="s">
        <v>295</v>
      </c>
      <c r="D144" s="43">
        <v>50</v>
      </c>
      <c r="E144" s="139" t="s">
        <v>725</v>
      </c>
      <c r="F144" s="140">
        <v>0.5</v>
      </c>
      <c r="G144" s="141" t="s">
        <v>295</v>
      </c>
      <c r="H144" s="43">
        <v>50</v>
      </c>
      <c r="I144" s="139" t="s">
        <v>1900</v>
      </c>
      <c r="J144" s="140">
        <v>0.2</v>
      </c>
      <c r="K144" s="159"/>
      <c r="L144" s="160"/>
      <c r="M144" s="161"/>
      <c r="N144" s="162"/>
      <c r="O144" s="159"/>
      <c r="P144" s="160"/>
      <c r="Q144" s="161"/>
      <c r="R144" s="162"/>
      <c r="S144" s="159"/>
      <c r="T144" s="160"/>
      <c r="U144" s="161"/>
      <c r="V144" s="162"/>
      <c r="W144" s="159"/>
      <c r="X144" s="160"/>
      <c r="Y144" s="161"/>
      <c r="Z144" s="162"/>
      <c r="AA144" s="219">
        <f t="shared" si="7"/>
        <v>0.7</v>
      </c>
    </row>
    <row r="145" spans="1:34" x14ac:dyDescent="0.2">
      <c r="A145" s="158">
        <v>8</v>
      </c>
      <c r="B145" s="159" t="s">
        <v>826</v>
      </c>
      <c r="C145" s="274" t="s">
        <v>295</v>
      </c>
      <c r="D145" s="275">
        <v>50</v>
      </c>
      <c r="E145" s="275" t="s">
        <v>909</v>
      </c>
      <c r="F145" s="276">
        <v>0.33</v>
      </c>
      <c r="G145" s="274" t="s">
        <v>295</v>
      </c>
      <c r="H145" s="275">
        <v>50</v>
      </c>
      <c r="I145" s="277" t="s">
        <v>1892</v>
      </c>
      <c r="J145" s="278">
        <v>0.2</v>
      </c>
      <c r="K145" s="274" t="s">
        <v>295</v>
      </c>
      <c r="L145" s="275">
        <v>50</v>
      </c>
      <c r="M145" s="275" t="s">
        <v>1898</v>
      </c>
      <c r="N145" s="276">
        <v>0.18</v>
      </c>
      <c r="O145" s="159"/>
      <c r="P145" s="160"/>
      <c r="Q145" s="161"/>
      <c r="R145" s="162"/>
      <c r="S145" s="159"/>
      <c r="T145" s="160"/>
      <c r="U145" s="161"/>
      <c r="V145" s="162"/>
      <c r="W145" s="159"/>
      <c r="X145" s="160"/>
      <c r="Y145" s="161"/>
      <c r="Z145" s="162"/>
      <c r="AA145" s="219">
        <f t="shared" si="7"/>
        <v>0.71</v>
      </c>
    </row>
    <row r="146" spans="1:34" x14ac:dyDescent="0.2">
      <c r="A146" s="158">
        <v>9</v>
      </c>
      <c r="B146" s="159" t="s">
        <v>827</v>
      </c>
      <c r="C146" s="274" t="s">
        <v>295</v>
      </c>
      <c r="D146" s="275">
        <v>50</v>
      </c>
      <c r="E146" s="316" t="s">
        <v>840</v>
      </c>
      <c r="F146" s="276">
        <v>6</v>
      </c>
      <c r="G146" s="274" t="s">
        <v>295</v>
      </c>
      <c r="H146" s="275">
        <v>50</v>
      </c>
      <c r="I146" s="316" t="s">
        <v>918</v>
      </c>
      <c r="J146" s="276">
        <v>8</v>
      </c>
      <c r="K146" s="159"/>
      <c r="L146" s="160"/>
      <c r="M146" s="160"/>
      <c r="N146" s="166"/>
      <c r="O146" s="159"/>
      <c r="P146" s="160"/>
      <c r="Q146" s="161"/>
      <c r="R146" s="162"/>
      <c r="S146" s="274" t="s">
        <v>295</v>
      </c>
      <c r="T146" s="275">
        <v>50</v>
      </c>
      <c r="U146" s="316" t="s">
        <v>839</v>
      </c>
      <c r="V146" s="276">
        <v>1</v>
      </c>
      <c r="W146" s="159"/>
      <c r="X146" s="160"/>
      <c r="Y146" s="161"/>
      <c r="Z146" s="162"/>
      <c r="AA146" s="219">
        <f t="shared" si="7"/>
        <v>15</v>
      </c>
    </row>
    <row r="147" spans="1:34" x14ac:dyDescent="0.2">
      <c r="A147" s="158">
        <v>10</v>
      </c>
      <c r="B147" s="159" t="s">
        <v>828</v>
      </c>
      <c r="C147" s="292" t="s">
        <v>915</v>
      </c>
      <c r="D147" s="293">
        <v>10</v>
      </c>
      <c r="E147" s="293" t="s">
        <v>916</v>
      </c>
      <c r="F147" s="294">
        <v>2</v>
      </c>
      <c r="G147" s="292" t="s">
        <v>915</v>
      </c>
      <c r="H147" s="293">
        <v>10</v>
      </c>
      <c r="I147" s="317" t="s">
        <v>11</v>
      </c>
      <c r="J147" s="318">
        <v>0.2</v>
      </c>
      <c r="K147" s="159"/>
      <c r="L147" s="160"/>
      <c r="M147" s="160"/>
      <c r="N147" s="166"/>
      <c r="O147" s="159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9">
        <f t="shared" si="7"/>
        <v>2.2000000000000002</v>
      </c>
    </row>
    <row r="148" spans="1:34" x14ac:dyDescent="0.2">
      <c r="A148" s="290">
        <v>11</v>
      </c>
      <c r="B148" s="291" t="s">
        <v>829</v>
      </c>
      <c r="C148" s="280" t="s">
        <v>1903</v>
      </c>
      <c r="D148" s="46">
        <v>7</v>
      </c>
      <c r="E148" s="287" t="s">
        <v>1910</v>
      </c>
      <c r="F148" s="319">
        <v>1.5</v>
      </c>
      <c r="G148" s="280" t="s">
        <v>1903</v>
      </c>
      <c r="H148" s="46">
        <v>7</v>
      </c>
      <c r="I148" s="228" t="s">
        <v>11</v>
      </c>
      <c r="J148" s="282">
        <v>0.2</v>
      </c>
      <c r="K148" s="159"/>
      <c r="L148" s="160"/>
      <c r="M148" s="161"/>
      <c r="N148" s="162"/>
      <c r="O148" s="159"/>
      <c r="P148" s="159"/>
      <c r="Q148" s="159"/>
      <c r="R148" s="159"/>
      <c r="S148" s="159"/>
      <c r="T148" s="159"/>
      <c r="U148" s="159"/>
      <c r="V148" s="159"/>
      <c r="W148" s="159"/>
      <c r="X148" s="160"/>
      <c r="Y148" s="161"/>
      <c r="Z148" s="162"/>
      <c r="AA148" s="219">
        <f t="shared" si="7"/>
        <v>1.7</v>
      </c>
    </row>
    <row r="149" spans="1:34" x14ac:dyDescent="0.2">
      <c r="A149" s="158">
        <v>12</v>
      </c>
      <c r="B149" s="159" t="s">
        <v>830</v>
      </c>
      <c r="C149" s="270" t="s">
        <v>295</v>
      </c>
      <c r="D149" s="271">
        <v>50</v>
      </c>
      <c r="E149" s="271" t="s">
        <v>300</v>
      </c>
      <c r="F149" s="289">
        <v>1.1000000000000001</v>
      </c>
      <c r="G149" s="160"/>
      <c r="H149" s="160"/>
      <c r="I149" s="214"/>
      <c r="J149" s="220"/>
      <c r="K149" s="159"/>
      <c r="L149" s="160"/>
      <c r="M149" s="160"/>
      <c r="N149" s="166"/>
      <c r="O149" s="159"/>
      <c r="P149" s="160"/>
      <c r="Q149" s="161"/>
      <c r="R149" s="162"/>
      <c r="S149" s="159"/>
      <c r="T149" s="160"/>
      <c r="U149" s="161"/>
      <c r="V149" s="162"/>
      <c r="W149" s="159"/>
      <c r="X149" s="160"/>
      <c r="Y149" s="161"/>
      <c r="Z149" s="162"/>
      <c r="AA149" s="219">
        <f>F149+J149+N149+R149+V149+Z149</f>
        <v>1.1000000000000001</v>
      </c>
    </row>
    <row r="150" spans="1:34" x14ac:dyDescent="0.2">
      <c r="A150" s="158">
        <v>13</v>
      </c>
      <c r="B150" s="159" t="s">
        <v>831</v>
      </c>
      <c r="C150" s="280" t="s">
        <v>1903</v>
      </c>
      <c r="D150" s="46">
        <v>7</v>
      </c>
      <c r="E150" s="287" t="s">
        <v>1912</v>
      </c>
      <c r="F150" s="319">
        <v>0.4</v>
      </c>
      <c r="G150" s="280" t="s">
        <v>1903</v>
      </c>
      <c r="H150" s="46">
        <v>7</v>
      </c>
      <c r="I150" s="228" t="s">
        <v>11</v>
      </c>
      <c r="J150" s="282">
        <v>0.2</v>
      </c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60"/>
      <c r="Y150" s="161"/>
      <c r="Z150" s="162"/>
      <c r="AA150" s="219">
        <f>F150+J150+N150+R150+V150+Z150</f>
        <v>0.60000000000000009</v>
      </c>
    </row>
    <row r="151" spans="1:34" x14ac:dyDescent="0.2">
      <c r="A151" s="158">
        <v>14</v>
      </c>
      <c r="B151" s="159" t="s">
        <v>832</v>
      </c>
      <c r="C151" s="159"/>
      <c r="D151" s="160"/>
      <c r="E151" s="160"/>
      <c r="F151" s="166"/>
      <c r="G151" s="160"/>
      <c r="H151" s="160"/>
      <c r="I151" s="214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9">
        <f t="shared" si="7"/>
        <v>0</v>
      </c>
    </row>
    <row r="152" spans="1:34" x14ac:dyDescent="0.2">
      <c r="A152" s="158">
        <v>15</v>
      </c>
      <c r="B152" s="159" t="s">
        <v>833</v>
      </c>
      <c r="C152" s="159"/>
      <c r="D152" s="160"/>
      <c r="E152" s="160"/>
      <c r="F152" s="166"/>
      <c r="G152" s="160"/>
      <c r="H152" s="160"/>
      <c r="I152" s="214"/>
      <c r="J152" s="216"/>
      <c r="K152" s="216"/>
      <c r="L152" s="216"/>
      <c r="M152" s="160"/>
      <c r="N152" s="166"/>
      <c r="O152" s="159"/>
      <c r="P152" s="160"/>
      <c r="Q152" s="161"/>
      <c r="R152" s="162"/>
      <c r="S152" s="159"/>
      <c r="T152" s="160"/>
      <c r="U152" s="161"/>
      <c r="V152" s="162"/>
      <c r="W152" s="159"/>
      <c r="X152" s="160"/>
      <c r="Y152" s="161"/>
      <c r="Z152" s="162"/>
      <c r="AA152" s="219">
        <f t="shared" si="7"/>
        <v>0</v>
      </c>
    </row>
    <row r="153" spans="1:34" x14ac:dyDescent="0.2">
      <c r="A153" s="158">
        <v>16</v>
      </c>
      <c r="B153" s="159" t="s">
        <v>834</v>
      </c>
      <c r="C153" s="159"/>
      <c r="D153" s="160"/>
      <c r="E153" s="160"/>
      <c r="F153" s="166"/>
      <c r="G153" s="159"/>
      <c r="H153" s="160"/>
      <c r="I153" s="214"/>
      <c r="J153" s="220"/>
      <c r="K153" s="159"/>
      <c r="L153" s="160"/>
      <c r="M153" s="160"/>
      <c r="N153" s="166"/>
      <c r="O153" s="159"/>
      <c r="P153" s="160"/>
      <c r="Q153" s="179"/>
      <c r="R153" s="180"/>
      <c r="S153" s="159"/>
      <c r="T153" s="160"/>
      <c r="U153" s="179"/>
      <c r="V153" s="180"/>
      <c r="W153" s="159"/>
      <c r="X153" s="160"/>
      <c r="Y153" s="179"/>
      <c r="Z153" s="180"/>
      <c r="AA153" s="219">
        <f t="shared" si="7"/>
        <v>0</v>
      </c>
    </row>
    <row r="154" spans="1:34" x14ac:dyDescent="0.2">
      <c r="A154" s="158">
        <v>17</v>
      </c>
      <c r="B154" s="159" t="s">
        <v>835</v>
      </c>
      <c r="C154" s="159"/>
      <c r="D154" s="160"/>
      <c r="E154" s="160"/>
      <c r="F154" s="175"/>
      <c r="G154" s="159"/>
      <c r="H154" s="160"/>
      <c r="I154" s="214"/>
      <c r="J154" s="220"/>
      <c r="K154" s="159"/>
      <c r="L154" s="160"/>
      <c r="M154" s="160"/>
      <c r="N154" s="166"/>
      <c r="O154" s="159"/>
      <c r="P154" s="160"/>
      <c r="Q154" s="179"/>
      <c r="R154" s="180"/>
      <c r="S154" s="159"/>
      <c r="T154" s="160"/>
      <c r="U154" s="179"/>
      <c r="V154" s="180"/>
      <c r="W154" s="159"/>
      <c r="X154" s="160"/>
      <c r="Y154" s="179"/>
      <c r="Z154" s="180"/>
      <c r="AA154" s="219">
        <f t="shared" si="7"/>
        <v>0</v>
      </c>
    </row>
    <row r="155" spans="1:34" x14ac:dyDescent="0.2">
      <c r="A155" s="158">
        <v>18</v>
      </c>
      <c r="B155" s="159" t="s">
        <v>836</v>
      </c>
      <c r="C155" s="159"/>
      <c r="D155" s="160"/>
      <c r="E155" s="160"/>
      <c r="F155" s="166"/>
      <c r="G155" s="159"/>
      <c r="H155" s="160"/>
      <c r="I155" s="214"/>
      <c r="J155" s="220"/>
      <c r="K155" s="159"/>
      <c r="L155" s="160"/>
      <c r="M155" s="160"/>
      <c r="N155" s="166"/>
      <c r="O155" s="159"/>
      <c r="P155" s="160"/>
      <c r="Q155" s="179"/>
      <c r="R155" s="180"/>
      <c r="S155" s="159"/>
      <c r="T155" s="160"/>
      <c r="U155" s="179"/>
      <c r="V155" s="180"/>
      <c r="W155" s="159"/>
      <c r="X155" s="160"/>
      <c r="Y155" s="179"/>
      <c r="Z155" s="180"/>
      <c r="AA155" s="219">
        <f t="shared" si="7"/>
        <v>0</v>
      </c>
    </row>
    <row r="156" spans="1:34" x14ac:dyDescent="0.2">
      <c r="A156" s="158">
        <v>19</v>
      </c>
      <c r="B156" s="159" t="s">
        <v>837</v>
      </c>
      <c r="C156" s="159"/>
      <c r="D156" s="160"/>
      <c r="E156" s="160"/>
      <c r="F156" s="166"/>
      <c r="G156" s="159"/>
      <c r="H156" s="160"/>
      <c r="I156" s="214"/>
      <c r="J156" s="220"/>
      <c r="K156" s="159"/>
      <c r="L156" s="160"/>
      <c r="M156" s="160"/>
      <c r="N156" s="166"/>
      <c r="O156" s="159"/>
      <c r="P156" s="160"/>
      <c r="Q156" s="179"/>
      <c r="R156" s="180"/>
      <c r="S156" s="159"/>
      <c r="T156" s="160"/>
      <c r="U156" s="179"/>
      <c r="V156" s="180"/>
      <c r="W156" s="159"/>
      <c r="X156" s="160"/>
      <c r="Y156" s="179"/>
      <c r="Z156" s="180"/>
      <c r="AA156" s="219">
        <f t="shared" si="7"/>
        <v>0</v>
      </c>
    </row>
    <row r="157" spans="1:34" x14ac:dyDescent="0.2">
      <c r="A157" s="158">
        <v>20</v>
      </c>
      <c r="B157" s="159" t="s">
        <v>838</v>
      </c>
      <c r="C157" s="159"/>
      <c r="D157" s="160"/>
      <c r="E157" s="160"/>
      <c r="F157" s="166"/>
      <c r="G157" s="159"/>
      <c r="H157" s="160"/>
      <c r="I157" s="214"/>
      <c r="J157" s="220"/>
      <c r="K157" s="159"/>
      <c r="L157" s="160"/>
      <c r="M157" s="160"/>
      <c r="N157" s="166"/>
      <c r="O157" s="159"/>
      <c r="P157" s="160"/>
      <c r="Q157" s="179"/>
      <c r="R157" s="180"/>
      <c r="S157" s="159"/>
      <c r="T157" s="160"/>
      <c r="U157" s="179"/>
      <c r="V157" s="180"/>
      <c r="W157" s="159"/>
      <c r="X157" s="160"/>
      <c r="Y157" s="179"/>
      <c r="Z157" s="180"/>
      <c r="AA157" s="219">
        <f t="shared" si="7"/>
        <v>0</v>
      </c>
    </row>
    <row r="158" spans="1:34" ht="13.5" hidden="1" thickBot="1" x14ac:dyDescent="0.25">
      <c r="B158" s="145" t="s">
        <v>988</v>
      </c>
      <c r="C158" s="147"/>
      <c r="D158" s="147"/>
      <c r="E158" s="147"/>
      <c r="F158" s="147"/>
      <c r="G158" s="147"/>
      <c r="H158" s="147"/>
      <c r="I158" s="199"/>
      <c r="J158" s="199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34" s="211" customFormat="1" ht="34.5" hidden="1" thickBot="1" x14ac:dyDescent="0.25">
      <c r="A159" s="148" t="s">
        <v>292</v>
      </c>
      <c r="B159" s="149" t="s">
        <v>293</v>
      </c>
      <c r="C159" s="150" t="s">
        <v>1195</v>
      </c>
      <c r="D159" s="151" t="s">
        <v>1203</v>
      </c>
      <c r="E159" s="152" t="s">
        <v>4</v>
      </c>
      <c r="F159" s="153" t="s">
        <v>1202</v>
      </c>
      <c r="G159" s="150" t="s">
        <v>1196</v>
      </c>
      <c r="H159" s="151" t="s">
        <v>1204</v>
      </c>
      <c r="I159" s="207" t="s">
        <v>5</v>
      </c>
      <c r="J159" s="205" t="s">
        <v>1209</v>
      </c>
      <c r="K159" s="150" t="s">
        <v>1197</v>
      </c>
      <c r="L159" s="151" t="s">
        <v>1205</v>
      </c>
      <c r="M159" s="152" t="s">
        <v>6</v>
      </c>
      <c r="N159" s="153" t="s">
        <v>1217</v>
      </c>
      <c r="O159" s="150" t="s">
        <v>1198</v>
      </c>
      <c r="P159" s="151" t="s">
        <v>1206</v>
      </c>
      <c r="Q159" s="152" t="s">
        <v>7</v>
      </c>
      <c r="R159" s="153" t="s">
        <v>963</v>
      </c>
      <c r="S159" s="150" t="s">
        <v>1199</v>
      </c>
      <c r="T159" s="151" t="s">
        <v>1207</v>
      </c>
      <c r="U159" s="154" t="s">
        <v>8</v>
      </c>
      <c r="V159" s="155" t="s">
        <v>921</v>
      </c>
      <c r="W159" s="150" t="s">
        <v>1200</v>
      </c>
      <c r="X159" s="151" t="s">
        <v>1208</v>
      </c>
      <c r="Y159" s="152" t="s">
        <v>13</v>
      </c>
      <c r="Z159" s="153" t="s">
        <v>1210</v>
      </c>
      <c r="AA159" s="210" t="s">
        <v>1201</v>
      </c>
      <c r="AB159" s="193"/>
      <c r="AC159" s="193"/>
      <c r="AD159" s="193"/>
      <c r="AE159" s="193"/>
      <c r="AF159" s="193"/>
      <c r="AG159" s="193"/>
      <c r="AH159" s="193"/>
    </row>
    <row r="160" spans="1:34" hidden="1" x14ac:dyDescent="0.2">
      <c r="A160" s="158">
        <v>1</v>
      </c>
      <c r="B160" s="159" t="s">
        <v>989</v>
      </c>
      <c r="C160" s="159" t="s">
        <v>915</v>
      </c>
      <c r="D160" s="160">
        <v>7</v>
      </c>
      <c r="E160" s="160" t="s">
        <v>910</v>
      </c>
      <c r="F160" s="162">
        <v>2</v>
      </c>
      <c r="G160" s="159" t="s">
        <v>915</v>
      </c>
      <c r="H160" s="160">
        <v>7</v>
      </c>
      <c r="I160" s="215" t="s">
        <v>507</v>
      </c>
      <c r="J160" s="216">
        <v>2</v>
      </c>
      <c r="K160" s="159" t="s">
        <v>915</v>
      </c>
      <c r="L160" s="160">
        <v>7</v>
      </c>
      <c r="M160" s="161"/>
      <c r="N160" s="162"/>
      <c r="O160" s="159" t="s">
        <v>915</v>
      </c>
      <c r="P160" s="160">
        <v>7</v>
      </c>
      <c r="Q160" s="179"/>
      <c r="R160" s="180"/>
      <c r="S160" s="159" t="s">
        <v>915</v>
      </c>
      <c r="T160" s="160">
        <v>7</v>
      </c>
      <c r="U160" s="179"/>
      <c r="V160" s="180"/>
      <c r="W160" s="159" t="s">
        <v>915</v>
      </c>
      <c r="X160" s="160">
        <v>7</v>
      </c>
      <c r="Y160" s="179"/>
      <c r="Z160" s="180"/>
      <c r="AA160" s="219">
        <f t="shared" ref="AA160:AA179" si="8">F160+J160+N160+R160+V160+Z160</f>
        <v>4</v>
      </c>
      <c r="AB160" s="193" t="s">
        <v>975</v>
      </c>
    </row>
    <row r="161" spans="1:29" hidden="1" x14ac:dyDescent="0.2">
      <c r="A161" s="158">
        <v>2</v>
      </c>
      <c r="B161" s="159" t="s">
        <v>990</v>
      </c>
      <c r="C161" s="159" t="s">
        <v>295</v>
      </c>
      <c r="D161" s="160">
        <v>50</v>
      </c>
      <c r="E161" s="160" t="s">
        <v>909</v>
      </c>
      <c r="F161" s="162">
        <v>0.33</v>
      </c>
      <c r="G161" s="159" t="s">
        <v>295</v>
      </c>
      <c r="H161" s="160">
        <v>50</v>
      </c>
      <c r="I161" s="215" t="s">
        <v>1876</v>
      </c>
      <c r="J161" s="220">
        <v>0.2</v>
      </c>
      <c r="K161" s="159" t="s">
        <v>295</v>
      </c>
      <c r="L161" s="160">
        <v>50</v>
      </c>
      <c r="M161" s="161" t="s">
        <v>840</v>
      </c>
      <c r="N161" s="162">
        <v>6</v>
      </c>
      <c r="O161" s="159" t="s">
        <v>295</v>
      </c>
      <c r="P161" s="160">
        <v>50</v>
      </c>
      <c r="Q161" s="179" t="s">
        <v>918</v>
      </c>
      <c r="R161" s="180">
        <v>8</v>
      </c>
      <c r="S161" s="159" t="s">
        <v>295</v>
      </c>
      <c r="T161" s="160">
        <v>50</v>
      </c>
      <c r="U161" s="179" t="s">
        <v>839</v>
      </c>
      <c r="V161" s="180">
        <v>1</v>
      </c>
      <c r="W161" s="159" t="s">
        <v>295</v>
      </c>
      <c r="X161" s="160">
        <v>50</v>
      </c>
      <c r="Y161" s="179"/>
      <c r="Z161" s="180"/>
      <c r="AA161" s="219">
        <f t="shared" si="8"/>
        <v>15.530000000000001</v>
      </c>
    </row>
    <row r="162" spans="1:29" hidden="1" x14ac:dyDescent="0.2">
      <c r="A162" s="158">
        <v>3</v>
      </c>
      <c r="B162" s="159" t="s">
        <v>991</v>
      </c>
      <c r="C162" s="159" t="s">
        <v>915</v>
      </c>
      <c r="D162" s="160">
        <v>10</v>
      </c>
      <c r="E162" s="161" t="s">
        <v>916</v>
      </c>
      <c r="F162" s="162">
        <v>2</v>
      </c>
      <c r="G162" s="159" t="s">
        <v>915</v>
      </c>
      <c r="H162" s="160">
        <v>10</v>
      </c>
      <c r="I162" s="215"/>
      <c r="J162" s="220"/>
      <c r="K162" s="159" t="s">
        <v>915</v>
      </c>
      <c r="L162" s="160">
        <v>10</v>
      </c>
      <c r="M162" s="161"/>
      <c r="N162" s="162"/>
      <c r="O162" s="159" t="s">
        <v>915</v>
      </c>
      <c r="P162" s="160">
        <v>10</v>
      </c>
      <c r="Q162" s="179"/>
      <c r="R162" s="180"/>
      <c r="S162" s="159" t="s">
        <v>915</v>
      </c>
      <c r="T162" s="160">
        <v>10</v>
      </c>
      <c r="U162" s="179" t="s">
        <v>839</v>
      </c>
      <c r="V162" s="180">
        <v>1</v>
      </c>
      <c r="W162" s="159" t="s">
        <v>915</v>
      </c>
      <c r="X162" s="160">
        <v>10</v>
      </c>
      <c r="Y162" s="179"/>
      <c r="Z162" s="180"/>
      <c r="AA162" s="219">
        <f t="shared" si="8"/>
        <v>3</v>
      </c>
    </row>
    <row r="163" spans="1:29" hidden="1" x14ac:dyDescent="0.2">
      <c r="A163" s="158">
        <v>4</v>
      </c>
      <c r="B163" s="159" t="s">
        <v>992</v>
      </c>
      <c r="C163" s="159" t="s">
        <v>915</v>
      </c>
      <c r="D163" s="160">
        <v>15</v>
      </c>
      <c r="E163" s="160" t="s">
        <v>224</v>
      </c>
      <c r="F163" s="166">
        <v>2</v>
      </c>
      <c r="G163" s="159" t="s">
        <v>915</v>
      </c>
      <c r="H163" s="160">
        <v>15</v>
      </c>
      <c r="I163" s="215"/>
      <c r="J163" s="216"/>
      <c r="K163" s="159" t="s">
        <v>915</v>
      </c>
      <c r="L163" s="160">
        <v>15</v>
      </c>
      <c r="M163" s="161"/>
      <c r="N163" s="162"/>
      <c r="O163" s="159" t="s">
        <v>915</v>
      </c>
      <c r="P163" s="160">
        <v>15</v>
      </c>
      <c r="Q163" s="179"/>
      <c r="R163" s="180"/>
      <c r="S163" s="159" t="s">
        <v>915</v>
      </c>
      <c r="T163" s="160">
        <v>15</v>
      </c>
      <c r="U163" s="179"/>
      <c r="V163" s="180"/>
      <c r="W163" s="159" t="s">
        <v>915</v>
      </c>
      <c r="X163" s="160">
        <v>15</v>
      </c>
      <c r="Y163" s="179"/>
      <c r="Z163" s="180"/>
      <c r="AA163" s="219">
        <f t="shared" si="8"/>
        <v>2</v>
      </c>
    </row>
    <row r="164" spans="1:29" hidden="1" x14ac:dyDescent="0.2">
      <c r="A164" s="158">
        <v>5</v>
      </c>
      <c r="B164" s="159" t="s">
        <v>993</v>
      </c>
      <c r="C164" s="159" t="s">
        <v>295</v>
      </c>
      <c r="D164" s="160">
        <v>50</v>
      </c>
      <c r="E164" s="160" t="s">
        <v>300</v>
      </c>
      <c r="F164" s="166">
        <v>1.1000000000000001</v>
      </c>
      <c r="G164" s="159" t="s">
        <v>295</v>
      </c>
      <c r="H164" s="160">
        <v>50</v>
      </c>
      <c r="I164" s="215"/>
      <c r="J164" s="216"/>
      <c r="K164" s="159" t="s">
        <v>295</v>
      </c>
      <c r="L164" s="160">
        <v>50</v>
      </c>
      <c r="M164" s="161"/>
      <c r="N164" s="162"/>
      <c r="O164" s="159" t="s">
        <v>295</v>
      </c>
      <c r="P164" s="160">
        <v>50</v>
      </c>
      <c r="Q164" s="179"/>
      <c r="R164" s="180"/>
      <c r="S164" s="159" t="s">
        <v>295</v>
      </c>
      <c r="T164" s="160">
        <v>50</v>
      </c>
      <c r="U164" s="179"/>
      <c r="V164" s="180"/>
      <c r="W164" s="159" t="s">
        <v>295</v>
      </c>
      <c r="X164" s="160">
        <v>50</v>
      </c>
      <c r="Y164" s="179"/>
      <c r="Z164" s="180"/>
      <c r="AA164" s="219">
        <f t="shared" si="8"/>
        <v>1.1000000000000001</v>
      </c>
    </row>
    <row r="165" spans="1:29" hidden="1" x14ac:dyDescent="0.2">
      <c r="A165" s="158">
        <v>6</v>
      </c>
      <c r="B165" s="159" t="s">
        <v>994</v>
      </c>
      <c r="C165" s="159" t="s">
        <v>915</v>
      </c>
      <c r="D165" s="160">
        <v>10</v>
      </c>
      <c r="E165" s="160" t="s">
        <v>914</v>
      </c>
      <c r="F165" s="166">
        <v>0.8</v>
      </c>
      <c r="G165" s="159" t="s">
        <v>915</v>
      </c>
      <c r="H165" s="160">
        <v>10</v>
      </c>
      <c r="I165" s="215"/>
      <c r="J165" s="216"/>
      <c r="K165" s="159" t="s">
        <v>915</v>
      </c>
      <c r="L165" s="160">
        <v>10</v>
      </c>
      <c r="M165" s="161"/>
      <c r="N165" s="162"/>
      <c r="O165" s="159" t="s">
        <v>915</v>
      </c>
      <c r="P165" s="160">
        <v>10</v>
      </c>
      <c r="Q165" s="179"/>
      <c r="R165" s="180"/>
      <c r="S165" s="159" t="s">
        <v>915</v>
      </c>
      <c r="T165" s="160">
        <v>10</v>
      </c>
      <c r="U165" s="179"/>
      <c r="V165" s="180"/>
      <c r="W165" s="159" t="s">
        <v>915</v>
      </c>
      <c r="X165" s="160">
        <v>10</v>
      </c>
      <c r="Y165" s="179"/>
      <c r="Z165" s="180"/>
      <c r="AA165" s="219">
        <f t="shared" si="8"/>
        <v>0.8</v>
      </c>
    </row>
    <row r="166" spans="1:29" hidden="1" x14ac:dyDescent="0.2">
      <c r="A166" s="158">
        <v>7</v>
      </c>
      <c r="B166" s="159" t="s">
        <v>995</v>
      </c>
      <c r="C166" s="159" t="s">
        <v>295</v>
      </c>
      <c r="D166" s="160">
        <v>50</v>
      </c>
      <c r="E166" s="160" t="s">
        <v>300</v>
      </c>
      <c r="F166" s="166">
        <v>1.1000000000000001</v>
      </c>
      <c r="G166" s="159" t="s">
        <v>295</v>
      </c>
      <c r="H166" s="160">
        <v>50</v>
      </c>
      <c r="I166" s="222" t="s">
        <v>725</v>
      </c>
      <c r="J166" s="223">
        <f>25/50</f>
        <v>0.5</v>
      </c>
      <c r="K166" s="159" t="s">
        <v>295</v>
      </c>
      <c r="L166" s="160">
        <v>50</v>
      </c>
      <c r="M166" s="161"/>
      <c r="N166" s="162"/>
      <c r="O166" s="159" t="s">
        <v>295</v>
      </c>
      <c r="P166" s="160">
        <v>50</v>
      </c>
      <c r="Q166" s="179"/>
      <c r="R166" s="180"/>
      <c r="S166" s="159" t="s">
        <v>295</v>
      </c>
      <c r="T166" s="160">
        <v>50</v>
      </c>
      <c r="U166" s="179"/>
      <c r="V166" s="180"/>
      <c r="W166" s="159" t="s">
        <v>295</v>
      </c>
      <c r="X166" s="160">
        <v>50</v>
      </c>
      <c r="Y166" s="179"/>
      <c r="Z166" s="180"/>
      <c r="AA166" s="219">
        <f t="shared" si="8"/>
        <v>1.6</v>
      </c>
    </row>
    <row r="167" spans="1:29" hidden="1" x14ac:dyDescent="0.2">
      <c r="A167" s="158">
        <v>8</v>
      </c>
      <c r="B167" s="159" t="s">
        <v>996</v>
      </c>
      <c r="C167" s="176" t="s">
        <v>295</v>
      </c>
      <c r="D167" s="41">
        <v>50</v>
      </c>
      <c r="E167" s="41" t="s">
        <v>964</v>
      </c>
      <c r="F167" s="168">
        <v>0.25</v>
      </c>
      <c r="G167" s="176" t="s">
        <v>295</v>
      </c>
      <c r="H167" s="41">
        <v>50</v>
      </c>
      <c r="I167" s="227"/>
      <c r="J167" s="231"/>
      <c r="K167" s="176" t="s">
        <v>295</v>
      </c>
      <c r="L167" s="41">
        <v>50</v>
      </c>
      <c r="M167" s="174"/>
      <c r="N167" s="177"/>
      <c r="O167" s="176" t="s">
        <v>295</v>
      </c>
      <c r="P167" s="41">
        <v>50</v>
      </c>
      <c r="Q167" s="174"/>
      <c r="R167" s="177"/>
      <c r="S167" s="176" t="s">
        <v>295</v>
      </c>
      <c r="T167" s="41">
        <v>50</v>
      </c>
      <c r="U167" s="174"/>
      <c r="V167" s="177"/>
      <c r="W167" s="176" t="s">
        <v>295</v>
      </c>
      <c r="X167" s="41">
        <v>50</v>
      </c>
      <c r="Y167" s="174"/>
      <c r="Z167" s="177"/>
      <c r="AA167" s="219">
        <f t="shared" si="8"/>
        <v>0.25</v>
      </c>
      <c r="AB167" s="232" t="s">
        <v>976</v>
      </c>
      <c r="AC167" s="232"/>
    </row>
    <row r="168" spans="1:29" hidden="1" x14ac:dyDescent="0.2">
      <c r="A168" s="158">
        <v>9</v>
      </c>
      <c r="B168" s="159" t="s">
        <v>997</v>
      </c>
      <c r="C168" s="159" t="s">
        <v>295</v>
      </c>
      <c r="D168" s="160">
        <v>50</v>
      </c>
      <c r="E168" s="160" t="s">
        <v>909</v>
      </c>
      <c r="F168" s="166">
        <v>0.33</v>
      </c>
      <c r="G168" s="159" t="s">
        <v>295</v>
      </c>
      <c r="H168" s="160">
        <v>50</v>
      </c>
      <c r="I168" s="215" t="s">
        <v>1876</v>
      </c>
      <c r="J168" s="220">
        <v>0.2</v>
      </c>
      <c r="K168" s="159" t="s">
        <v>295</v>
      </c>
      <c r="L168" s="160">
        <v>50</v>
      </c>
      <c r="M168" s="161" t="s">
        <v>840</v>
      </c>
      <c r="N168" s="162">
        <v>6</v>
      </c>
      <c r="O168" s="159" t="s">
        <v>295</v>
      </c>
      <c r="P168" s="160">
        <v>50</v>
      </c>
      <c r="Q168" s="179" t="s">
        <v>918</v>
      </c>
      <c r="R168" s="180">
        <v>8</v>
      </c>
      <c r="S168" s="159" t="s">
        <v>295</v>
      </c>
      <c r="T168" s="160">
        <v>50</v>
      </c>
      <c r="U168" s="179"/>
      <c r="V168" s="180"/>
      <c r="W168" s="159" t="s">
        <v>295</v>
      </c>
      <c r="X168" s="160">
        <v>50</v>
      </c>
      <c r="Y168" s="179"/>
      <c r="Z168" s="180"/>
      <c r="AA168" s="219">
        <f t="shared" si="8"/>
        <v>14.530000000000001</v>
      </c>
    </row>
    <row r="169" spans="1:29" hidden="1" x14ac:dyDescent="0.2">
      <c r="A169" s="158">
        <v>10</v>
      </c>
      <c r="B169" s="159" t="s">
        <v>998</v>
      </c>
      <c r="C169" s="159"/>
      <c r="D169" s="160"/>
      <c r="E169" s="160"/>
      <c r="F169" s="166"/>
      <c r="G169" s="159"/>
      <c r="H169" s="160"/>
      <c r="I169" s="215"/>
      <c r="J169" s="216"/>
      <c r="K169" s="159"/>
      <c r="L169" s="160"/>
      <c r="M169" s="161"/>
      <c r="N169" s="162"/>
      <c r="O169" s="159"/>
      <c r="P169" s="160"/>
      <c r="Q169" s="179"/>
      <c r="R169" s="180"/>
      <c r="S169" s="159"/>
      <c r="T169" s="160"/>
      <c r="U169" s="179"/>
      <c r="V169" s="180"/>
      <c r="W169" s="159"/>
      <c r="X169" s="160"/>
      <c r="Y169" s="179"/>
      <c r="Z169" s="180"/>
      <c r="AA169" s="219">
        <f t="shared" si="8"/>
        <v>0</v>
      </c>
    </row>
    <row r="170" spans="1:29" hidden="1" x14ac:dyDescent="0.2">
      <c r="A170" s="158">
        <v>11</v>
      </c>
      <c r="B170" s="159" t="s">
        <v>999</v>
      </c>
      <c r="C170" s="159" t="s">
        <v>295</v>
      </c>
      <c r="D170" s="160">
        <v>50</v>
      </c>
      <c r="E170" s="160" t="s">
        <v>300</v>
      </c>
      <c r="F170" s="166">
        <v>1.1000000000000001</v>
      </c>
      <c r="G170" s="159" t="s">
        <v>295</v>
      </c>
      <c r="H170" s="160">
        <v>50</v>
      </c>
      <c r="I170" s="215"/>
      <c r="J170" s="216"/>
      <c r="K170" s="159" t="s">
        <v>295</v>
      </c>
      <c r="L170" s="160">
        <v>50</v>
      </c>
      <c r="M170" s="161"/>
      <c r="N170" s="162"/>
      <c r="O170" s="159" t="s">
        <v>295</v>
      </c>
      <c r="P170" s="160">
        <v>50</v>
      </c>
      <c r="Q170" s="179"/>
      <c r="R170" s="180"/>
      <c r="S170" s="159" t="s">
        <v>295</v>
      </c>
      <c r="T170" s="160">
        <v>50</v>
      </c>
      <c r="U170" s="179"/>
      <c r="V170" s="180"/>
      <c r="W170" s="159" t="s">
        <v>295</v>
      </c>
      <c r="X170" s="160">
        <v>50</v>
      </c>
      <c r="Y170" s="179"/>
      <c r="Z170" s="180"/>
      <c r="AA170" s="219">
        <f t="shared" si="8"/>
        <v>1.1000000000000001</v>
      </c>
    </row>
    <row r="171" spans="1:29" hidden="1" x14ac:dyDescent="0.2">
      <c r="A171" s="158">
        <v>12</v>
      </c>
      <c r="B171" s="159" t="s">
        <v>1000</v>
      </c>
      <c r="C171" s="159" t="s">
        <v>915</v>
      </c>
      <c r="D171" s="160">
        <v>10</v>
      </c>
      <c r="E171" s="160" t="s">
        <v>916</v>
      </c>
      <c r="F171" s="166">
        <v>2</v>
      </c>
      <c r="G171" s="159" t="s">
        <v>915</v>
      </c>
      <c r="H171" s="160">
        <v>10</v>
      </c>
      <c r="I171" s="215"/>
      <c r="J171" s="216"/>
      <c r="K171" s="159" t="s">
        <v>915</v>
      </c>
      <c r="L171" s="160">
        <v>10</v>
      </c>
      <c r="M171" s="161"/>
      <c r="N171" s="162"/>
      <c r="O171" s="159" t="s">
        <v>915</v>
      </c>
      <c r="P171" s="160">
        <v>10</v>
      </c>
      <c r="Q171" s="179"/>
      <c r="R171" s="180"/>
      <c r="S171" s="159" t="s">
        <v>915</v>
      </c>
      <c r="T171" s="160">
        <v>10</v>
      </c>
      <c r="U171" s="179"/>
      <c r="V171" s="180"/>
      <c r="W171" s="159" t="s">
        <v>915</v>
      </c>
      <c r="X171" s="160">
        <v>10</v>
      </c>
      <c r="Y171" s="179"/>
      <c r="Z171" s="180"/>
      <c r="AA171" s="219">
        <f t="shared" si="8"/>
        <v>2</v>
      </c>
    </row>
    <row r="172" spans="1:29" hidden="1" x14ac:dyDescent="0.2">
      <c r="A172" s="158">
        <v>13</v>
      </c>
      <c r="B172" s="159" t="s">
        <v>1001</v>
      </c>
      <c r="C172" s="159" t="s">
        <v>295</v>
      </c>
      <c r="D172" s="160">
        <v>50</v>
      </c>
      <c r="E172" s="160" t="s">
        <v>300</v>
      </c>
      <c r="F172" s="166">
        <v>1.1000000000000001</v>
      </c>
      <c r="G172" s="159" t="s">
        <v>295</v>
      </c>
      <c r="H172" s="160">
        <v>50</v>
      </c>
      <c r="I172" s="215"/>
      <c r="J172" s="216"/>
      <c r="K172" s="159" t="s">
        <v>295</v>
      </c>
      <c r="L172" s="160">
        <v>50</v>
      </c>
      <c r="M172" s="161"/>
      <c r="N172" s="162"/>
      <c r="O172" s="159" t="s">
        <v>295</v>
      </c>
      <c r="P172" s="160">
        <v>50</v>
      </c>
      <c r="Q172" s="179"/>
      <c r="R172" s="180"/>
      <c r="S172" s="159" t="s">
        <v>295</v>
      </c>
      <c r="T172" s="160">
        <v>50</v>
      </c>
      <c r="U172" s="179"/>
      <c r="V172" s="180"/>
      <c r="W172" s="159" t="s">
        <v>295</v>
      </c>
      <c r="X172" s="160">
        <v>50</v>
      </c>
      <c r="Y172" s="179"/>
      <c r="Z172" s="180"/>
      <c r="AA172" s="219">
        <f t="shared" si="8"/>
        <v>1.1000000000000001</v>
      </c>
    </row>
    <row r="173" spans="1:29" hidden="1" x14ac:dyDescent="0.2">
      <c r="A173" s="158">
        <v>14</v>
      </c>
      <c r="B173" s="159" t="s">
        <v>1002</v>
      </c>
      <c r="C173" s="159" t="s">
        <v>915</v>
      </c>
      <c r="D173" s="160">
        <v>7</v>
      </c>
      <c r="E173" s="160" t="s">
        <v>910</v>
      </c>
      <c r="F173" s="166">
        <v>2</v>
      </c>
      <c r="G173" s="159" t="s">
        <v>915</v>
      </c>
      <c r="H173" s="160">
        <v>7</v>
      </c>
      <c r="I173" s="214" t="s">
        <v>11</v>
      </c>
      <c r="J173" s="216">
        <v>0.2</v>
      </c>
      <c r="K173" s="159" t="s">
        <v>915</v>
      </c>
      <c r="L173" s="160">
        <v>7</v>
      </c>
      <c r="M173" s="161"/>
      <c r="N173" s="162"/>
      <c r="O173" s="159" t="s">
        <v>915</v>
      </c>
      <c r="P173" s="160">
        <v>7</v>
      </c>
      <c r="Q173" s="179"/>
      <c r="R173" s="180"/>
      <c r="S173" s="159" t="s">
        <v>915</v>
      </c>
      <c r="T173" s="160">
        <v>7</v>
      </c>
      <c r="U173" s="179"/>
      <c r="V173" s="180"/>
      <c r="W173" s="159" t="s">
        <v>915</v>
      </c>
      <c r="X173" s="160">
        <v>7</v>
      </c>
      <c r="Y173" s="179"/>
      <c r="Z173" s="180"/>
      <c r="AA173" s="219">
        <f t="shared" si="8"/>
        <v>2.2000000000000002</v>
      </c>
    </row>
    <row r="174" spans="1:29" hidden="1" x14ac:dyDescent="0.2">
      <c r="A174" s="158">
        <v>15</v>
      </c>
      <c r="B174" s="159" t="s">
        <v>1003</v>
      </c>
      <c r="C174" s="159" t="s">
        <v>295</v>
      </c>
      <c r="D174" s="160">
        <v>50</v>
      </c>
      <c r="E174" s="161" t="s">
        <v>300</v>
      </c>
      <c r="F174" s="166">
        <v>1.1000000000000001</v>
      </c>
      <c r="G174" s="159" t="s">
        <v>295</v>
      </c>
      <c r="H174" s="160">
        <v>50</v>
      </c>
      <c r="I174" s="214"/>
      <c r="J174" s="220"/>
      <c r="K174" s="159" t="s">
        <v>295</v>
      </c>
      <c r="L174" s="160">
        <v>50</v>
      </c>
      <c r="M174" s="160"/>
      <c r="N174" s="166"/>
      <c r="O174" s="159" t="s">
        <v>295</v>
      </c>
      <c r="P174" s="160">
        <v>50</v>
      </c>
      <c r="Q174" s="179"/>
      <c r="R174" s="180"/>
      <c r="S174" s="159" t="s">
        <v>295</v>
      </c>
      <c r="T174" s="160">
        <v>50</v>
      </c>
      <c r="U174" s="179"/>
      <c r="V174" s="180"/>
      <c r="W174" s="159" t="s">
        <v>295</v>
      </c>
      <c r="X174" s="160">
        <v>50</v>
      </c>
      <c r="Y174" s="179"/>
      <c r="Z174" s="180"/>
      <c r="AA174" s="219">
        <f t="shared" si="8"/>
        <v>1.1000000000000001</v>
      </c>
    </row>
    <row r="175" spans="1:29" hidden="1" x14ac:dyDescent="0.2">
      <c r="A175" s="158">
        <v>16</v>
      </c>
      <c r="B175" s="159" t="s">
        <v>1004</v>
      </c>
      <c r="C175" s="159"/>
      <c r="D175" s="160"/>
      <c r="E175" s="160"/>
      <c r="F175" s="166"/>
      <c r="G175" s="159"/>
      <c r="H175" s="160"/>
      <c r="I175" s="214"/>
      <c r="J175" s="220"/>
      <c r="K175" s="159"/>
      <c r="L175" s="160"/>
      <c r="M175" s="160"/>
      <c r="N175" s="166"/>
      <c r="O175" s="159"/>
      <c r="P175" s="160"/>
      <c r="Q175" s="179"/>
      <c r="R175" s="180"/>
      <c r="S175" s="159"/>
      <c r="T175" s="160"/>
      <c r="U175" s="179"/>
      <c r="V175" s="180"/>
      <c r="W175" s="159"/>
      <c r="X175" s="160"/>
      <c r="Y175" s="179"/>
      <c r="Z175" s="180"/>
      <c r="AA175" s="219">
        <f t="shared" si="8"/>
        <v>0</v>
      </c>
    </row>
    <row r="176" spans="1:29" hidden="1" x14ac:dyDescent="0.2">
      <c r="A176" s="158">
        <v>17</v>
      </c>
      <c r="B176" s="159" t="s">
        <v>1005</v>
      </c>
      <c r="C176" s="159"/>
      <c r="D176" s="160"/>
      <c r="E176" s="160"/>
      <c r="F176" s="175"/>
      <c r="G176" s="159"/>
      <c r="H176" s="160"/>
      <c r="I176" s="214"/>
      <c r="J176" s="220"/>
      <c r="K176" s="159"/>
      <c r="L176" s="160"/>
      <c r="M176" s="160"/>
      <c r="N176" s="166"/>
      <c r="O176" s="159"/>
      <c r="P176" s="160"/>
      <c r="Q176" s="179"/>
      <c r="R176" s="180"/>
      <c r="S176" s="159"/>
      <c r="T176" s="160"/>
      <c r="U176" s="179"/>
      <c r="V176" s="180"/>
      <c r="W176" s="159"/>
      <c r="X176" s="160"/>
      <c r="Y176" s="179"/>
      <c r="Z176" s="180"/>
      <c r="AA176" s="219">
        <f t="shared" si="8"/>
        <v>0</v>
      </c>
    </row>
    <row r="177" spans="1:29" hidden="1" x14ac:dyDescent="0.2">
      <c r="A177" s="158">
        <v>18</v>
      </c>
      <c r="B177" s="159" t="s">
        <v>1006</v>
      </c>
      <c r="C177" s="159"/>
      <c r="D177" s="160"/>
      <c r="E177" s="160"/>
      <c r="F177" s="166"/>
      <c r="G177" s="159"/>
      <c r="H177" s="160"/>
      <c r="I177" s="214"/>
      <c r="J177" s="220"/>
      <c r="K177" s="159"/>
      <c r="L177" s="160"/>
      <c r="M177" s="160"/>
      <c r="N177" s="166"/>
      <c r="O177" s="159"/>
      <c r="P177" s="160"/>
      <c r="Q177" s="179"/>
      <c r="R177" s="180"/>
      <c r="S177" s="159"/>
      <c r="T177" s="160"/>
      <c r="U177" s="179"/>
      <c r="V177" s="180"/>
      <c r="W177" s="159"/>
      <c r="X177" s="160"/>
      <c r="Y177" s="179"/>
      <c r="Z177" s="180"/>
      <c r="AA177" s="219">
        <f t="shared" si="8"/>
        <v>0</v>
      </c>
    </row>
    <row r="178" spans="1:29" hidden="1" x14ac:dyDescent="0.2">
      <c r="A178" s="158">
        <v>19</v>
      </c>
      <c r="B178" s="159" t="s">
        <v>1007</v>
      </c>
      <c r="C178" s="159"/>
      <c r="D178" s="160"/>
      <c r="E178" s="160"/>
      <c r="F178" s="166"/>
      <c r="G178" s="159"/>
      <c r="H178" s="160"/>
      <c r="I178" s="214"/>
      <c r="J178" s="220"/>
      <c r="K178" s="159"/>
      <c r="L178" s="160"/>
      <c r="M178" s="160"/>
      <c r="N178" s="166"/>
      <c r="O178" s="159"/>
      <c r="P178" s="160"/>
      <c r="Q178" s="179"/>
      <c r="R178" s="180"/>
      <c r="S178" s="159"/>
      <c r="T178" s="160"/>
      <c r="U178" s="179"/>
      <c r="V178" s="180"/>
      <c r="W178" s="159"/>
      <c r="X178" s="160"/>
      <c r="Y178" s="179"/>
      <c r="Z178" s="180"/>
      <c r="AA178" s="219">
        <f t="shared" si="8"/>
        <v>0</v>
      </c>
    </row>
    <row r="179" spans="1:29" hidden="1" x14ac:dyDescent="0.2">
      <c r="A179" s="158">
        <v>20</v>
      </c>
      <c r="B179" s="159" t="s">
        <v>1008</v>
      </c>
      <c r="C179" s="159"/>
      <c r="D179" s="160"/>
      <c r="E179" s="160"/>
      <c r="F179" s="166"/>
      <c r="G179" s="159"/>
      <c r="H179" s="160"/>
      <c r="I179" s="214"/>
      <c r="J179" s="220"/>
      <c r="K179" s="159"/>
      <c r="L179" s="160"/>
      <c r="M179" s="160"/>
      <c r="N179" s="166"/>
      <c r="O179" s="159"/>
      <c r="P179" s="160"/>
      <c r="Q179" s="179"/>
      <c r="R179" s="180"/>
      <c r="S179" s="159"/>
      <c r="T179" s="160"/>
      <c r="U179" s="179"/>
      <c r="V179" s="180"/>
      <c r="W179" s="159"/>
      <c r="X179" s="160"/>
      <c r="Y179" s="179"/>
      <c r="Z179" s="180"/>
      <c r="AA179" s="219">
        <f t="shared" si="8"/>
        <v>0</v>
      </c>
    </row>
    <row r="183" spans="1:29" x14ac:dyDescent="0.2">
      <c r="A183" s="181" t="s">
        <v>223</v>
      </c>
      <c r="B183" s="181" t="s">
        <v>223</v>
      </c>
      <c r="C183" s="181" t="s">
        <v>223</v>
      </c>
      <c r="D183" s="181" t="s">
        <v>223</v>
      </c>
      <c r="E183" s="181" t="s">
        <v>223</v>
      </c>
      <c r="F183" s="181" t="s">
        <v>223</v>
      </c>
      <c r="G183" s="181" t="s">
        <v>223</v>
      </c>
      <c r="H183" s="181" t="s">
        <v>223</v>
      </c>
      <c r="I183" s="235" t="s">
        <v>223</v>
      </c>
      <c r="J183" s="235" t="s">
        <v>223</v>
      </c>
      <c r="K183" s="181" t="s">
        <v>223</v>
      </c>
      <c r="L183" s="181" t="s">
        <v>223</v>
      </c>
      <c r="M183" s="181" t="s">
        <v>223</v>
      </c>
      <c r="N183" s="181" t="s">
        <v>223</v>
      </c>
      <c r="O183" s="181" t="s">
        <v>223</v>
      </c>
      <c r="P183" s="181" t="s">
        <v>223</v>
      </c>
      <c r="Q183" s="181" t="s">
        <v>223</v>
      </c>
      <c r="R183" s="181" t="s">
        <v>223</v>
      </c>
      <c r="S183" s="181" t="s">
        <v>223</v>
      </c>
      <c r="T183" s="181" t="s">
        <v>223</v>
      </c>
      <c r="U183" s="181" t="s">
        <v>223</v>
      </c>
      <c r="V183" s="181" t="s">
        <v>223</v>
      </c>
      <c r="W183" s="181" t="s">
        <v>223</v>
      </c>
      <c r="X183" s="181" t="s">
        <v>223</v>
      </c>
      <c r="Y183" s="181" t="s">
        <v>223</v>
      </c>
      <c r="Z183" s="181" t="s">
        <v>223</v>
      </c>
      <c r="AA183" s="235" t="s">
        <v>223</v>
      </c>
      <c r="AB183" s="235" t="s">
        <v>223</v>
      </c>
      <c r="AC183" s="235" t="s">
        <v>223</v>
      </c>
    </row>
    <row r="185" spans="1:29" x14ac:dyDescent="0.2">
      <c r="A185" s="182" t="s">
        <v>965</v>
      </c>
    </row>
    <row r="186" spans="1:29" x14ac:dyDescent="0.2">
      <c r="A186" s="182" t="s">
        <v>966</v>
      </c>
    </row>
    <row r="187" spans="1:29" x14ac:dyDescent="0.2">
      <c r="A187" s="182" t="s">
        <v>967</v>
      </c>
    </row>
    <row r="188" spans="1:29" x14ac:dyDescent="0.2">
      <c r="A188" s="182" t="s">
        <v>968</v>
      </c>
    </row>
    <row r="189" spans="1:29" x14ac:dyDescent="0.2">
      <c r="A189" s="182" t="s">
        <v>969</v>
      </c>
    </row>
    <row r="190" spans="1:29" x14ac:dyDescent="0.2">
      <c r="A190" s="182" t="s">
        <v>970</v>
      </c>
    </row>
    <row r="191" spans="1:29" x14ac:dyDescent="0.2">
      <c r="A191" s="182" t="s">
        <v>971</v>
      </c>
    </row>
    <row r="192" spans="1:29" x14ac:dyDescent="0.2">
      <c r="A192" s="182" t="s">
        <v>972</v>
      </c>
    </row>
    <row r="193" spans="1:1" x14ac:dyDescent="0.2">
      <c r="A193" s="182" t="s">
        <v>973</v>
      </c>
    </row>
  </sheetData>
  <autoFilter ref="A5:AA183" xr:uid="{00000000-0009-0000-0000-000001000000}"/>
  <phoneticPr fontId="17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50"/>
    <pageSetUpPr fitToPage="1"/>
  </sheetPr>
  <dimension ref="A1:AI161"/>
  <sheetViews>
    <sheetView tabSelected="1" zoomScaleNormal="100" workbookViewId="0">
      <pane xSplit="10" ySplit="2" topLeftCell="V5" activePane="bottomRight" state="frozen"/>
      <selection activeCell="A58" sqref="A58:XFD58"/>
      <selection pane="topRight" activeCell="A58" sqref="A58:XFD58"/>
      <selection pane="bottomLeft" activeCell="A58" sqref="A58:XFD58"/>
      <selection pane="bottomRight" activeCell="H18" sqref="H18"/>
    </sheetView>
  </sheetViews>
  <sheetFormatPr baseColWidth="10" defaultRowHeight="12.75" x14ac:dyDescent="0.2"/>
  <cols>
    <col min="1" max="1" width="9.7109375" customWidth="1"/>
    <col min="2" max="2" width="5.5703125" customWidth="1"/>
    <col min="3" max="3" width="6.7109375" customWidth="1"/>
    <col min="4" max="4" width="6.140625" customWidth="1"/>
    <col min="5" max="5" width="6.28515625" customWidth="1"/>
    <col min="6" max="7" width="5.42578125" customWidth="1"/>
    <col min="8" max="8" width="10.42578125" customWidth="1"/>
    <col min="9" max="9" width="9.140625" customWidth="1"/>
    <col min="10" max="10" width="5.5703125" customWidth="1"/>
    <col min="11" max="11" width="5.7109375" customWidth="1"/>
    <col min="12" max="12" width="13" customWidth="1"/>
    <col min="13" max="13" width="6.5703125" customWidth="1"/>
    <col min="14" max="14" width="8.5703125" customWidth="1"/>
    <col min="15" max="15" width="5.7109375" customWidth="1"/>
    <col min="16" max="16" width="14.7109375" customWidth="1"/>
    <col min="17" max="17" width="6.7109375" customWidth="1"/>
    <col min="18" max="18" width="8.7109375" customWidth="1"/>
    <col min="19" max="19" width="5.7109375" customWidth="1"/>
    <col min="20" max="20" width="10.42578125" customWidth="1"/>
    <col min="21" max="21" width="7.7109375" customWidth="1"/>
    <col min="22" max="22" width="8.7109375" customWidth="1"/>
    <col min="23" max="23" width="5.7109375" customWidth="1"/>
    <col min="24" max="24" width="14" customWidth="1"/>
    <col min="25" max="25" width="7.7109375" customWidth="1"/>
    <col min="26" max="26" width="8.7109375" customWidth="1"/>
    <col min="27" max="27" width="5.7109375" customWidth="1"/>
    <col min="28" max="28" width="12" customWidth="1"/>
    <col min="29" max="29" width="6.7109375" customWidth="1"/>
    <col min="30" max="30" width="8.7109375" customWidth="1"/>
    <col min="31" max="31" width="4.7109375" customWidth="1"/>
    <col min="32" max="32" width="10.7109375" customWidth="1"/>
    <col min="33" max="33" width="7.7109375" customWidth="1"/>
    <col min="34" max="34" width="9.7109375" customWidth="1"/>
  </cols>
  <sheetData>
    <row r="1" spans="1:35" ht="28.9" customHeight="1" thickBot="1" x14ac:dyDescent="0.3">
      <c r="A1" s="92" t="e">
        <f>IF(($J$1-C1)&lt;=52,($J$1-C1-100+52+1),($J$1-C1+1))</f>
        <v>#VALUE!</v>
      </c>
      <c r="B1" s="16">
        <f>IF(($J$1-D1)&gt;=52,($J$1-D1-100+52+1),IF(($J$1-D1)&lt;=48,($J$1-D1+100-52-1),($J$1-D1+1)))</f>
        <v>2572</v>
      </c>
      <c r="C1" s="138" t="s">
        <v>291</v>
      </c>
      <c r="D1" s="12"/>
      <c r="E1" s="12"/>
      <c r="F1" s="12"/>
      <c r="G1" s="12"/>
      <c r="H1" s="12"/>
      <c r="I1" s="239">
        <v>46146</v>
      </c>
      <c r="J1" s="90" t="str">
        <f>MID(YEAR(I1),3,2)&amp;IF(AND(WEEKNUM(I1,17)&lt;=9,WEEKNUM(I1,17)&gt;=1),"0"&amp;(WEEKNUM(I1,17)),WEEKNUM(I1))</f>
        <v>2619</v>
      </c>
      <c r="K1" s="76"/>
      <c r="M1" s="32" t="s">
        <v>1211</v>
      </c>
      <c r="Q1" s="32" t="s">
        <v>1211</v>
      </c>
      <c r="U1" s="32" t="s">
        <v>1211</v>
      </c>
      <c r="Y1" s="32" t="s">
        <v>1211</v>
      </c>
      <c r="AC1" s="32" t="s">
        <v>1211</v>
      </c>
      <c r="AG1" s="32" t="s">
        <v>1211</v>
      </c>
    </row>
    <row r="2" spans="1:35" s="57" customFormat="1" ht="45.75" thickBot="1" x14ac:dyDescent="0.25">
      <c r="A2" s="91" t="s">
        <v>292</v>
      </c>
      <c r="B2" s="78" t="s">
        <v>1</v>
      </c>
      <c r="C2" s="78" t="s">
        <v>303</v>
      </c>
      <c r="D2" s="78" t="s">
        <v>1194</v>
      </c>
      <c r="E2" s="91" t="s">
        <v>301</v>
      </c>
      <c r="F2" s="91" t="s">
        <v>283</v>
      </c>
      <c r="G2" s="15" t="s">
        <v>302</v>
      </c>
      <c r="H2" s="15" t="s">
        <v>798</v>
      </c>
      <c r="I2" s="15" t="s">
        <v>1894</v>
      </c>
      <c r="J2" s="79" t="s">
        <v>304</v>
      </c>
      <c r="K2" s="93" t="s">
        <v>1203</v>
      </c>
      <c r="L2" s="94" t="s">
        <v>4</v>
      </c>
      <c r="M2" s="95" t="s">
        <v>1202</v>
      </c>
      <c r="N2" s="96" t="s">
        <v>1222</v>
      </c>
      <c r="O2" s="93" t="s">
        <v>1204</v>
      </c>
      <c r="P2" s="94" t="s">
        <v>5</v>
      </c>
      <c r="Q2" s="95" t="s">
        <v>1209</v>
      </c>
      <c r="R2" s="96" t="s">
        <v>1222</v>
      </c>
      <c r="S2" s="93" t="s">
        <v>1205</v>
      </c>
      <c r="T2" s="94" t="s">
        <v>6</v>
      </c>
      <c r="U2" s="95" t="s">
        <v>1217</v>
      </c>
      <c r="V2" s="96" t="s">
        <v>1222</v>
      </c>
      <c r="W2" s="93" t="s">
        <v>1206</v>
      </c>
      <c r="X2" s="94" t="s">
        <v>7</v>
      </c>
      <c r="Y2" s="95" t="s">
        <v>963</v>
      </c>
      <c r="Z2" s="96" t="s">
        <v>1222</v>
      </c>
      <c r="AA2" s="93" t="s">
        <v>1207</v>
      </c>
      <c r="AB2" s="97" t="s">
        <v>8</v>
      </c>
      <c r="AC2" s="98" t="s">
        <v>921</v>
      </c>
      <c r="AD2" s="96" t="s">
        <v>1222</v>
      </c>
      <c r="AE2" s="80" t="s">
        <v>1208</v>
      </c>
      <c r="AF2" s="81" t="s">
        <v>13</v>
      </c>
      <c r="AG2" s="82" t="s">
        <v>1210</v>
      </c>
      <c r="AH2" s="87" t="s">
        <v>1208</v>
      </c>
      <c r="AI2" s="33" t="s">
        <v>1201</v>
      </c>
    </row>
    <row r="3" spans="1:35" ht="15" customHeight="1" x14ac:dyDescent="0.2">
      <c r="A3" s="14">
        <f t="shared" ref="A3:A26" si="0">IF(($J$1-C3)&gt;=52,($J$1-C3-100+52+1),($J$1-C3+1))</f>
        <v>15</v>
      </c>
      <c r="B3" s="77">
        <v>27</v>
      </c>
      <c r="C3" s="54">
        <v>2605</v>
      </c>
      <c r="D3" s="54" t="s">
        <v>1872</v>
      </c>
      <c r="E3" s="54" t="s">
        <v>929</v>
      </c>
      <c r="F3" s="54" t="s">
        <v>1109</v>
      </c>
      <c r="G3" s="53" t="str">
        <f t="shared" ref="G3:G55" si="1">MID(E3,1,1)</f>
        <v>P</v>
      </c>
      <c r="H3" s="55" t="str">
        <f>CONCATENATE(A3," ",G3," ",F3)</f>
        <v>15 P CLO</v>
      </c>
      <c r="I3" s="262">
        <f>IF(D3="MM1",VLOOKUP($B3,'Inf Bloques'!$A$1:$K$453,11,FALSE)*1,VLOOKUP($B3,'Inf Bloques'!$A$1:$K$453,11,FALSE))</f>
        <v>37.951549999999983</v>
      </c>
      <c r="J3" s="3">
        <f t="shared" ref="J3:J48" si="2">I3/9</f>
        <v>4.216838888888887</v>
      </c>
      <c r="K3" s="89">
        <f>IFERROR(ROUND(IF($D3="SSJ",(VLOOKUP($H3,'Programa Drench'!$B$6:$AA$182,MATCH(K$2,'Programa Drench'!$B$5:$AA$5,0),FALSE)),VLOOKUP($H3,'Programa Drench'!$B$6:$AA$182,MATCH(K$2,'Programa Drench'!$B$5:$AA$5,0),FALSE)),1),0)</f>
        <v>7</v>
      </c>
      <c r="L3" s="30" t="str">
        <f>IFERROR((VLOOKUP($H3,'Programa Drench'!$B$6:$AA$182,MATCH(L$2,'Programa Drench'!$B$5:$AA$5,0),FALSE)),0)</f>
        <v>Flutrialaq</v>
      </c>
      <c r="M3" s="36">
        <f>IFERROR((VLOOKUP($H3,'Programa Drench'!$B$6:$AA$182,MATCH(M$2,'Programa Drench'!$B$5:$AA$5,0),FALSE)*N3),0)</f>
        <v>108</v>
      </c>
      <c r="N3" s="36">
        <f t="shared" ref="N3:N48" si="3">IFERROR(ROUND((K3*$I3),-1),0)</f>
        <v>270</v>
      </c>
      <c r="O3" s="89">
        <f>IFERROR(ROUND(IF($D3="SSJ",(VLOOKUP($H3,'Programa Drench'!$B$6:$AA$182,MATCH(O$2,'Programa Drench'!$B$5:$AA$5,0),FALSE)),VLOOKUP($H3,'Programa Drench'!$B$6:$AA$182,MATCH(O$2,'Programa Drench'!$B$5:$AA$5,0),FALSE)),1),0)</f>
        <v>7</v>
      </c>
      <c r="P3" s="30" t="str">
        <f>IFERROR((VLOOKUP($H3,'Programa Drench'!$B$6:$AA$182,MATCH(P$2,'Programa Drench'!$B$5:$AA$5,0),FALSE)),0)</f>
        <v>Agral</v>
      </c>
      <c r="Q3" s="36">
        <f>IFERROR((VLOOKUP($H3,'Programa Drench'!$B$6:$AA$182,MATCH(Q$2,'Programa Drench'!$B$5:$AA$5,0),FALSE)*R3),0)</f>
        <v>54</v>
      </c>
      <c r="R3" s="36">
        <f t="shared" ref="R3:R48" si="4">IFERROR(ROUND((O3*$I3),-1),0)</f>
        <v>270</v>
      </c>
      <c r="S3" s="89">
        <f>IFERROR(ROUND(IF($D3="SSJ",(VLOOKUP($H3,'Programa Drench'!$B$6:$AA$182,MATCH(S$2,'Programa Drench'!$B$5:$AA$5,0),FALSE)),VLOOKUP($H3,'Programa Drench'!$B$6:$AA$182,MATCH(S$2,'Programa Drench'!$B$5:$AA$5,0),FALSE)),1),0)</f>
        <v>0</v>
      </c>
      <c r="T3" s="30">
        <f>IFERROR((VLOOKUP($H3,'Programa Drench'!$B$6:$AA$182,MATCH(T$2,'Programa Drench'!$B$5:$AA$5,0),FALSE)),0)</f>
        <v>0</v>
      </c>
      <c r="U3" s="36">
        <f>IFERROR((VLOOKUP($H3,'Programa Drench'!$B$6:$AA$182,MATCH(U$2,'Programa Drench'!$B$5:$AA$5,0),FALSE)*V3),0)</f>
        <v>0</v>
      </c>
      <c r="V3" s="36">
        <f t="shared" ref="V3:V48" si="5">IFERROR(ROUND((S3*$I3),-1),0)</f>
        <v>0</v>
      </c>
      <c r="W3" s="89">
        <f>IFERROR(ROUND(IF($D3="SSJ",(VLOOKUP($H3,'Programa Drench'!$B$6:$AA$182,MATCH(W$2,'Programa Drench'!$B$5:$AA$5,0),FALSE)),VLOOKUP($H3,'Programa Drench'!$B$6:$AA$182,MATCH(W$2,'Programa Drench'!$B$5:$AA$5,0),FALSE)),1),0)</f>
        <v>0</v>
      </c>
      <c r="X3" s="30">
        <f>IFERROR((VLOOKUP($H3,'Programa Drench'!$B$6:$AA$182,MATCH(X$2,'Programa Drench'!$B$5:$AA$5,0),FALSE)),0)</f>
        <v>0</v>
      </c>
      <c r="Y3" s="36">
        <f>IFERROR((VLOOKUP($H3,'Programa Drench'!$B$6:$AA$182,MATCH(Y$2,'Programa Drench'!$B$5:$AA$5,0),FALSE)*Z3),0)</f>
        <v>0</v>
      </c>
      <c r="Z3" s="36">
        <f t="shared" ref="Z3:Z48" si="6">IFERROR(ROUND((W3*$I3),-1),0)</f>
        <v>0</v>
      </c>
      <c r="AA3" s="89">
        <f>IFERROR(ROUND(IF($D3="SSJ",(VLOOKUP($H3,'Programa Drench'!$B$6:$AA$182,MATCH(AA$2,'Programa Drench'!$B$5:$AA$5,0),FALSE)),VLOOKUP($H3,'Programa Drench'!$B$6:$AA$182,MATCH(AA$2,'Programa Drench'!$B$5:$AA$5,0),FALSE)),1),0)</f>
        <v>0</v>
      </c>
      <c r="AB3" s="30">
        <f>IFERROR((VLOOKUP($H3,'Programa Drench'!$B$6:$AA$182,MATCH(AB$2,'Programa Drench'!$B$5:$AA$5,0),FALSE)),0)</f>
        <v>0</v>
      </c>
      <c r="AC3" s="83">
        <f>IFERROR((VLOOKUP($H3,'Programa Drench'!$B$6:$AA$182,MATCH(AC$2,'Programa Drench'!$B$5:$AA$5,0),FALSE)*$I3),0)</f>
        <v>0</v>
      </c>
      <c r="AD3" s="36">
        <f t="shared" ref="AD3:AD48" si="7">IFERROR(ROUND((AA3*$I3),-1),0)</f>
        <v>0</v>
      </c>
      <c r="AE3" s="36">
        <f>IFERROR(ROUND((VLOOKUP($H3,'Programa Drench'!$B$6:$AA$182,MATCH(AE$2,'Programa Drench'!$B$5:$AA$5,0),FALSE)),-1),0)</f>
        <v>0</v>
      </c>
      <c r="AF3" s="30">
        <f>IFERROR((VLOOKUP($H3,'Programa Drench'!$B$6:$AA$182,MATCH(AF$2,'Programa Drench'!$B$5:$AA$5,0),FALSE)),0)</f>
        <v>0</v>
      </c>
      <c r="AG3" s="36">
        <f>IFERROR((VLOOKUP($H3,'Programa Drench'!$B$6:$AA$182,MATCH(AG$2,'Programa Drench'!$B$5:$AA$5,0),FALSE)*AH3),0)</f>
        <v>0</v>
      </c>
      <c r="AH3" s="36">
        <f>IFERROR(ROUND((VLOOKUP($H3,'Programa Drench'!$B$6:$AA$182,MATCH(AH$2,'Programa Drench'!$B$5:$AA$5,0),FALSE)*$I3),-1),0)</f>
        <v>0</v>
      </c>
      <c r="AI3" s="89">
        <f>IFERROR((VLOOKUP($H3,'Programa Drench'!$B$6:$AA$182,MATCH(AI$2,'Programa Drench'!$B$5:$AA$5,0),FALSE)),0)</f>
        <v>0.60000000000000009</v>
      </c>
    </row>
    <row r="4" spans="1:35" ht="15" customHeight="1" x14ac:dyDescent="0.2">
      <c r="A4" s="14">
        <f t="shared" si="0"/>
        <v>12</v>
      </c>
      <c r="B4" s="77">
        <v>5</v>
      </c>
      <c r="C4" s="54">
        <v>2608</v>
      </c>
      <c r="D4" s="54" t="s">
        <v>1872</v>
      </c>
      <c r="E4" s="54" t="s">
        <v>480</v>
      </c>
      <c r="F4" s="54" t="s">
        <v>286</v>
      </c>
      <c r="G4" s="53" t="str">
        <f t="shared" ref="G4:G30" si="8">MID(E4,1,1)</f>
        <v>P</v>
      </c>
      <c r="H4" s="55" t="str">
        <f t="shared" ref="H4:H66" si="9">CONCATENATE(A4," ",G4," ",F4)</f>
        <v>12 P XL</v>
      </c>
      <c r="I4" s="262">
        <f>IF(D4="MM1",VLOOKUP($B4,'Inf Bloques'!$A$1:$K$453,11,FALSE)*1,VLOOKUP($B4,'Inf Bloques'!$A$1:$K$453,11,FALSE))</f>
        <v>33.287049999999979</v>
      </c>
      <c r="J4" s="3">
        <f t="shared" si="2"/>
        <v>3.698561111111109</v>
      </c>
      <c r="K4" s="89">
        <f>IFERROR(ROUND(IF($D4="SSJ",(VLOOKUP($H4,'Programa Drench'!$B$6:$AA$182,MATCH(K$2,'Programa Drench'!$B$5:$AA$5,0),FALSE)),VLOOKUP($H4,'Programa Drench'!$B$6:$AA$182,MATCH(K$2,'Programa Drench'!$B$5:$AA$5,0),FALSE)),1),0)</f>
        <v>50</v>
      </c>
      <c r="L4" s="30" t="str">
        <f>IFERROR((VLOOKUP($H4,'Programa Drench'!$B$6:$AA$182,MATCH(L$2,'Programa Drench'!$B$5:$AA$5,0),FALSE)),0)</f>
        <v>ALCAPLANT</v>
      </c>
      <c r="M4" s="36">
        <f>IFERROR((VLOOKUP($H4,'Programa Drench'!$B$6:$AA$182,MATCH(M$2,'Programa Drench'!$B$5:$AA$5,0),FALSE)*N4),0)</f>
        <v>1826.0000000000002</v>
      </c>
      <c r="N4" s="36">
        <f t="shared" si="3"/>
        <v>1660</v>
      </c>
      <c r="O4" s="89">
        <f>IFERROR(ROUND(IF($D4="SSJ",(VLOOKUP($H4,'Programa Drench'!$B$6:$AA$182,MATCH(O$2,'Programa Drench'!$B$5:$AA$5,0),FALSE)),VLOOKUP($H4,'Programa Drench'!$B$6:$AA$182,MATCH(O$2,'Programa Drench'!$B$5:$AA$5,0),FALSE)),1),0)</f>
        <v>0</v>
      </c>
      <c r="P4" s="30">
        <f>IFERROR((VLOOKUP($H4,'Programa Drench'!$B$6:$AA$182,MATCH(P$2,'Programa Drench'!$B$5:$AA$5,0),FALSE)),0)</f>
        <v>0</v>
      </c>
      <c r="Q4" s="36">
        <f>IFERROR((VLOOKUP($H4,'Programa Drench'!$B$6:$AA$182,MATCH(Q$2,'Programa Drench'!$B$5:$AA$5,0),FALSE)*R4),0)</f>
        <v>0</v>
      </c>
      <c r="R4" s="36">
        <f t="shared" si="4"/>
        <v>0</v>
      </c>
      <c r="S4" s="89">
        <f>IFERROR(ROUND(IF($D4="SSJ",(VLOOKUP($H4,'Programa Drench'!$B$6:$AA$182,MATCH(S$2,'Programa Drench'!$B$5:$AA$5,0),FALSE)),VLOOKUP($H4,'Programa Drench'!$B$6:$AA$182,MATCH(S$2,'Programa Drench'!$B$5:$AA$5,0),FALSE)),1),0)</f>
        <v>0</v>
      </c>
      <c r="T4" s="30">
        <f>IFERROR((VLOOKUP($H4,'Programa Drench'!$B$6:$AA$182,MATCH(T$2,'Programa Drench'!$B$5:$AA$5,0),FALSE)),0)</f>
        <v>0</v>
      </c>
      <c r="U4" s="36">
        <f>IFERROR((VLOOKUP($H4,'Programa Drench'!$B$6:$AA$182,MATCH(U$2,'Programa Drench'!$B$5:$AA$5,0),FALSE)*V4),0)</f>
        <v>0</v>
      </c>
      <c r="V4" s="36">
        <f t="shared" si="5"/>
        <v>0</v>
      </c>
      <c r="W4" s="89">
        <f>IFERROR(ROUND(IF($D4="SSJ",(VLOOKUP($H4,'Programa Drench'!$B$6:$AA$182,MATCH(W$2,'Programa Drench'!$B$5:$AA$5,0),FALSE)),VLOOKUP($H4,'Programa Drench'!$B$6:$AA$182,MATCH(W$2,'Programa Drench'!$B$5:$AA$5,0),FALSE)),1),0)</f>
        <v>0</v>
      </c>
      <c r="X4" s="30">
        <f>IFERROR((VLOOKUP($H4,'Programa Drench'!$B$6:$AA$182,MATCH(X$2,'Programa Drench'!$B$5:$AA$5,0),FALSE)),0)</f>
        <v>0</v>
      </c>
      <c r="Y4" s="36">
        <f>IFERROR((VLOOKUP($H4,'Programa Drench'!$B$6:$AA$182,MATCH(Y$2,'Programa Drench'!$B$5:$AA$5,0),FALSE)*Z4),0)</f>
        <v>0</v>
      </c>
      <c r="Z4" s="36">
        <f t="shared" si="6"/>
        <v>0</v>
      </c>
      <c r="AA4" s="89">
        <f>IFERROR(ROUND(IF($D4="SSJ",(VLOOKUP($H4,'Programa Drench'!$B$6:$AA$182,MATCH(AA$2,'Programa Drench'!$B$5:$AA$5,0),FALSE)),VLOOKUP($H4,'Programa Drench'!$B$6:$AA$182,MATCH(AA$2,'Programa Drench'!$B$5:$AA$5,0),FALSE)),1),0)</f>
        <v>0</v>
      </c>
      <c r="AB4" s="30">
        <f>IFERROR((VLOOKUP($H4,'Programa Drench'!$B$6:$AA$182,MATCH(AB$2,'Programa Drench'!$B$5:$AA$5,0),FALSE)),0)</f>
        <v>0</v>
      </c>
      <c r="AC4" s="83">
        <f>IFERROR((VLOOKUP($H4,'Programa Drench'!$B$6:$AA$182,MATCH(AC$2,'Programa Drench'!$B$5:$AA$5,0),FALSE)*$I4),0)</f>
        <v>0</v>
      </c>
      <c r="AD4" s="36">
        <f t="shared" si="7"/>
        <v>0</v>
      </c>
      <c r="AE4" s="36">
        <f>IFERROR(ROUND((VLOOKUP($H4,'Programa Drench'!$B$6:$AA$182,MATCH(AE$2,'Programa Drench'!$B$5:$AA$5,0),FALSE)),-1),0)</f>
        <v>0</v>
      </c>
      <c r="AF4" s="30">
        <f>IFERROR((VLOOKUP($H4,'Programa Drench'!$B$6:$AA$182,MATCH(AF$2,'Programa Drench'!$B$5:$AA$5,0),FALSE)),0)</f>
        <v>0</v>
      </c>
      <c r="AG4" s="36">
        <f>IFERROR((VLOOKUP($H4,'Programa Drench'!$B$6:$AA$182,MATCH(AG$2,'Programa Drench'!$B$5:$AA$5,0),FALSE)*AH4),0)</f>
        <v>0</v>
      </c>
      <c r="AH4" s="36">
        <f>IFERROR(ROUND((VLOOKUP($H4,'Programa Drench'!$B$6:$AA$182,MATCH(AH$2,'Programa Drench'!$B$5:$AA$5,0),FALSE)*$I4),-1),0)</f>
        <v>0</v>
      </c>
      <c r="AI4" s="89">
        <f>IFERROR((VLOOKUP($H4,'Programa Drench'!$B$6:$AA$182,MATCH(AI$2,'Programa Drench'!$B$5:$AA$5,0),FALSE)),0)</f>
        <v>1.1000000000000001</v>
      </c>
    </row>
    <row r="5" spans="1:35" ht="15" customHeight="1" x14ac:dyDescent="0.2">
      <c r="A5" s="14">
        <f t="shared" si="0"/>
        <v>12</v>
      </c>
      <c r="B5" s="77">
        <v>15</v>
      </c>
      <c r="C5" s="54">
        <v>2608</v>
      </c>
      <c r="D5" s="54" t="s">
        <v>1872</v>
      </c>
      <c r="E5" s="54" t="s">
        <v>480</v>
      </c>
      <c r="F5" s="54" t="s">
        <v>286</v>
      </c>
      <c r="G5" s="53" t="str">
        <f t="shared" si="8"/>
        <v>P</v>
      </c>
      <c r="H5" s="55" t="str">
        <f t="shared" si="9"/>
        <v>12 P XL</v>
      </c>
      <c r="I5" s="262">
        <f>IF(D5="MM1",VLOOKUP($B5,'Inf Bloques'!$A$1:$K$453,11,FALSE)*1,VLOOKUP($B5,'Inf Bloques'!$A$1:$K$453,11,FALSE))</f>
        <v>39.546833333333353</v>
      </c>
      <c r="J5" s="3">
        <f t="shared" ref="J5:J43" si="10">I5/9</f>
        <v>4.3940925925925951</v>
      </c>
      <c r="K5" s="89">
        <f>IFERROR(ROUND(IF($D5="SSJ",(VLOOKUP($H5,'Programa Drench'!$B$6:$AA$182,MATCH(K$2,'Programa Drench'!$B$5:$AA$5,0),FALSE)),VLOOKUP($H5,'Programa Drench'!$B$6:$AA$182,MATCH(K$2,'Programa Drench'!$B$5:$AA$5,0),FALSE)),1),0)</f>
        <v>50</v>
      </c>
      <c r="L5" s="30" t="str">
        <f>IFERROR((VLOOKUP($H5,'Programa Drench'!$B$6:$AA$182,MATCH(L$2,'Programa Drench'!$B$5:$AA$5,0),FALSE)),0)</f>
        <v>ALCAPLANT</v>
      </c>
      <c r="M5" s="36">
        <f>IFERROR((VLOOKUP($H5,'Programa Drench'!$B$6:$AA$182,MATCH(M$2,'Programa Drench'!$B$5:$AA$5,0),FALSE)*N5),0)</f>
        <v>2178</v>
      </c>
      <c r="N5" s="36">
        <f t="shared" ref="N5:N43" si="11">IFERROR(ROUND((K5*$I5),-1),0)</f>
        <v>1980</v>
      </c>
      <c r="O5" s="89">
        <f>IFERROR(ROUND(IF($D5="SSJ",(VLOOKUP($H5,'Programa Drench'!$B$6:$AA$182,MATCH(O$2,'Programa Drench'!$B$5:$AA$5,0),FALSE)),VLOOKUP($H5,'Programa Drench'!$B$6:$AA$182,MATCH(O$2,'Programa Drench'!$B$5:$AA$5,0),FALSE)),1),0)</f>
        <v>0</v>
      </c>
      <c r="P5" s="30">
        <f>IFERROR((VLOOKUP($H5,'Programa Drench'!$B$6:$AA$182,MATCH(P$2,'Programa Drench'!$B$5:$AA$5,0),FALSE)),0)</f>
        <v>0</v>
      </c>
      <c r="Q5" s="36">
        <f>IFERROR((VLOOKUP($H5,'Programa Drench'!$B$6:$AA$182,MATCH(Q$2,'Programa Drench'!$B$5:$AA$5,0),FALSE)*R5),0)</f>
        <v>0</v>
      </c>
      <c r="R5" s="36">
        <f t="shared" ref="R5:R43" si="12">IFERROR(ROUND((O5*$I5),-1),0)</f>
        <v>0</v>
      </c>
      <c r="S5" s="89">
        <f>IFERROR(ROUND(IF($D5="SSJ",(VLOOKUP($H5,'Programa Drench'!$B$6:$AA$182,MATCH(S$2,'Programa Drench'!$B$5:$AA$5,0),FALSE)),VLOOKUP($H5,'Programa Drench'!$B$6:$AA$182,MATCH(S$2,'Programa Drench'!$B$5:$AA$5,0),FALSE)),1),0)</f>
        <v>0</v>
      </c>
      <c r="T5" s="30">
        <f>IFERROR((VLOOKUP($H5,'Programa Drench'!$B$6:$AA$182,MATCH(T$2,'Programa Drench'!$B$5:$AA$5,0),FALSE)),0)</f>
        <v>0</v>
      </c>
      <c r="U5" s="36">
        <f>IFERROR((VLOOKUP($H5,'Programa Drench'!$B$6:$AA$182,MATCH(U$2,'Programa Drench'!$B$5:$AA$5,0),FALSE)*V5),0)</f>
        <v>0</v>
      </c>
      <c r="V5" s="36">
        <f t="shared" ref="V5:V43" si="13">IFERROR(ROUND((S5*$I5),-1),0)</f>
        <v>0</v>
      </c>
      <c r="W5" s="89">
        <f>IFERROR(ROUND(IF($D5="SSJ",(VLOOKUP($H5,'Programa Drench'!$B$6:$AA$182,MATCH(W$2,'Programa Drench'!$B$5:$AA$5,0),FALSE)),VLOOKUP($H5,'Programa Drench'!$B$6:$AA$182,MATCH(W$2,'Programa Drench'!$B$5:$AA$5,0),FALSE)),1),0)</f>
        <v>0</v>
      </c>
      <c r="X5" s="30">
        <f>IFERROR((VLOOKUP($H5,'Programa Drench'!$B$6:$AA$182,MATCH(X$2,'Programa Drench'!$B$5:$AA$5,0),FALSE)),0)</f>
        <v>0</v>
      </c>
      <c r="Y5" s="36">
        <f>IFERROR((VLOOKUP($H5,'Programa Drench'!$B$6:$AA$182,MATCH(Y$2,'Programa Drench'!$B$5:$AA$5,0),FALSE)*Z5),0)</f>
        <v>0</v>
      </c>
      <c r="Z5" s="36">
        <f t="shared" ref="Z5:Z43" si="14">IFERROR(ROUND((W5*$I5),-1),0)</f>
        <v>0</v>
      </c>
      <c r="AA5" s="89">
        <f>IFERROR(ROUND(IF($D5="SSJ",(VLOOKUP($H5,'Programa Drench'!$B$6:$AA$182,MATCH(AA$2,'Programa Drench'!$B$5:$AA$5,0),FALSE)),VLOOKUP($H5,'Programa Drench'!$B$6:$AA$182,MATCH(AA$2,'Programa Drench'!$B$5:$AA$5,0),FALSE)),1),0)</f>
        <v>0</v>
      </c>
      <c r="AB5" s="30">
        <f>IFERROR((VLOOKUP($H5,'Programa Drench'!$B$6:$AA$182,MATCH(AB$2,'Programa Drench'!$B$5:$AA$5,0),FALSE)),0)</f>
        <v>0</v>
      </c>
      <c r="AC5" s="83">
        <f>IFERROR((VLOOKUP($H5,'Programa Drench'!$B$6:$AA$182,MATCH(AC$2,'Programa Drench'!$B$5:$AA$5,0),FALSE)*$I5),0)</f>
        <v>0</v>
      </c>
      <c r="AD5" s="36">
        <f t="shared" ref="AD5:AD43" si="15">IFERROR(ROUND((AA5*$I5),-1),0)</f>
        <v>0</v>
      </c>
      <c r="AE5" s="36">
        <f>IFERROR(ROUND((VLOOKUP($H5,'Programa Drench'!$B$6:$AA$182,MATCH(AE$2,'Programa Drench'!$B$5:$AA$5,0),FALSE)),-1),0)</f>
        <v>0</v>
      </c>
      <c r="AF5" s="30">
        <f>IFERROR((VLOOKUP($H5,'Programa Drench'!$B$6:$AA$182,MATCH(AF$2,'Programa Drench'!$B$5:$AA$5,0),FALSE)),0)</f>
        <v>0</v>
      </c>
      <c r="AG5" s="36">
        <f>IFERROR((VLOOKUP($H5,'Programa Drench'!$B$6:$AA$182,MATCH(AG$2,'Programa Drench'!$B$5:$AA$5,0),FALSE)*AH5),0)</f>
        <v>0</v>
      </c>
      <c r="AH5" s="36">
        <f>IFERROR(ROUND((VLOOKUP($H5,'Programa Drench'!$B$6:$AA$182,MATCH(AH$2,'Programa Drench'!$B$5:$AA$5,0),FALSE)*$I5),-1),0)</f>
        <v>0</v>
      </c>
      <c r="AI5" s="89">
        <f>IFERROR((VLOOKUP($H5,'Programa Drench'!$B$6:$AA$182,MATCH(AI$2,'Programa Drench'!$B$5:$AA$5,0),FALSE)),0)</f>
        <v>1.1000000000000001</v>
      </c>
    </row>
    <row r="6" spans="1:35" ht="15" customHeight="1" x14ac:dyDescent="0.2">
      <c r="A6" s="14">
        <f t="shared" si="0"/>
        <v>12</v>
      </c>
      <c r="B6" s="77">
        <v>22</v>
      </c>
      <c r="C6" s="54">
        <v>2608</v>
      </c>
      <c r="D6" s="54" t="s">
        <v>1872</v>
      </c>
      <c r="E6" s="54" t="s">
        <v>923</v>
      </c>
      <c r="F6" s="54" t="s">
        <v>286</v>
      </c>
      <c r="G6" s="53" t="str">
        <f t="shared" si="8"/>
        <v>S</v>
      </c>
      <c r="H6" s="55" t="str">
        <f t="shared" si="9"/>
        <v>12 S XL</v>
      </c>
      <c r="I6" s="262">
        <f>IF(D6="MM1",VLOOKUP($B6,'Inf Bloques'!$A$1:$K$453,11,FALSE)*1,VLOOKUP($B6,'Inf Bloques'!$A$1:$K$453,11,FALSE))</f>
        <v>39.072000000000031</v>
      </c>
      <c r="J6" s="3">
        <f t="shared" si="10"/>
        <v>4.3413333333333366</v>
      </c>
      <c r="K6" s="89">
        <f>IFERROR(ROUND(IF($D6="SSJ",(VLOOKUP($H6,'Programa Drench'!$B$6:$AA$182,MATCH(K$2,'Programa Drench'!$B$5:$AA$5,0),FALSE)),VLOOKUP($H6,'Programa Drench'!$B$6:$AA$182,MATCH(K$2,'Programa Drench'!$B$5:$AA$5,0),FALSE)),1),0)</f>
        <v>7</v>
      </c>
      <c r="L6" s="30" t="str">
        <f>IFERROR((VLOOKUP($H6,'Programa Drench'!$B$6:$AA$182,MATCH(L$2,'Programa Drench'!$B$5:$AA$5,0),FALSE)),0)</f>
        <v>Sulfex</v>
      </c>
      <c r="M6" s="36">
        <f>IFERROR((VLOOKUP($H6,'Programa Drench'!$B$6:$AA$182,MATCH(M$2,'Programa Drench'!$B$5:$AA$5,0),FALSE)*N6),0)</f>
        <v>405</v>
      </c>
      <c r="N6" s="36">
        <f t="shared" si="11"/>
        <v>270</v>
      </c>
      <c r="O6" s="89">
        <f>IFERROR(ROUND(IF($D6="SSJ",(VLOOKUP($H6,'Programa Drench'!$B$6:$AA$182,MATCH(O$2,'Programa Drench'!$B$5:$AA$5,0),FALSE)),VLOOKUP($H6,'Programa Drench'!$B$6:$AA$182,MATCH(O$2,'Programa Drench'!$B$5:$AA$5,0),FALSE)),1),0)</f>
        <v>7</v>
      </c>
      <c r="P6" s="30" t="str">
        <f>IFERROR((VLOOKUP($H6,'Programa Drench'!$B$6:$AA$182,MATCH(P$2,'Programa Drench'!$B$5:$AA$5,0),FALSE)),0)</f>
        <v>Agral</v>
      </c>
      <c r="Q6" s="36">
        <f>IFERROR((VLOOKUP($H6,'Programa Drench'!$B$6:$AA$182,MATCH(Q$2,'Programa Drench'!$B$5:$AA$5,0),FALSE)*R6),0)</f>
        <v>54</v>
      </c>
      <c r="R6" s="36">
        <f t="shared" si="12"/>
        <v>270</v>
      </c>
      <c r="S6" s="89">
        <f>IFERROR(ROUND(IF($D6="SSJ",(VLOOKUP($H6,'Programa Drench'!$B$6:$AA$182,MATCH(S$2,'Programa Drench'!$B$5:$AA$5,0),FALSE)),VLOOKUP($H6,'Programa Drench'!$B$6:$AA$182,MATCH(S$2,'Programa Drench'!$B$5:$AA$5,0),FALSE)),1),0)</f>
        <v>0</v>
      </c>
      <c r="T6" s="30">
        <f>IFERROR((VLOOKUP($H6,'Programa Drench'!$B$6:$AA$182,MATCH(T$2,'Programa Drench'!$B$5:$AA$5,0),FALSE)),0)</f>
        <v>0</v>
      </c>
      <c r="U6" s="36">
        <f>IFERROR((VLOOKUP($H6,'Programa Drench'!$B$6:$AA$182,MATCH(U$2,'Programa Drench'!$B$5:$AA$5,0),FALSE)*V6),0)</f>
        <v>0</v>
      </c>
      <c r="V6" s="36">
        <f t="shared" si="13"/>
        <v>0</v>
      </c>
      <c r="W6" s="89">
        <f>IFERROR(ROUND(IF($D6="SSJ",(VLOOKUP($H6,'Programa Drench'!$B$6:$AA$182,MATCH(W$2,'Programa Drench'!$B$5:$AA$5,0),FALSE)),VLOOKUP($H6,'Programa Drench'!$B$6:$AA$182,MATCH(W$2,'Programa Drench'!$B$5:$AA$5,0),FALSE)),1),0)</f>
        <v>0</v>
      </c>
      <c r="X6" s="30">
        <f>IFERROR((VLOOKUP($H6,'Programa Drench'!$B$6:$AA$182,MATCH(X$2,'Programa Drench'!$B$5:$AA$5,0),FALSE)),0)</f>
        <v>0</v>
      </c>
      <c r="Y6" s="36">
        <f>IFERROR((VLOOKUP($H6,'Programa Drench'!$B$6:$AA$182,MATCH(Y$2,'Programa Drench'!$B$5:$AA$5,0),FALSE)*Z6),0)</f>
        <v>0</v>
      </c>
      <c r="Z6" s="36">
        <f t="shared" si="14"/>
        <v>0</v>
      </c>
      <c r="AA6" s="89">
        <f>IFERROR(ROUND(IF($D6="SSJ",(VLOOKUP($H6,'Programa Drench'!$B$6:$AA$182,MATCH(AA$2,'Programa Drench'!$B$5:$AA$5,0),FALSE)),VLOOKUP($H6,'Programa Drench'!$B$6:$AA$182,MATCH(AA$2,'Programa Drench'!$B$5:$AA$5,0),FALSE)),1),0)</f>
        <v>0</v>
      </c>
      <c r="AB6" s="30">
        <f>IFERROR((VLOOKUP($H6,'Programa Drench'!$B$6:$AA$182,MATCH(AB$2,'Programa Drench'!$B$5:$AA$5,0),FALSE)),0)</f>
        <v>0</v>
      </c>
      <c r="AC6" s="83">
        <f>IFERROR((VLOOKUP($H6,'Programa Drench'!$B$6:$AA$182,MATCH(AC$2,'Programa Drench'!$B$5:$AA$5,0),FALSE)*$I6),0)</f>
        <v>0</v>
      </c>
      <c r="AD6" s="36">
        <f t="shared" si="15"/>
        <v>0</v>
      </c>
      <c r="AE6" s="36">
        <f>IFERROR(ROUND((VLOOKUP($H6,'Programa Drench'!$B$6:$AA$182,MATCH(AE$2,'Programa Drench'!$B$5:$AA$5,0),FALSE)),-1),0)</f>
        <v>0</v>
      </c>
      <c r="AF6" s="30">
        <f>IFERROR((VLOOKUP($H6,'Programa Drench'!$B$6:$AA$182,MATCH(AF$2,'Programa Drench'!$B$5:$AA$5,0),FALSE)),0)</f>
        <v>0</v>
      </c>
      <c r="AG6" s="36">
        <f>IFERROR((VLOOKUP($H6,'Programa Drench'!$B$6:$AA$182,MATCH(AG$2,'Programa Drench'!$B$5:$AA$5,0),FALSE)*AH6),0)</f>
        <v>0</v>
      </c>
      <c r="AH6" s="36">
        <f>IFERROR(ROUND((VLOOKUP($H6,'Programa Drench'!$B$6:$AA$182,MATCH(AH$2,'Programa Drench'!$B$5:$AA$5,0),FALSE)*$I6),-1),0)</f>
        <v>0</v>
      </c>
      <c r="AI6" s="89">
        <f>IFERROR((VLOOKUP($H6,'Programa Drench'!$B$6:$AA$182,MATCH(AI$2,'Programa Drench'!$B$5:$AA$5,0),FALSE)),0)</f>
        <v>1.7</v>
      </c>
    </row>
    <row r="7" spans="1:35" ht="15" customHeight="1" x14ac:dyDescent="0.2">
      <c r="A7" s="14">
        <f t="shared" si="0"/>
        <v>12</v>
      </c>
      <c r="B7" s="77">
        <v>23</v>
      </c>
      <c r="C7" s="54">
        <v>2608</v>
      </c>
      <c r="D7" s="54" t="s">
        <v>1872</v>
      </c>
      <c r="E7" s="54" t="s">
        <v>480</v>
      </c>
      <c r="F7" s="54" t="s">
        <v>286</v>
      </c>
      <c r="G7" s="53" t="str">
        <f t="shared" si="8"/>
        <v>P</v>
      </c>
      <c r="H7" s="55" t="str">
        <f t="shared" si="9"/>
        <v>12 P XL</v>
      </c>
      <c r="I7" s="262">
        <f>IF(D7="MM1",VLOOKUP($B7,'Inf Bloques'!$A$1:$K$453,11,FALSE)*1,VLOOKUP($B7,'Inf Bloques'!$A$1:$K$453,11,FALSE))</f>
        <v>38.975649999999966</v>
      </c>
      <c r="J7" s="3">
        <f t="shared" si="10"/>
        <v>4.3306277777777744</v>
      </c>
      <c r="K7" s="89">
        <f>IFERROR(ROUND(IF($D7="SSJ",(VLOOKUP($H7,'Programa Drench'!$B$6:$AA$182,MATCH(K$2,'Programa Drench'!$B$5:$AA$5,0),FALSE)),VLOOKUP($H7,'Programa Drench'!$B$6:$AA$182,MATCH(K$2,'Programa Drench'!$B$5:$AA$5,0),FALSE)),1),0)</f>
        <v>50</v>
      </c>
      <c r="L7" s="30" t="str">
        <f>IFERROR((VLOOKUP($H7,'Programa Drench'!$B$6:$AA$182,MATCH(L$2,'Programa Drench'!$B$5:$AA$5,0),FALSE)),0)</f>
        <v>ALCAPLANT</v>
      </c>
      <c r="M7" s="36">
        <f>IFERROR((VLOOKUP($H7,'Programa Drench'!$B$6:$AA$182,MATCH(M$2,'Programa Drench'!$B$5:$AA$5,0),FALSE)*N7),0)</f>
        <v>2145</v>
      </c>
      <c r="N7" s="36">
        <f t="shared" si="11"/>
        <v>1950</v>
      </c>
      <c r="O7" s="89">
        <f>IFERROR(ROUND(IF($D7="SSJ",(VLOOKUP($H7,'Programa Drench'!$B$6:$AA$182,MATCH(O$2,'Programa Drench'!$B$5:$AA$5,0),FALSE)),VLOOKUP($H7,'Programa Drench'!$B$6:$AA$182,MATCH(O$2,'Programa Drench'!$B$5:$AA$5,0),FALSE)),1),0)</f>
        <v>0</v>
      </c>
      <c r="P7" s="30">
        <f>IFERROR((VLOOKUP($H7,'Programa Drench'!$B$6:$AA$182,MATCH(P$2,'Programa Drench'!$B$5:$AA$5,0),FALSE)),0)</f>
        <v>0</v>
      </c>
      <c r="Q7" s="36">
        <f>IFERROR((VLOOKUP($H7,'Programa Drench'!$B$6:$AA$182,MATCH(Q$2,'Programa Drench'!$B$5:$AA$5,0),FALSE)*R7),0)</f>
        <v>0</v>
      </c>
      <c r="R7" s="36">
        <f t="shared" si="12"/>
        <v>0</v>
      </c>
      <c r="S7" s="89">
        <f>IFERROR(ROUND(IF($D7="SSJ",(VLOOKUP($H7,'Programa Drench'!$B$6:$AA$182,MATCH(S$2,'Programa Drench'!$B$5:$AA$5,0),FALSE)),VLOOKUP($H7,'Programa Drench'!$B$6:$AA$182,MATCH(S$2,'Programa Drench'!$B$5:$AA$5,0),FALSE)),1),0)</f>
        <v>0</v>
      </c>
      <c r="T7" s="30">
        <f>IFERROR((VLOOKUP($H7,'Programa Drench'!$B$6:$AA$182,MATCH(T$2,'Programa Drench'!$B$5:$AA$5,0),FALSE)),0)</f>
        <v>0</v>
      </c>
      <c r="U7" s="36">
        <f>IFERROR((VLOOKUP($H7,'Programa Drench'!$B$6:$AA$182,MATCH(U$2,'Programa Drench'!$B$5:$AA$5,0),FALSE)*V7),0)</f>
        <v>0</v>
      </c>
      <c r="V7" s="36">
        <f t="shared" si="13"/>
        <v>0</v>
      </c>
      <c r="W7" s="89">
        <f>IFERROR(ROUND(IF($D7="SSJ",(VLOOKUP($H7,'Programa Drench'!$B$6:$AA$182,MATCH(W$2,'Programa Drench'!$B$5:$AA$5,0),FALSE)),VLOOKUP($H7,'Programa Drench'!$B$6:$AA$182,MATCH(W$2,'Programa Drench'!$B$5:$AA$5,0),FALSE)),1),0)</f>
        <v>0</v>
      </c>
      <c r="X7" s="30">
        <f>IFERROR((VLOOKUP($H7,'Programa Drench'!$B$6:$AA$182,MATCH(X$2,'Programa Drench'!$B$5:$AA$5,0),FALSE)),0)</f>
        <v>0</v>
      </c>
      <c r="Y7" s="36">
        <f>IFERROR((VLOOKUP($H7,'Programa Drench'!$B$6:$AA$182,MATCH(Y$2,'Programa Drench'!$B$5:$AA$5,0),FALSE)*Z7),0)</f>
        <v>0</v>
      </c>
      <c r="Z7" s="36">
        <f t="shared" si="14"/>
        <v>0</v>
      </c>
      <c r="AA7" s="89">
        <f>IFERROR(ROUND(IF($D7="SSJ",(VLOOKUP($H7,'Programa Drench'!$B$6:$AA$182,MATCH(AA$2,'Programa Drench'!$B$5:$AA$5,0),FALSE)),VLOOKUP($H7,'Programa Drench'!$B$6:$AA$182,MATCH(AA$2,'Programa Drench'!$B$5:$AA$5,0),FALSE)),1),0)</f>
        <v>0</v>
      </c>
      <c r="AB7" s="30">
        <f>IFERROR((VLOOKUP($H7,'Programa Drench'!$B$6:$AA$182,MATCH(AB$2,'Programa Drench'!$B$5:$AA$5,0),FALSE)),0)</f>
        <v>0</v>
      </c>
      <c r="AC7" s="83">
        <f>IFERROR((VLOOKUP($H7,'Programa Drench'!$B$6:$AA$182,MATCH(AC$2,'Programa Drench'!$B$5:$AA$5,0),FALSE)*$I7),0)</f>
        <v>0</v>
      </c>
      <c r="AD7" s="36">
        <f t="shared" si="15"/>
        <v>0</v>
      </c>
      <c r="AE7" s="36">
        <f>IFERROR(ROUND((VLOOKUP($H7,'Programa Drench'!$B$6:$AA$182,MATCH(AE$2,'Programa Drench'!$B$5:$AA$5,0),FALSE)),-1),0)</f>
        <v>0</v>
      </c>
      <c r="AF7" s="30">
        <f>IFERROR((VLOOKUP($H7,'Programa Drench'!$B$6:$AA$182,MATCH(AF$2,'Programa Drench'!$B$5:$AA$5,0),FALSE)),0)</f>
        <v>0</v>
      </c>
      <c r="AG7" s="36">
        <f>IFERROR((VLOOKUP($H7,'Programa Drench'!$B$6:$AA$182,MATCH(AG$2,'Programa Drench'!$B$5:$AA$5,0),FALSE)*AH7),0)</f>
        <v>0</v>
      </c>
      <c r="AH7" s="36">
        <f>IFERROR(ROUND((VLOOKUP($H7,'Programa Drench'!$B$6:$AA$182,MATCH(AH$2,'Programa Drench'!$B$5:$AA$5,0),FALSE)*$I7),-1),0)</f>
        <v>0</v>
      </c>
      <c r="AI7" s="89">
        <f>IFERROR((VLOOKUP($H7,'Programa Drench'!$B$6:$AA$182,MATCH(AI$2,'Programa Drench'!$B$5:$AA$5,0),FALSE)),0)</f>
        <v>1.1000000000000001</v>
      </c>
    </row>
    <row r="8" spans="1:35" ht="15" customHeight="1" x14ac:dyDescent="0.2">
      <c r="A8" s="14">
        <f t="shared" si="0"/>
        <v>11</v>
      </c>
      <c r="B8" s="77">
        <v>4</v>
      </c>
      <c r="C8" s="54">
        <v>2609</v>
      </c>
      <c r="D8" s="54" t="s">
        <v>1872</v>
      </c>
      <c r="E8" s="54" t="s">
        <v>480</v>
      </c>
      <c r="F8" s="54" t="s">
        <v>286</v>
      </c>
      <c r="G8" s="53" t="str">
        <f t="shared" si="8"/>
        <v>P</v>
      </c>
      <c r="H8" s="55" t="str">
        <f t="shared" si="9"/>
        <v>11 P XL</v>
      </c>
      <c r="I8" s="262">
        <f>IF(D8="MM1",VLOOKUP($B8,'Inf Bloques'!$A$1:$K$453,11,FALSE)*1,VLOOKUP($B8,'Inf Bloques'!$A$1:$K$453,11,FALSE))</f>
        <v>31.330999999999975</v>
      </c>
      <c r="J8" s="3">
        <f t="shared" si="10"/>
        <v>3.4812222222222196</v>
      </c>
      <c r="K8" s="89">
        <f>IFERROR(ROUND(IF($D8="SSJ",(VLOOKUP($H8,'Programa Drench'!$B$6:$AA$182,MATCH(K$2,'Programa Drench'!$B$5:$AA$5,0),FALSE)),VLOOKUP($H8,'Programa Drench'!$B$6:$AA$182,MATCH(K$2,'Programa Drench'!$B$5:$AA$5,0),FALSE)),1),0)</f>
        <v>7</v>
      </c>
      <c r="L8" s="30" t="str">
        <f>IFERROR((VLOOKUP($H8,'Programa Drench'!$B$6:$AA$182,MATCH(L$2,'Programa Drench'!$B$5:$AA$5,0),FALSE)),0)</f>
        <v>Sulfex</v>
      </c>
      <c r="M8" s="36">
        <f>IFERROR((VLOOKUP($H8,'Programa Drench'!$B$6:$AA$182,MATCH(M$2,'Programa Drench'!$B$5:$AA$5,0),FALSE)*N8),0)</f>
        <v>330</v>
      </c>
      <c r="N8" s="36">
        <f t="shared" si="11"/>
        <v>220</v>
      </c>
      <c r="O8" s="89">
        <f>IFERROR(ROUND(IF($D8="SSJ",(VLOOKUP($H8,'Programa Drench'!$B$6:$AA$182,MATCH(O$2,'Programa Drench'!$B$5:$AA$5,0),FALSE)),VLOOKUP($H8,'Programa Drench'!$B$6:$AA$182,MATCH(O$2,'Programa Drench'!$B$5:$AA$5,0),FALSE)),1),0)</f>
        <v>7</v>
      </c>
      <c r="P8" s="30" t="str">
        <f>IFERROR((VLOOKUP($H8,'Programa Drench'!$B$6:$AA$182,MATCH(P$2,'Programa Drench'!$B$5:$AA$5,0),FALSE)),0)</f>
        <v>Agral</v>
      </c>
      <c r="Q8" s="36">
        <f>IFERROR((VLOOKUP($H8,'Programa Drench'!$B$6:$AA$182,MATCH(Q$2,'Programa Drench'!$B$5:$AA$5,0),FALSE)*R8),0)</f>
        <v>44</v>
      </c>
      <c r="R8" s="36">
        <f>IFERROR(ROUND((O8*$I8),-1),0)</f>
        <v>220</v>
      </c>
      <c r="S8" s="89">
        <f>IFERROR(ROUND(IF($D8="SSJ",(VLOOKUP($H8,'Programa Drench'!$B$6:$AA$182,MATCH(S$2,'Programa Drench'!$B$5:$AA$5,0),FALSE)),VLOOKUP($H8,'Programa Drench'!$B$6:$AA$182,MATCH(S$2,'Programa Drench'!$B$5:$AA$5,0),FALSE)),1),0)</f>
        <v>0</v>
      </c>
      <c r="T8" s="30">
        <f>IFERROR((VLOOKUP($H8,'Programa Drench'!$B$6:$AA$182,MATCH(T$2,'Programa Drench'!$B$5:$AA$5,0),FALSE)),0)</f>
        <v>0</v>
      </c>
      <c r="U8" s="36">
        <f>IFERROR((VLOOKUP($H8,'Programa Drench'!$B$6:$AA$182,MATCH(U$2,'Programa Drench'!$B$5:$AA$5,0),FALSE)*V8),0)</f>
        <v>0</v>
      </c>
      <c r="V8" s="36">
        <f t="shared" si="13"/>
        <v>0</v>
      </c>
      <c r="W8" s="89">
        <f>IFERROR(ROUND(IF($D8="SSJ",(VLOOKUP($H8,'Programa Drench'!$B$6:$AA$182,MATCH(W$2,'Programa Drench'!$B$5:$AA$5,0),FALSE)),VLOOKUP($H8,'Programa Drench'!$B$6:$AA$182,MATCH(W$2,'Programa Drench'!$B$5:$AA$5,0),FALSE)),1),0)</f>
        <v>0</v>
      </c>
      <c r="X8" s="30">
        <f>IFERROR((VLOOKUP($H8,'Programa Drench'!$B$6:$AA$182,MATCH(X$2,'Programa Drench'!$B$5:$AA$5,0),FALSE)),0)</f>
        <v>0</v>
      </c>
      <c r="Y8" s="36">
        <f>IFERROR((VLOOKUP($H8,'Programa Drench'!$B$6:$AA$182,MATCH(Y$2,'Programa Drench'!$B$5:$AA$5,0),FALSE)*Z8),0)</f>
        <v>0</v>
      </c>
      <c r="Z8" s="36">
        <f t="shared" si="14"/>
        <v>0</v>
      </c>
      <c r="AA8" s="89">
        <f>IFERROR(ROUND(IF($D8="SSJ",(VLOOKUP($H8,'Programa Drench'!$B$6:$AA$182,MATCH(AA$2,'Programa Drench'!$B$5:$AA$5,0),FALSE)),VLOOKUP($H8,'Programa Drench'!$B$6:$AA$182,MATCH(AA$2,'Programa Drench'!$B$5:$AA$5,0),FALSE)),1),0)</f>
        <v>0</v>
      </c>
      <c r="AB8" s="30">
        <f>IFERROR((VLOOKUP($H8,'Programa Drench'!$B$6:$AA$182,MATCH(AB$2,'Programa Drench'!$B$5:$AA$5,0),FALSE)),0)</f>
        <v>0</v>
      </c>
      <c r="AC8" s="83">
        <f>IFERROR((VLOOKUP($H8,'Programa Drench'!$B$6:$AA$182,MATCH(AC$2,'Programa Drench'!$B$5:$AA$5,0),FALSE)*$I8),0)</f>
        <v>0</v>
      </c>
      <c r="AD8" s="36">
        <f t="shared" si="15"/>
        <v>0</v>
      </c>
      <c r="AE8" s="36">
        <f>IFERROR(ROUND((VLOOKUP($H8,'Programa Drench'!$B$6:$AA$182,MATCH(AE$2,'Programa Drench'!$B$5:$AA$5,0),FALSE)),-1),0)</f>
        <v>0</v>
      </c>
      <c r="AF8" s="30">
        <f>IFERROR((VLOOKUP($H8,'Programa Drench'!$B$6:$AA$182,MATCH(AF$2,'Programa Drench'!$B$5:$AA$5,0),FALSE)),0)</f>
        <v>0</v>
      </c>
      <c r="AG8" s="36">
        <f>IFERROR((VLOOKUP($H8,'Programa Drench'!$B$6:$AA$182,MATCH(AG$2,'Programa Drench'!$B$5:$AA$5,0),FALSE)*AH8),0)</f>
        <v>0</v>
      </c>
      <c r="AH8" s="36">
        <f>IFERROR(ROUND((VLOOKUP($H8,'Programa Drench'!$B$6:$AA$182,MATCH(AH$2,'Programa Drench'!$B$5:$AA$5,0),FALSE)*$I8),-1),0)</f>
        <v>0</v>
      </c>
      <c r="AI8" s="89">
        <f>IFERROR((VLOOKUP($H8,'Programa Drench'!$B$6:$AA$182,MATCH(AI$2,'Programa Drench'!$B$5:$AA$5,0),FALSE)),0)</f>
        <v>1.7</v>
      </c>
    </row>
    <row r="9" spans="1:35" ht="15" customHeight="1" x14ac:dyDescent="0.2">
      <c r="A9" s="14">
        <f t="shared" si="0"/>
        <v>10</v>
      </c>
      <c r="B9" s="77">
        <v>9</v>
      </c>
      <c r="C9" s="54">
        <v>2610</v>
      </c>
      <c r="D9" s="54" t="s">
        <v>1872</v>
      </c>
      <c r="E9" s="54" t="s">
        <v>480</v>
      </c>
      <c r="F9" s="54" t="s">
        <v>286</v>
      </c>
      <c r="G9" s="53" t="str">
        <f t="shared" si="8"/>
        <v>P</v>
      </c>
      <c r="H9" s="55" t="str">
        <f t="shared" si="9"/>
        <v>10 P XL</v>
      </c>
      <c r="I9" s="262">
        <f>IF(D9="MM1",VLOOKUP($B9,'Inf Bloques'!$A$1:$K$453,11,FALSE)*1,VLOOKUP($B9,'Inf Bloques'!$A$1:$K$453,11,FALSE))</f>
        <v>39.519683333333347</v>
      </c>
      <c r="J9" s="3">
        <f t="shared" si="10"/>
        <v>4.3910759259259278</v>
      </c>
      <c r="K9" s="89">
        <f>IFERROR(ROUND(IF($D9="SSJ",(VLOOKUP($H9,'Programa Drench'!$B$6:$AA$182,MATCH(K$2,'Programa Drench'!$B$5:$AA$5,0),FALSE)),VLOOKUP($H9,'Programa Drench'!$B$6:$AA$182,MATCH(K$2,'Programa Drench'!$B$5:$AA$5,0),FALSE)),1),0)</f>
        <v>10</v>
      </c>
      <c r="L9" s="30" t="str">
        <f>IFERROR((VLOOKUP($H9,'Programa Drench'!$B$6:$AA$182,MATCH(L$2,'Programa Drench'!$B$5:$AA$5,0),FALSE)),0)</f>
        <v>Bac</v>
      </c>
      <c r="M9" s="36">
        <f>IFERROR((VLOOKUP($H9,'Programa Drench'!$B$6:$AA$182,MATCH(M$2,'Programa Drench'!$B$5:$AA$5,0),FALSE)*N9),0)</f>
        <v>800</v>
      </c>
      <c r="N9" s="36">
        <f t="shared" si="11"/>
        <v>400</v>
      </c>
      <c r="O9" s="89">
        <f>IFERROR(ROUND(IF($D9="SSJ",(VLOOKUP($H9,'Programa Drench'!$B$6:$AA$182,MATCH(O$2,'Programa Drench'!$B$5:$AA$5,0),FALSE)),VLOOKUP($H9,'Programa Drench'!$B$6:$AA$182,MATCH(O$2,'Programa Drench'!$B$5:$AA$5,0),FALSE)),1),0)</f>
        <v>10</v>
      </c>
      <c r="P9" s="30" t="str">
        <f>IFERROR((VLOOKUP($H9,'Programa Drench'!$B$6:$AA$182,MATCH(P$2,'Programa Drench'!$B$5:$AA$5,0),FALSE)),0)</f>
        <v>Agral</v>
      </c>
      <c r="Q9" s="36">
        <f>IFERROR((VLOOKUP($H9,'Programa Drench'!$B$6:$AA$182,MATCH(Q$2,'Programa Drench'!$B$5:$AA$5,0),FALSE)*R9),0)</f>
        <v>80</v>
      </c>
      <c r="R9" s="36">
        <f t="shared" si="12"/>
        <v>400</v>
      </c>
      <c r="S9" s="89">
        <f>IFERROR(ROUND(IF($D9="SSJ",(VLOOKUP($H9,'Programa Drench'!$B$6:$AA$182,MATCH(S$2,'Programa Drench'!$B$5:$AA$5,0),FALSE)),VLOOKUP($H9,'Programa Drench'!$B$6:$AA$182,MATCH(S$2,'Programa Drench'!$B$5:$AA$5,0),FALSE)),1),0)</f>
        <v>0</v>
      </c>
      <c r="T9" s="30">
        <f>IFERROR((VLOOKUP($H9,'Programa Drench'!$B$6:$AA$182,MATCH(T$2,'Programa Drench'!$B$5:$AA$5,0),FALSE)),0)</f>
        <v>0</v>
      </c>
      <c r="U9" s="36">
        <f>IFERROR((VLOOKUP($H9,'Programa Drench'!$B$6:$AA$182,MATCH(U$2,'Programa Drench'!$B$5:$AA$5,0),FALSE)*V9),0)</f>
        <v>0</v>
      </c>
      <c r="V9" s="36">
        <f t="shared" si="13"/>
        <v>0</v>
      </c>
      <c r="W9" s="89">
        <f>IFERROR(ROUND(IF($D9="SSJ",(VLOOKUP($H9,'Programa Drench'!$B$6:$AA$182,MATCH(W$2,'Programa Drench'!$B$5:$AA$5,0),FALSE)),VLOOKUP($H9,'Programa Drench'!$B$6:$AA$182,MATCH(W$2,'Programa Drench'!$B$5:$AA$5,0),FALSE)),1),0)</f>
        <v>0</v>
      </c>
      <c r="X9" s="30">
        <f>IFERROR((VLOOKUP($H9,'Programa Drench'!$B$6:$AA$182,MATCH(X$2,'Programa Drench'!$B$5:$AA$5,0),FALSE)),0)</f>
        <v>0</v>
      </c>
      <c r="Y9" s="36">
        <f>IFERROR((VLOOKUP($H9,'Programa Drench'!$B$6:$AA$182,MATCH(Y$2,'Programa Drench'!$B$5:$AA$5,0),FALSE)*Z9),0)</f>
        <v>0</v>
      </c>
      <c r="Z9" s="36">
        <f t="shared" si="14"/>
        <v>0</v>
      </c>
      <c r="AA9" s="89">
        <f>IFERROR(ROUND(IF($D9="SSJ",(VLOOKUP($H9,'Programa Drench'!$B$6:$AA$182,MATCH(AA$2,'Programa Drench'!$B$5:$AA$5,0),FALSE)),VLOOKUP($H9,'Programa Drench'!$B$6:$AA$182,MATCH(AA$2,'Programa Drench'!$B$5:$AA$5,0),FALSE)),1),0)</f>
        <v>0</v>
      </c>
      <c r="AB9" s="30">
        <f>IFERROR((VLOOKUP($H9,'Programa Drench'!$B$6:$AA$182,MATCH(AB$2,'Programa Drench'!$B$5:$AA$5,0),FALSE)),0)</f>
        <v>0</v>
      </c>
      <c r="AC9" s="83">
        <f>IFERROR((VLOOKUP($H9,'Programa Drench'!$B$6:$AA$182,MATCH(AC$2,'Programa Drench'!$B$5:$AA$5,0),FALSE)*$I9),0)</f>
        <v>0</v>
      </c>
      <c r="AD9" s="36">
        <f t="shared" si="15"/>
        <v>0</v>
      </c>
      <c r="AE9" s="36">
        <f>IFERROR(ROUND((VLOOKUP($H9,'Programa Drench'!$B$6:$AA$182,MATCH(AE$2,'Programa Drench'!$B$5:$AA$5,0),FALSE)),-1),0)</f>
        <v>0</v>
      </c>
      <c r="AF9" s="30">
        <f>IFERROR((VLOOKUP($H9,'Programa Drench'!$B$6:$AA$182,MATCH(AF$2,'Programa Drench'!$B$5:$AA$5,0),FALSE)),0)</f>
        <v>0</v>
      </c>
      <c r="AG9" s="36">
        <f>IFERROR((VLOOKUP($H9,'Programa Drench'!$B$6:$AA$182,MATCH(AG$2,'Programa Drench'!$B$5:$AA$5,0),FALSE)*AH9),0)</f>
        <v>0</v>
      </c>
      <c r="AH9" s="36">
        <f>IFERROR(ROUND((VLOOKUP($H9,'Programa Drench'!$B$6:$AA$182,MATCH(AH$2,'Programa Drench'!$B$5:$AA$5,0),FALSE)*$I9),-1),0)</f>
        <v>0</v>
      </c>
      <c r="AI9" s="89">
        <f>IFERROR((VLOOKUP($H9,'Programa Drench'!$B$6:$AA$182,MATCH(AI$2,'Programa Drench'!$B$5:$AA$5,0),FALSE)),0)</f>
        <v>2.2000000000000002</v>
      </c>
    </row>
    <row r="10" spans="1:35" ht="15" customHeight="1" x14ac:dyDescent="0.2">
      <c r="A10" s="14">
        <f t="shared" si="0"/>
        <v>10</v>
      </c>
      <c r="B10" s="77" t="s">
        <v>1904</v>
      </c>
      <c r="C10" s="54">
        <v>2610</v>
      </c>
      <c r="D10" s="54" t="s">
        <v>1872</v>
      </c>
      <c r="E10" s="54" t="s">
        <v>923</v>
      </c>
      <c r="F10" s="54" t="s">
        <v>1109</v>
      </c>
      <c r="G10" s="53" t="str">
        <f t="shared" si="8"/>
        <v>S</v>
      </c>
      <c r="H10" s="55" t="str">
        <f t="shared" si="9"/>
        <v>10 S CLO</v>
      </c>
      <c r="I10" s="262">
        <f>IF(D10="MM1",VLOOKUP($B10,'Inf Bloques'!$A$1:$K$453,11,FALSE)*1,VLOOKUP($B10,'Inf Bloques'!$A$1:$K$453,11,FALSE))</f>
        <v>16.150000000000002</v>
      </c>
      <c r="J10" s="3">
        <f t="shared" si="10"/>
        <v>1.7944444444444447</v>
      </c>
      <c r="K10" s="89">
        <f>IFERROR(ROUND(IF($D10="SSJ",(VLOOKUP($H10,'Programa Drench'!$B$6:$AA$182,MATCH(K$2,'Programa Drench'!$B$5:$AA$5,0),FALSE)),VLOOKUP($H10,'Programa Drench'!$B$6:$AA$182,MATCH(K$2,'Programa Drench'!$B$5:$AA$5,0),FALSE)),1),0)</f>
        <v>50</v>
      </c>
      <c r="L10" s="30" t="str">
        <f>IFERROR((VLOOKUP($H10,'Programa Drench'!$B$6:$AA$182,MATCH(L$2,'Programa Drench'!$B$5:$AA$5,0),FALSE)),0)</f>
        <v>Beauveria</v>
      </c>
      <c r="M10" s="36">
        <f>IFERROR((VLOOKUP($H10,'Programa Drench'!$B$6:$AA$182,MATCH(M$2,'Programa Drench'!$B$5:$AA$5,0),FALSE)*N10),0)</f>
        <v>4860</v>
      </c>
      <c r="N10" s="36">
        <f t="shared" si="11"/>
        <v>810</v>
      </c>
      <c r="O10" s="89">
        <f>IFERROR(ROUND(IF($D10="SSJ",(VLOOKUP($H10,'Programa Drench'!$B$6:$AA$182,MATCH(O$2,'Programa Drench'!$B$5:$AA$5,0),FALSE)),VLOOKUP($H10,'Programa Drench'!$B$6:$AA$182,MATCH(O$2,'Programa Drench'!$B$5:$AA$5,0),FALSE)),1),0)</f>
        <v>50</v>
      </c>
      <c r="P10" s="30" t="str">
        <f>IFERROR((VLOOKUP($H10,'Programa Drench'!$B$6:$AA$182,MATCH(P$2,'Programa Drench'!$B$5:$AA$5,0),FALSE)),0)</f>
        <v>Paecilomyces</v>
      </c>
      <c r="Q10" s="36">
        <f>IFERROR((VLOOKUP($H10,'Programa Drench'!$B$6:$AA$182,MATCH(Q$2,'Programa Drench'!$B$5:$AA$5,0),FALSE)*R10),0)</f>
        <v>6480</v>
      </c>
      <c r="R10" s="36">
        <f t="shared" si="12"/>
        <v>810</v>
      </c>
      <c r="S10" s="89">
        <f>IFERROR(ROUND(IF($D10="SSJ",(VLOOKUP($H10,'Programa Drench'!$B$6:$AA$182,MATCH(S$2,'Programa Drench'!$B$5:$AA$5,0),FALSE)),VLOOKUP($H10,'Programa Drench'!$B$6:$AA$182,MATCH(S$2,'Programa Drench'!$B$5:$AA$5,0),FALSE)),1),0)</f>
        <v>0</v>
      </c>
      <c r="T10" s="30">
        <f>IFERROR((VLOOKUP($H10,'Programa Drench'!$B$6:$AA$182,MATCH(T$2,'Programa Drench'!$B$5:$AA$5,0),FALSE)),0)</f>
        <v>0</v>
      </c>
      <c r="U10" s="36">
        <f>IFERROR((VLOOKUP($H10,'Programa Drench'!$B$6:$AA$182,MATCH(U$2,'Programa Drench'!$B$5:$AA$5,0),FALSE)*V10),0)</f>
        <v>0</v>
      </c>
      <c r="V10" s="36">
        <f t="shared" si="13"/>
        <v>0</v>
      </c>
      <c r="W10" s="89">
        <f>IFERROR(ROUND(IF($D10="SSJ",(VLOOKUP($H10,'Programa Drench'!$B$6:$AA$182,MATCH(W$2,'Programa Drench'!$B$5:$AA$5,0),FALSE)),VLOOKUP($H10,'Programa Drench'!$B$6:$AA$182,MATCH(W$2,'Programa Drench'!$B$5:$AA$5,0),FALSE)),1),0)</f>
        <v>0</v>
      </c>
      <c r="X10" s="30">
        <f>IFERROR((VLOOKUP($H10,'Programa Drench'!$B$6:$AA$182,MATCH(X$2,'Programa Drench'!$B$5:$AA$5,0),FALSE)),0)</f>
        <v>0</v>
      </c>
      <c r="Y10" s="36">
        <f>IFERROR((VLOOKUP($H10,'Programa Drench'!$B$6:$AA$182,MATCH(Y$2,'Programa Drench'!$B$5:$AA$5,0),FALSE)*Z10),0)</f>
        <v>0</v>
      </c>
      <c r="Z10" s="36">
        <f t="shared" si="14"/>
        <v>0</v>
      </c>
      <c r="AA10" s="89">
        <f>IFERROR(ROUND(IF($D10="SSJ",(VLOOKUP($H10,'Programa Drench'!$B$6:$AA$182,MATCH(AA$2,'Programa Drench'!$B$5:$AA$5,0),FALSE)),VLOOKUP($H10,'Programa Drench'!$B$6:$AA$182,MATCH(AA$2,'Programa Drench'!$B$5:$AA$5,0),FALSE)),1),0)</f>
        <v>50</v>
      </c>
      <c r="AB10" s="30" t="str">
        <f>IFERROR((VLOOKUP($H10,'Programa Drench'!$B$6:$AA$182,MATCH(AB$2,'Programa Drench'!$B$5:$AA$5,0),FALSE)),0)</f>
        <v>Trichoderma</v>
      </c>
      <c r="AC10" s="83">
        <f>IFERROR((VLOOKUP($H10,'Programa Drench'!$B$6:$AA$182,MATCH(AC$2,'Programa Drench'!$B$5:$AA$5,0),FALSE)*$I10),0)</f>
        <v>16.150000000000002</v>
      </c>
      <c r="AD10" s="36">
        <f t="shared" si="15"/>
        <v>810</v>
      </c>
      <c r="AE10" s="36">
        <f>IFERROR(ROUND((VLOOKUP($H10,'Programa Drench'!$B$6:$AA$182,MATCH(AE$2,'Programa Drench'!$B$5:$AA$5,0),FALSE)),-1),0)</f>
        <v>0</v>
      </c>
      <c r="AF10" s="30">
        <f>IFERROR((VLOOKUP($H10,'Programa Drench'!$B$6:$AA$182,MATCH(AF$2,'Programa Drench'!$B$5:$AA$5,0),FALSE)),0)</f>
        <v>0</v>
      </c>
      <c r="AG10" s="36">
        <f>IFERROR((VLOOKUP($H10,'Programa Drench'!$B$6:$AA$182,MATCH(AG$2,'Programa Drench'!$B$5:$AA$5,0),FALSE)*AH10),0)</f>
        <v>0</v>
      </c>
      <c r="AH10" s="36">
        <f>IFERROR(ROUND((VLOOKUP($H10,'Programa Drench'!$B$6:$AA$182,MATCH(AH$2,'Programa Drench'!$B$5:$AA$5,0),FALSE)*$I10),-1),0)</f>
        <v>0</v>
      </c>
      <c r="AI10" s="89">
        <f>IFERROR((VLOOKUP($H10,'Programa Drench'!$B$6:$AA$182,MATCH(AI$2,'Programa Drench'!$B$5:$AA$5,0),FALSE)),0)</f>
        <v>15</v>
      </c>
    </row>
    <row r="11" spans="1:35" ht="15" customHeight="1" x14ac:dyDescent="0.2">
      <c r="A11" s="14">
        <f t="shared" si="0"/>
        <v>9</v>
      </c>
      <c r="B11" s="77">
        <v>14</v>
      </c>
      <c r="C11" s="54">
        <v>2611</v>
      </c>
      <c r="D11" s="54" t="s">
        <v>1872</v>
      </c>
      <c r="E11" s="54" t="s">
        <v>480</v>
      </c>
      <c r="F11" s="54" t="s">
        <v>286</v>
      </c>
      <c r="G11" s="53" t="str">
        <f t="shared" si="8"/>
        <v>P</v>
      </c>
      <c r="H11" s="55" t="str">
        <f t="shared" si="9"/>
        <v>9 P XL</v>
      </c>
      <c r="I11" s="262">
        <f>IF(D11="MM1",VLOOKUP($B11,'Inf Bloques'!$A$1:$K$453,11,FALSE)*1,VLOOKUP($B11,'Inf Bloques'!$A$1:$K$453,11,FALSE))</f>
        <v>39.59916666666664</v>
      </c>
      <c r="J11" s="3">
        <f t="shared" si="10"/>
        <v>4.3999074074074045</v>
      </c>
      <c r="K11" s="89">
        <f>IFERROR(ROUND(IF($D11="SSJ",(VLOOKUP($H11,'Programa Drench'!$B$6:$AA$182,MATCH(K$2,'Programa Drench'!$B$5:$AA$5,0),FALSE)),VLOOKUP($H11,'Programa Drench'!$B$6:$AA$182,MATCH(K$2,'Programa Drench'!$B$5:$AA$5,0),FALSE)),1),0)</f>
        <v>50</v>
      </c>
      <c r="L11" s="30" t="str">
        <f>IFERROR((VLOOKUP($H11,'Programa Drench'!$B$6:$AA$182,MATCH(L$2,'Programa Drench'!$B$5:$AA$5,0),FALSE)),0)</f>
        <v>Beauveria</v>
      </c>
      <c r="M11" s="36">
        <f>IFERROR((VLOOKUP($H11,'Programa Drench'!$B$6:$AA$182,MATCH(M$2,'Programa Drench'!$B$5:$AA$5,0),FALSE)*N11),0)</f>
        <v>11880</v>
      </c>
      <c r="N11" s="36">
        <f t="shared" si="11"/>
        <v>1980</v>
      </c>
      <c r="O11" s="89">
        <f>IFERROR(ROUND(IF($D11="SSJ",(VLOOKUP($H11,'Programa Drench'!$B$6:$AA$182,MATCH(O$2,'Programa Drench'!$B$5:$AA$5,0),FALSE)),VLOOKUP($H11,'Programa Drench'!$B$6:$AA$182,MATCH(O$2,'Programa Drench'!$B$5:$AA$5,0),FALSE)),1),0)</f>
        <v>50</v>
      </c>
      <c r="P11" s="30" t="str">
        <f>IFERROR((VLOOKUP($H11,'Programa Drench'!$B$6:$AA$182,MATCH(P$2,'Programa Drench'!$B$5:$AA$5,0),FALSE)),0)</f>
        <v>Paecilomyces</v>
      </c>
      <c r="Q11" s="36">
        <f>IFERROR((VLOOKUP($H11,'Programa Drench'!$B$6:$AA$182,MATCH(Q$2,'Programa Drench'!$B$5:$AA$5,0),FALSE)*R11),0)</f>
        <v>15840</v>
      </c>
      <c r="R11" s="36">
        <f t="shared" si="12"/>
        <v>1980</v>
      </c>
      <c r="S11" s="89">
        <f>IFERROR(ROUND(IF($D11="SSJ",(VLOOKUP($H11,'Programa Drench'!$B$6:$AA$182,MATCH(S$2,'Programa Drench'!$B$5:$AA$5,0),FALSE)),VLOOKUP($H11,'Programa Drench'!$B$6:$AA$182,MATCH(S$2,'Programa Drench'!$B$5:$AA$5,0),FALSE)),1),0)</f>
        <v>0</v>
      </c>
      <c r="T11" s="30">
        <f>IFERROR((VLOOKUP($H11,'Programa Drench'!$B$6:$AA$182,MATCH(T$2,'Programa Drench'!$B$5:$AA$5,0),FALSE)),0)</f>
        <v>0</v>
      </c>
      <c r="U11" s="36">
        <f>IFERROR((VLOOKUP($H11,'Programa Drench'!$B$6:$AA$182,MATCH(U$2,'Programa Drench'!$B$5:$AA$5,0),FALSE)*V11),0)</f>
        <v>0</v>
      </c>
      <c r="V11" s="36">
        <f t="shared" si="13"/>
        <v>0</v>
      </c>
      <c r="W11" s="89">
        <f>IFERROR(ROUND(IF($D11="SSJ",(VLOOKUP($H11,'Programa Drench'!$B$6:$AA$182,MATCH(W$2,'Programa Drench'!$B$5:$AA$5,0),FALSE)),VLOOKUP($H11,'Programa Drench'!$B$6:$AA$182,MATCH(W$2,'Programa Drench'!$B$5:$AA$5,0),FALSE)),1),0)</f>
        <v>0</v>
      </c>
      <c r="X11" s="30">
        <f>IFERROR((VLOOKUP($H11,'Programa Drench'!$B$6:$AA$182,MATCH(X$2,'Programa Drench'!$B$5:$AA$5,0),FALSE)),0)</f>
        <v>0</v>
      </c>
      <c r="Y11" s="36">
        <f>IFERROR((VLOOKUP($H11,'Programa Drench'!$B$6:$AA$182,MATCH(Y$2,'Programa Drench'!$B$5:$AA$5,0),FALSE)*Z11),0)</f>
        <v>0</v>
      </c>
      <c r="Z11" s="36">
        <f t="shared" si="14"/>
        <v>0</v>
      </c>
      <c r="AA11" s="89">
        <f>IFERROR(ROUND(IF($D11="SSJ",(VLOOKUP($H11,'Programa Drench'!$B$6:$AA$182,MATCH(AA$2,'Programa Drench'!$B$5:$AA$5,0),FALSE)),VLOOKUP($H11,'Programa Drench'!$B$6:$AA$182,MATCH(AA$2,'Programa Drench'!$B$5:$AA$5,0),FALSE)),1),0)</f>
        <v>50</v>
      </c>
      <c r="AB11" s="30" t="str">
        <f>IFERROR((VLOOKUP($H11,'Programa Drench'!$B$6:$AA$182,MATCH(AB$2,'Programa Drench'!$B$5:$AA$5,0),FALSE)),0)</f>
        <v>Trichoderma</v>
      </c>
      <c r="AC11" s="83">
        <f>IFERROR((VLOOKUP($H11,'Programa Drench'!$B$6:$AA$182,MATCH(AC$2,'Programa Drench'!$B$5:$AA$5,0),FALSE)*$I11),0)</f>
        <v>39.59916666666664</v>
      </c>
      <c r="AD11" s="36">
        <f t="shared" si="15"/>
        <v>1980</v>
      </c>
      <c r="AE11" s="36">
        <f>IFERROR(ROUND((VLOOKUP($H11,'Programa Drench'!$B$6:$AA$182,MATCH(AE$2,'Programa Drench'!$B$5:$AA$5,0),FALSE)),-1),0)</f>
        <v>0</v>
      </c>
      <c r="AF11" s="30">
        <f>IFERROR((VLOOKUP($H11,'Programa Drench'!$B$6:$AA$182,MATCH(AF$2,'Programa Drench'!$B$5:$AA$5,0),FALSE)),0)</f>
        <v>0</v>
      </c>
      <c r="AG11" s="36">
        <f>IFERROR((VLOOKUP($H11,'Programa Drench'!$B$6:$AA$182,MATCH(AG$2,'Programa Drench'!$B$5:$AA$5,0),FALSE)*AH11),0)</f>
        <v>0</v>
      </c>
      <c r="AH11" s="36">
        <f>IFERROR(ROUND((VLOOKUP($H11,'Programa Drench'!$B$6:$AA$182,MATCH(AH$2,'Programa Drench'!$B$5:$AA$5,0),FALSE)*$I11),-1),0)</f>
        <v>0</v>
      </c>
      <c r="AI11" s="89">
        <f>IFERROR((VLOOKUP($H11,'Programa Drench'!$B$6:$AA$182,MATCH(AI$2,'Programa Drench'!$B$5:$AA$5,0),FALSE)),0)</f>
        <v>15</v>
      </c>
    </row>
    <row r="12" spans="1:35" ht="15" customHeight="1" x14ac:dyDescent="0.2">
      <c r="A12" s="14">
        <f t="shared" si="0"/>
        <v>8</v>
      </c>
      <c r="B12" s="77">
        <v>7</v>
      </c>
      <c r="C12" s="54">
        <v>2612</v>
      </c>
      <c r="D12" s="54" t="s">
        <v>1872</v>
      </c>
      <c r="E12" s="54" t="s">
        <v>480</v>
      </c>
      <c r="F12" s="54" t="s">
        <v>286</v>
      </c>
      <c r="G12" s="53" t="str">
        <f t="shared" si="8"/>
        <v>P</v>
      </c>
      <c r="H12" s="55" t="str">
        <f t="shared" si="9"/>
        <v>8 P XL</v>
      </c>
      <c r="I12" s="262">
        <f>IF(D12="MM1",VLOOKUP($B12,'Inf Bloques'!$A$1:$K$453,11,FALSE)*1,VLOOKUP($B12,'Inf Bloques'!$A$1:$K$453,11,FALSE))</f>
        <v>38.41040000000001</v>
      </c>
      <c r="J12" s="3">
        <f t="shared" si="10"/>
        <v>4.2678222222222235</v>
      </c>
      <c r="K12" s="89">
        <f>IFERROR(ROUND(IF($D12="SSJ",(VLOOKUP($H12,'Programa Drench'!$B$6:$AA$182,MATCH(K$2,'Programa Drench'!$B$5:$AA$5,0),FALSE)),VLOOKUP($H12,'Programa Drench'!$B$6:$AA$182,MATCH(K$2,'Programa Drench'!$B$5:$AA$5,0),FALSE)),1),0)</f>
        <v>50</v>
      </c>
      <c r="L12" s="30" t="str">
        <f>IFERROR((VLOOKUP($H12,'Programa Drench'!$B$6:$AA$182,MATCH(L$2,'Programa Drench'!$B$5:$AA$5,0),FALSE)),0)</f>
        <v>RAIZA</v>
      </c>
      <c r="M12" s="36">
        <f>IFERROR((VLOOKUP($H12,'Programa Drench'!$B$6:$AA$182,MATCH(M$2,'Programa Drench'!$B$5:$AA$5,0),FALSE)*N12),0)</f>
        <v>633.6</v>
      </c>
      <c r="N12" s="36">
        <f t="shared" si="11"/>
        <v>1920</v>
      </c>
      <c r="O12" s="89">
        <f>IFERROR(ROUND(IF($D12="SSJ",(VLOOKUP($H12,'Programa Drench'!$B$6:$AA$182,MATCH(O$2,'Programa Drench'!$B$5:$AA$5,0),FALSE)),VLOOKUP($H12,'Programa Drench'!$B$6:$AA$182,MATCH(O$2,'Programa Drench'!$B$5:$AA$5,0),FALSE)),1),0)</f>
        <v>50</v>
      </c>
      <c r="P12" s="30" t="str">
        <f>IFERROR((VLOOKUP($H12,'Programa Drench'!$B$6:$AA$182,MATCH(P$2,'Programa Drench'!$B$5:$AA$5,0),FALSE)),0)</f>
        <v>HUMISTAR WG</v>
      </c>
      <c r="Q12" s="36">
        <f>IFERROR((VLOOKUP($H12,'Programa Drench'!$B$6:$AA$182,MATCH(Q$2,'Programa Drench'!$B$5:$AA$5,0),FALSE)*R12),0)</f>
        <v>384</v>
      </c>
      <c r="R12" s="36">
        <f t="shared" si="12"/>
        <v>1920</v>
      </c>
      <c r="S12" s="89">
        <f>IFERROR(ROUND(IF($D12="SSJ",(VLOOKUP($H12,'Programa Drench'!$B$6:$AA$182,MATCH(S$2,'Programa Drench'!$B$5:$AA$5,0),FALSE)),VLOOKUP($H12,'Programa Drench'!$B$6:$AA$182,MATCH(S$2,'Programa Drench'!$B$5:$AA$5,0),FALSE)),1),0)</f>
        <v>50</v>
      </c>
      <c r="T12" s="30" t="str">
        <f>IFERROR((VLOOKUP($H12,'Programa Drench'!$B$6:$AA$182,MATCH(T$2,'Programa Drench'!$B$5:$AA$5,0),FALSE)),0)</f>
        <v>Serenade</v>
      </c>
      <c r="U12" s="36">
        <f>IFERROR((VLOOKUP($H12,'Programa Drench'!$B$6:$AA$182,MATCH(U$2,'Programa Drench'!$B$5:$AA$5,0),FALSE)*V12),0)</f>
        <v>345.59999999999997</v>
      </c>
      <c r="V12" s="36">
        <f t="shared" si="13"/>
        <v>1920</v>
      </c>
      <c r="W12" s="89">
        <f>IFERROR(ROUND(IF($D12="SSJ",(VLOOKUP($H12,'Programa Drench'!$B$6:$AA$182,MATCH(W$2,'Programa Drench'!$B$5:$AA$5,0),FALSE)),VLOOKUP($H12,'Programa Drench'!$B$6:$AA$182,MATCH(W$2,'Programa Drench'!$B$5:$AA$5,0),FALSE)),1),0)</f>
        <v>0</v>
      </c>
      <c r="X12" s="30">
        <f>IFERROR((VLOOKUP($H12,'Programa Drench'!$B$6:$AA$182,MATCH(X$2,'Programa Drench'!$B$5:$AA$5,0),FALSE)),0)</f>
        <v>0</v>
      </c>
      <c r="Y12" s="36">
        <f>IFERROR((VLOOKUP($H12,'Programa Drench'!$B$6:$AA$182,MATCH(Y$2,'Programa Drench'!$B$5:$AA$5,0),FALSE)*Z12),0)</f>
        <v>0</v>
      </c>
      <c r="Z12" s="36">
        <f t="shared" si="14"/>
        <v>0</v>
      </c>
      <c r="AA12" s="89">
        <f>IFERROR(ROUND(IF($D12="SSJ",(VLOOKUP($H12,'Programa Drench'!$B$6:$AA$182,MATCH(AA$2,'Programa Drench'!$B$5:$AA$5,0),FALSE)),VLOOKUP($H12,'Programa Drench'!$B$6:$AA$182,MATCH(AA$2,'Programa Drench'!$B$5:$AA$5,0),FALSE)),1),0)</f>
        <v>0</v>
      </c>
      <c r="AB12" s="30">
        <f>IFERROR((VLOOKUP($H12,'Programa Drench'!$B$6:$AA$182,MATCH(AB$2,'Programa Drench'!$B$5:$AA$5,0),FALSE)),0)</f>
        <v>0</v>
      </c>
      <c r="AC12" s="83">
        <f>IFERROR((VLOOKUP($H12,'Programa Drench'!$B$6:$AA$182,MATCH(AC$2,'Programa Drench'!$B$5:$AA$5,0),FALSE)*$I12),0)</f>
        <v>0</v>
      </c>
      <c r="AD12" s="36">
        <f t="shared" si="15"/>
        <v>0</v>
      </c>
      <c r="AE12" s="36">
        <f>IFERROR(ROUND((VLOOKUP($H12,'Programa Drench'!$B$6:$AA$182,MATCH(AE$2,'Programa Drench'!$B$5:$AA$5,0),FALSE)),-1),0)</f>
        <v>0</v>
      </c>
      <c r="AF12" s="30">
        <f>IFERROR((VLOOKUP($H12,'Programa Drench'!$B$6:$AA$182,MATCH(AF$2,'Programa Drench'!$B$5:$AA$5,0),FALSE)),0)</f>
        <v>0</v>
      </c>
      <c r="AG12" s="36">
        <f>IFERROR((VLOOKUP($H12,'Programa Drench'!$B$6:$AA$182,MATCH(AG$2,'Programa Drench'!$B$5:$AA$5,0),FALSE)*AH12),0)</f>
        <v>0</v>
      </c>
      <c r="AH12" s="36">
        <f>IFERROR(ROUND((VLOOKUP($H12,'Programa Drench'!$B$6:$AA$182,MATCH(AH$2,'Programa Drench'!$B$5:$AA$5,0),FALSE)*$I12),-1),0)</f>
        <v>0</v>
      </c>
      <c r="AI12" s="89">
        <f>IFERROR((VLOOKUP($H12,'Programa Drench'!$B$6:$AA$182,MATCH(AI$2,'Programa Drench'!$B$5:$AA$5,0),FALSE)),0)</f>
        <v>0.71</v>
      </c>
    </row>
    <row r="13" spans="1:35" ht="15" customHeight="1" x14ac:dyDescent="0.2">
      <c r="A13" s="14">
        <f t="shared" si="0"/>
        <v>8</v>
      </c>
      <c r="B13" s="77">
        <v>25</v>
      </c>
      <c r="C13" s="54">
        <v>2612</v>
      </c>
      <c r="D13" s="54" t="s">
        <v>1872</v>
      </c>
      <c r="E13" s="54" t="s">
        <v>922</v>
      </c>
      <c r="F13" s="54" t="s">
        <v>286</v>
      </c>
      <c r="G13" s="53" t="str">
        <f t="shared" si="8"/>
        <v>P</v>
      </c>
      <c r="H13" s="55" t="str">
        <f t="shared" si="9"/>
        <v>8 P XL</v>
      </c>
      <c r="I13" s="262">
        <f>IF(D13="MM1",VLOOKUP($B13,'Inf Bloques'!$A$1:$K$453,11,FALSE)*1,VLOOKUP($B13,'Inf Bloques'!$A$1:$K$453,11,FALSE))</f>
        <v>38.235283333333321</v>
      </c>
      <c r="J13" s="3">
        <f t="shared" si="10"/>
        <v>4.2483648148148134</v>
      </c>
      <c r="K13" s="89">
        <f>IFERROR(ROUND(IF($D13="SSJ",(VLOOKUP($H13,'Programa Drench'!$B$6:$AA$182,MATCH(K$2,'Programa Drench'!$B$5:$AA$5,0),FALSE)),VLOOKUP($H13,'Programa Drench'!$B$6:$AA$182,MATCH(K$2,'Programa Drench'!$B$5:$AA$5,0),FALSE)),1),0)</f>
        <v>50</v>
      </c>
      <c r="L13" s="30" t="str">
        <f>IFERROR((VLOOKUP($H13,'Programa Drench'!$B$6:$AA$182,MATCH(L$2,'Programa Drench'!$B$5:$AA$5,0),FALSE)),0)</f>
        <v>RAIZA</v>
      </c>
      <c r="M13" s="36">
        <f>IFERROR((VLOOKUP($H13,'Programa Drench'!$B$6:$AA$182,MATCH(M$2,'Programa Drench'!$B$5:$AA$5,0),FALSE)*N13),0)</f>
        <v>630.30000000000007</v>
      </c>
      <c r="N13" s="36">
        <f t="shared" si="11"/>
        <v>1910</v>
      </c>
      <c r="O13" s="89">
        <f>IFERROR(ROUND(IF($D13="SSJ",(VLOOKUP($H13,'Programa Drench'!$B$6:$AA$182,MATCH(O$2,'Programa Drench'!$B$5:$AA$5,0),FALSE)),VLOOKUP($H13,'Programa Drench'!$B$6:$AA$182,MATCH(O$2,'Programa Drench'!$B$5:$AA$5,0),FALSE)),1),0)</f>
        <v>50</v>
      </c>
      <c r="P13" s="30" t="str">
        <f>IFERROR((VLOOKUP($H13,'Programa Drench'!$B$6:$AA$182,MATCH(P$2,'Programa Drench'!$B$5:$AA$5,0),FALSE)),0)</f>
        <v>HUMISTAR WG</v>
      </c>
      <c r="Q13" s="36">
        <f>IFERROR((VLOOKUP($H13,'Programa Drench'!$B$6:$AA$182,MATCH(Q$2,'Programa Drench'!$B$5:$AA$5,0),FALSE)*R13),0)</f>
        <v>382</v>
      </c>
      <c r="R13" s="36">
        <f t="shared" si="12"/>
        <v>1910</v>
      </c>
      <c r="S13" s="89">
        <f>IFERROR(ROUND(IF($D13="SSJ",(VLOOKUP($H13,'Programa Drench'!$B$6:$AA$182,MATCH(S$2,'Programa Drench'!$B$5:$AA$5,0),FALSE)),VLOOKUP($H13,'Programa Drench'!$B$6:$AA$182,MATCH(S$2,'Programa Drench'!$B$5:$AA$5,0),FALSE)),1),0)</f>
        <v>50</v>
      </c>
      <c r="T13" s="30" t="str">
        <f>IFERROR((VLOOKUP($H13,'Programa Drench'!$B$6:$AA$182,MATCH(T$2,'Programa Drench'!$B$5:$AA$5,0),FALSE)),0)</f>
        <v>Serenade</v>
      </c>
      <c r="U13" s="36">
        <f>IFERROR((VLOOKUP($H13,'Programa Drench'!$B$6:$AA$182,MATCH(U$2,'Programa Drench'!$B$5:$AA$5,0),FALSE)*V13),0)</f>
        <v>343.8</v>
      </c>
      <c r="V13" s="36">
        <f t="shared" si="13"/>
        <v>1910</v>
      </c>
      <c r="W13" s="89">
        <f>IFERROR(ROUND(IF($D13="SSJ",(VLOOKUP($H13,'Programa Drench'!$B$6:$AA$182,MATCH(W$2,'Programa Drench'!$B$5:$AA$5,0),FALSE)),VLOOKUP($H13,'Programa Drench'!$B$6:$AA$182,MATCH(W$2,'Programa Drench'!$B$5:$AA$5,0),FALSE)),1),0)</f>
        <v>0</v>
      </c>
      <c r="X13" s="30">
        <f>IFERROR((VLOOKUP($H13,'Programa Drench'!$B$6:$AA$182,MATCH(X$2,'Programa Drench'!$B$5:$AA$5,0),FALSE)),0)</f>
        <v>0</v>
      </c>
      <c r="Y13" s="36">
        <f>IFERROR((VLOOKUP($H13,'Programa Drench'!$B$6:$AA$182,MATCH(Y$2,'Programa Drench'!$B$5:$AA$5,0),FALSE)*Z13),0)</f>
        <v>0</v>
      </c>
      <c r="Z13" s="36">
        <f t="shared" si="14"/>
        <v>0</v>
      </c>
      <c r="AA13" s="89">
        <f>IFERROR(ROUND(IF($D13="SSJ",(VLOOKUP($H13,'Programa Drench'!$B$6:$AA$182,MATCH(AA$2,'Programa Drench'!$B$5:$AA$5,0),FALSE)),VLOOKUP($H13,'Programa Drench'!$B$6:$AA$182,MATCH(AA$2,'Programa Drench'!$B$5:$AA$5,0),FALSE)),1),0)</f>
        <v>0</v>
      </c>
      <c r="AB13" s="30">
        <f>IFERROR((VLOOKUP($H13,'Programa Drench'!$B$6:$AA$182,MATCH(AB$2,'Programa Drench'!$B$5:$AA$5,0),FALSE)),0)</f>
        <v>0</v>
      </c>
      <c r="AC13" s="83">
        <f>IFERROR((VLOOKUP($H13,'Programa Drench'!$B$6:$AA$182,MATCH(AC$2,'Programa Drench'!$B$5:$AA$5,0),FALSE)*$I13),0)</f>
        <v>0</v>
      </c>
      <c r="AD13" s="36">
        <f t="shared" si="15"/>
        <v>0</v>
      </c>
      <c r="AE13" s="36">
        <f>IFERROR(ROUND((VLOOKUP($H13,'Programa Drench'!$B$6:$AA$182,MATCH(AE$2,'Programa Drench'!$B$5:$AA$5,0),FALSE)),-1),0)</f>
        <v>0</v>
      </c>
      <c r="AF13" s="30">
        <f>IFERROR((VLOOKUP($H13,'Programa Drench'!$B$6:$AA$182,MATCH(AF$2,'Programa Drench'!$B$5:$AA$5,0),FALSE)),0)</f>
        <v>0</v>
      </c>
      <c r="AG13" s="36">
        <f>IFERROR((VLOOKUP($H13,'Programa Drench'!$B$6:$AA$182,MATCH(AG$2,'Programa Drench'!$B$5:$AA$5,0),FALSE)*AH13),0)</f>
        <v>0</v>
      </c>
      <c r="AH13" s="36">
        <f>IFERROR(ROUND((VLOOKUP($H13,'Programa Drench'!$B$6:$AA$182,MATCH(AH$2,'Programa Drench'!$B$5:$AA$5,0),FALSE)*$I13),-1),0)</f>
        <v>0</v>
      </c>
      <c r="AI13" s="89">
        <f>IFERROR((VLOOKUP($H13,'Programa Drench'!$B$6:$AA$182,MATCH(AI$2,'Programa Drench'!$B$5:$AA$5,0),FALSE)),0)</f>
        <v>0.71</v>
      </c>
    </row>
    <row r="14" spans="1:35" ht="15" customHeight="1" x14ac:dyDescent="0.2">
      <c r="A14" s="14">
        <f t="shared" si="0"/>
        <v>8</v>
      </c>
      <c r="B14" s="77" t="s">
        <v>1905</v>
      </c>
      <c r="C14" s="54">
        <v>2612</v>
      </c>
      <c r="D14" s="54" t="s">
        <v>1872</v>
      </c>
      <c r="E14" s="54" t="s">
        <v>923</v>
      </c>
      <c r="F14" s="54" t="s">
        <v>1109</v>
      </c>
      <c r="G14" s="53" t="str">
        <f t="shared" si="8"/>
        <v>S</v>
      </c>
      <c r="H14" s="55" t="str">
        <f t="shared" si="9"/>
        <v>8 S CLO</v>
      </c>
      <c r="I14" s="262">
        <f>IF(D14="MM1",VLOOKUP($B14,'Inf Bloques'!$A$1:$K$453,11,FALSE)*1,VLOOKUP($B14,'Inf Bloques'!$A$1:$K$453,11,FALSE))</f>
        <v>22.774350000000002</v>
      </c>
      <c r="J14" s="3">
        <f t="shared" si="10"/>
        <v>2.5304833333333336</v>
      </c>
      <c r="K14" s="89">
        <f>IFERROR(ROUND(IF($D14="SSJ",(VLOOKUP($H14,'Programa Drench'!$B$6:$AA$182,MATCH(K$2,'Programa Drench'!$B$5:$AA$5,0),FALSE)),VLOOKUP($H14,'Programa Drench'!$B$6:$AA$182,MATCH(K$2,'Programa Drench'!$B$5:$AA$5,0),FALSE)),1),0)</f>
        <v>50</v>
      </c>
      <c r="L14" s="30" t="str">
        <f>IFERROR((VLOOKUP($H14,'Programa Drench'!$B$6:$AA$182,MATCH(L$2,'Programa Drench'!$B$5:$AA$5,0),FALSE)),0)</f>
        <v xml:space="preserve">NAKAR 20 EC </v>
      </c>
      <c r="M14" s="36">
        <f>IFERROR((VLOOKUP($H14,'Programa Drench'!$B$6:$AA$182,MATCH(M$2,'Programa Drench'!$B$5:$AA$5,0),FALSE)*N14),0)</f>
        <v>570</v>
      </c>
      <c r="N14" s="36">
        <f t="shared" si="11"/>
        <v>1140</v>
      </c>
      <c r="O14" s="89">
        <f>IFERROR(ROUND(IF($D14="SSJ",(VLOOKUP($H14,'Programa Drench'!$B$6:$AA$182,MATCH(O$2,'Programa Drench'!$B$5:$AA$5,0),FALSE)),VLOOKUP($H14,'Programa Drench'!$B$6:$AA$182,MATCH(O$2,'Programa Drench'!$B$5:$AA$5,0),FALSE)),1),0)</f>
        <v>50</v>
      </c>
      <c r="P14" s="30" t="str">
        <f>IFERROR((VLOOKUP($H14,'Programa Drench'!$B$6:$AA$182,MATCH(P$2,'Programa Drench'!$B$5:$AA$5,0),FALSE)),0)</f>
        <v>FUNGAFLOR</v>
      </c>
      <c r="Q14" s="36">
        <f>IFERROR((VLOOKUP($H14,'Programa Drench'!$B$6:$AA$182,MATCH(Q$2,'Programa Drench'!$B$5:$AA$5,0),FALSE)*R14),0)</f>
        <v>228</v>
      </c>
      <c r="R14" s="36">
        <f t="shared" si="12"/>
        <v>1140</v>
      </c>
      <c r="S14" s="89">
        <f>IFERROR(ROUND(IF($D14="SSJ",(VLOOKUP($H14,'Programa Drench'!$B$6:$AA$182,MATCH(S$2,'Programa Drench'!$B$5:$AA$5,0),FALSE)),VLOOKUP($H14,'Programa Drench'!$B$6:$AA$182,MATCH(S$2,'Programa Drench'!$B$5:$AA$5,0),FALSE)),1),0)</f>
        <v>0</v>
      </c>
      <c r="T14" s="30">
        <f>IFERROR((VLOOKUP($H14,'Programa Drench'!$B$6:$AA$182,MATCH(T$2,'Programa Drench'!$B$5:$AA$5,0),FALSE)),0)</f>
        <v>0</v>
      </c>
      <c r="U14" s="36">
        <f>IFERROR((VLOOKUP($H14,'Programa Drench'!$B$6:$AA$182,MATCH(U$2,'Programa Drench'!$B$5:$AA$5,0),FALSE)*V14),0)</f>
        <v>0</v>
      </c>
      <c r="V14" s="36">
        <f t="shared" si="13"/>
        <v>0</v>
      </c>
      <c r="W14" s="89">
        <f>IFERROR(ROUND(IF($D14="SSJ",(VLOOKUP($H14,'Programa Drench'!$B$6:$AA$182,MATCH(W$2,'Programa Drench'!$B$5:$AA$5,0),FALSE)),VLOOKUP($H14,'Programa Drench'!$B$6:$AA$182,MATCH(W$2,'Programa Drench'!$B$5:$AA$5,0),FALSE)),1),0)</f>
        <v>0</v>
      </c>
      <c r="X14" s="30">
        <f>IFERROR((VLOOKUP($H14,'Programa Drench'!$B$6:$AA$182,MATCH(X$2,'Programa Drench'!$B$5:$AA$5,0),FALSE)),0)</f>
        <v>0</v>
      </c>
      <c r="Y14" s="36">
        <f>IFERROR((VLOOKUP($H14,'Programa Drench'!$B$6:$AA$182,MATCH(Y$2,'Programa Drench'!$B$5:$AA$5,0),FALSE)*Z14),0)</f>
        <v>0</v>
      </c>
      <c r="Z14" s="36">
        <f t="shared" si="14"/>
        <v>0</v>
      </c>
      <c r="AA14" s="89">
        <f>IFERROR(ROUND(IF($D14="SSJ",(VLOOKUP($H14,'Programa Drench'!$B$6:$AA$182,MATCH(AA$2,'Programa Drench'!$B$5:$AA$5,0),FALSE)),VLOOKUP($H14,'Programa Drench'!$B$6:$AA$182,MATCH(AA$2,'Programa Drench'!$B$5:$AA$5,0),FALSE)),1),0)</f>
        <v>0</v>
      </c>
      <c r="AB14" s="30">
        <f>IFERROR((VLOOKUP($H14,'Programa Drench'!$B$6:$AA$182,MATCH(AB$2,'Programa Drench'!$B$5:$AA$5,0),FALSE)),0)</f>
        <v>0</v>
      </c>
      <c r="AC14" s="83">
        <f>IFERROR((VLOOKUP($H14,'Programa Drench'!$B$6:$AA$182,MATCH(AC$2,'Programa Drench'!$B$5:$AA$5,0),FALSE)*$I14),0)</f>
        <v>0</v>
      </c>
      <c r="AD14" s="36">
        <f t="shared" si="15"/>
        <v>0</v>
      </c>
      <c r="AE14" s="36">
        <f>IFERROR(ROUND((VLOOKUP($H14,'Programa Drench'!$B$6:$AA$182,MATCH(AE$2,'Programa Drench'!$B$5:$AA$5,0),FALSE)),-1),0)</f>
        <v>0</v>
      </c>
      <c r="AF14" s="30">
        <f>IFERROR((VLOOKUP($H14,'Programa Drench'!$B$6:$AA$182,MATCH(AF$2,'Programa Drench'!$B$5:$AA$5,0),FALSE)),0)</f>
        <v>0</v>
      </c>
      <c r="AG14" s="36">
        <f>IFERROR((VLOOKUP($H14,'Programa Drench'!$B$6:$AA$182,MATCH(AG$2,'Programa Drench'!$B$5:$AA$5,0),FALSE)*AH14),0)</f>
        <v>0</v>
      </c>
      <c r="AH14" s="36">
        <f>IFERROR(ROUND((VLOOKUP($H14,'Programa Drench'!$B$6:$AA$182,MATCH(AH$2,'Programa Drench'!$B$5:$AA$5,0),FALSE)*$I14),-1),0)</f>
        <v>0</v>
      </c>
      <c r="AI14" s="89">
        <f>IFERROR((VLOOKUP($H14,'Programa Drench'!$B$6:$AA$182,MATCH(AI$2,'Programa Drench'!$B$5:$AA$5,0),FALSE)),0)</f>
        <v>0.7</v>
      </c>
    </row>
    <row r="15" spans="1:35" ht="15" customHeight="1" x14ac:dyDescent="0.2">
      <c r="A15" s="14">
        <f t="shared" si="0"/>
        <v>7</v>
      </c>
      <c r="B15" s="77">
        <v>10</v>
      </c>
      <c r="C15" s="54">
        <v>2613</v>
      </c>
      <c r="D15" s="54" t="s">
        <v>1872</v>
      </c>
      <c r="E15" s="54" t="s">
        <v>922</v>
      </c>
      <c r="F15" s="54" t="s">
        <v>286</v>
      </c>
      <c r="G15" s="53" t="str">
        <f t="shared" si="8"/>
        <v>P</v>
      </c>
      <c r="H15" s="55" t="str">
        <f t="shared" si="9"/>
        <v>7 P XL</v>
      </c>
      <c r="I15" s="262">
        <f>IF(D15="MM1",VLOOKUP($B15,'Inf Bloques'!$A$1:$K$453,11,FALSE)*1,VLOOKUP($B15,'Inf Bloques'!$A$1:$K$453,11,FALSE))</f>
        <v>39.970333333333357</v>
      </c>
      <c r="J15" s="3">
        <f t="shared" si="10"/>
        <v>4.4411481481481507</v>
      </c>
      <c r="K15" s="89">
        <f>IFERROR(ROUND(IF($D15="SSJ",(VLOOKUP($H15,'Programa Drench'!$B$6:$AA$182,MATCH(K$2,'Programa Drench'!$B$5:$AA$5,0),FALSE)),VLOOKUP($H15,'Programa Drench'!$B$6:$AA$182,MATCH(K$2,'Programa Drench'!$B$5:$AA$5,0),FALSE)),1),0)</f>
        <v>50</v>
      </c>
      <c r="L15" s="30" t="str">
        <f>IFERROR((VLOOKUP($H15,'Programa Drench'!$B$6:$AA$182,MATCH(L$2,'Programa Drench'!$B$5:$AA$5,0),FALSE)),0)</f>
        <v xml:space="preserve">NAKAR 20 EC </v>
      </c>
      <c r="M15" s="36">
        <f>IFERROR((VLOOKUP($H15,'Programa Drench'!$B$6:$AA$182,MATCH(M$2,'Programa Drench'!$B$5:$AA$5,0),FALSE)*N15),0)</f>
        <v>1000</v>
      </c>
      <c r="N15" s="36">
        <f t="shared" si="11"/>
        <v>2000</v>
      </c>
      <c r="O15" s="89">
        <f>IFERROR(ROUND(IF($D15="SSJ",(VLOOKUP($H15,'Programa Drench'!$B$6:$AA$182,MATCH(O$2,'Programa Drench'!$B$5:$AA$5,0),FALSE)),VLOOKUP($H15,'Programa Drench'!$B$6:$AA$182,MATCH(O$2,'Programa Drench'!$B$5:$AA$5,0),FALSE)),1),0)</f>
        <v>50</v>
      </c>
      <c r="P15" s="30" t="str">
        <f>IFERROR((VLOOKUP($H15,'Programa Drench'!$B$6:$AA$182,MATCH(P$2,'Programa Drench'!$B$5:$AA$5,0),FALSE)),0)</f>
        <v>FUNGAFLOR</v>
      </c>
      <c r="Q15" s="36">
        <f>IFERROR((VLOOKUP($H15,'Programa Drench'!$B$6:$AA$182,MATCH(Q$2,'Programa Drench'!$B$5:$AA$5,0),FALSE)*R15),0)</f>
        <v>400</v>
      </c>
      <c r="R15" s="36">
        <f t="shared" si="12"/>
        <v>2000</v>
      </c>
      <c r="S15" s="89">
        <f>IFERROR(ROUND(IF($D15="SSJ",(VLOOKUP($H15,'Programa Drench'!$B$6:$AA$182,MATCH(S$2,'Programa Drench'!$B$5:$AA$5,0),FALSE)),VLOOKUP($H15,'Programa Drench'!$B$6:$AA$182,MATCH(S$2,'Programa Drench'!$B$5:$AA$5,0),FALSE)),1),0)</f>
        <v>0</v>
      </c>
      <c r="T15" s="30">
        <f>IFERROR((VLOOKUP($H15,'Programa Drench'!$B$6:$AA$182,MATCH(T$2,'Programa Drench'!$B$5:$AA$5,0),FALSE)),0)</f>
        <v>0</v>
      </c>
      <c r="U15" s="36">
        <f>IFERROR((VLOOKUP($H15,'Programa Drench'!$B$6:$AA$182,MATCH(U$2,'Programa Drench'!$B$5:$AA$5,0),FALSE)*V15),0)</f>
        <v>0</v>
      </c>
      <c r="V15" s="36">
        <f t="shared" si="13"/>
        <v>0</v>
      </c>
      <c r="W15" s="89">
        <f>IFERROR(ROUND(IF($D15="SSJ",(VLOOKUP($H15,'Programa Drench'!$B$6:$AA$182,MATCH(W$2,'Programa Drench'!$B$5:$AA$5,0),FALSE)),VLOOKUP($H15,'Programa Drench'!$B$6:$AA$182,MATCH(W$2,'Programa Drench'!$B$5:$AA$5,0),FALSE)),1),0)</f>
        <v>0</v>
      </c>
      <c r="X15" s="30">
        <f>IFERROR((VLOOKUP($H15,'Programa Drench'!$B$6:$AA$182,MATCH(X$2,'Programa Drench'!$B$5:$AA$5,0),FALSE)),0)</f>
        <v>0</v>
      </c>
      <c r="Y15" s="36">
        <f>IFERROR((VLOOKUP($H15,'Programa Drench'!$B$6:$AA$182,MATCH(Y$2,'Programa Drench'!$B$5:$AA$5,0),FALSE)*Z15),0)</f>
        <v>0</v>
      </c>
      <c r="Z15" s="36">
        <f t="shared" si="14"/>
        <v>0</v>
      </c>
      <c r="AA15" s="89">
        <f>IFERROR(ROUND(IF($D15="SSJ",(VLOOKUP($H15,'Programa Drench'!$B$6:$AA$182,MATCH(AA$2,'Programa Drench'!$B$5:$AA$5,0),FALSE)),VLOOKUP($H15,'Programa Drench'!$B$6:$AA$182,MATCH(AA$2,'Programa Drench'!$B$5:$AA$5,0),FALSE)),1),0)</f>
        <v>0</v>
      </c>
      <c r="AB15" s="30">
        <f>IFERROR((VLOOKUP($H15,'Programa Drench'!$B$6:$AA$182,MATCH(AB$2,'Programa Drench'!$B$5:$AA$5,0),FALSE)),0)</f>
        <v>0</v>
      </c>
      <c r="AC15" s="83">
        <f>IFERROR((VLOOKUP($H15,'Programa Drench'!$B$6:$AA$182,MATCH(AC$2,'Programa Drench'!$B$5:$AA$5,0),FALSE)*$I15),0)</f>
        <v>0</v>
      </c>
      <c r="AD15" s="36">
        <f t="shared" si="15"/>
        <v>0</v>
      </c>
      <c r="AE15" s="36">
        <f>IFERROR(ROUND((VLOOKUP($H15,'Programa Drench'!$B$6:$AA$182,MATCH(AE$2,'Programa Drench'!$B$5:$AA$5,0),FALSE)),-1),0)</f>
        <v>0</v>
      </c>
      <c r="AF15" s="30">
        <f>IFERROR((VLOOKUP($H15,'Programa Drench'!$B$6:$AA$182,MATCH(AF$2,'Programa Drench'!$B$5:$AA$5,0),FALSE)),0)</f>
        <v>0</v>
      </c>
      <c r="AG15" s="36">
        <f>IFERROR((VLOOKUP($H15,'Programa Drench'!$B$6:$AA$182,MATCH(AG$2,'Programa Drench'!$B$5:$AA$5,0),FALSE)*AH15),0)</f>
        <v>0</v>
      </c>
      <c r="AH15" s="36">
        <f>IFERROR(ROUND((VLOOKUP($H15,'Programa Drench'!$B$6:$AA$182,MATCH(AH$2,'Programa Drench'!$B$5:$AA$5,0),FALSE)*$I15),-1),0)</f>
        <v>0</v>
      </c>
      <c r="AI15" s="89">
        <f>IFERROR((VLOOKUP($H15,'Programa Drench'!$B$6:$AA$182,MATCH(AI$2,'Programa Drench'!$B$5:$AA$5,0),FALSE)),0)</f>
        <v>0.7</v>
      </c>
    </row>
    <row r="16" spans="1:35" ht="15" customHeight="1" x14ac:dyDescent="0.2">
      <c r="A16" s="14">
        <f t="shared" si="0"/>
        <v>7</v>
      </c>
      <c r="B16" s="77">
        <v>11</v>
      </c>
      <c r="C16" s="54">
        <v>2613</v>
      </c>
      <c r="D16" s="54" t="s">
        <v>1872</v>
      </c>
      <c r="E16" s="54" t="s">
        <v>922</v>
      </c>
      <c r="F16" s="54" t="s">
        <v>286</v>
      </c>
      <c r="G16" s="53" t="str">
        <f t="shared" si="8"/>
        <v>P</v>
      </c>
      <c r="H16" s="55" t="str">
        <f t="shared" si="9"/>
        <v>7 P XL</v>
      </c>
      <c r="I16" s="262">
        <f>IF(D16="MM1",VLOOKUP($B16,'Inf Bloques'!$A$1:$K$453,11,FALSE)*1,VLOOKUP($B16,'Inf Bloques'!$A$1:$K$453,11,FALSE))</f>
        <v>38.554166666666688</v>
      </c>
      <c r="J16" s="3">
        <f t="shared" si="10"/>
        <v>4.2837962962962983</v>
      </c>
      <c r="K16" s="89">
        <f>IFERROR(ROUND(IF($D16="SSJ",(VLOOKUP($H16,'Programa Drench'!$B$6:$AA$182,MATCH(K$2,'Programa Drench'!$B$5:$AA$5,0),FALSE)),VLOOKUP($H16,'Programa Drench'!$B$6:$AA$182,MATCH(K$2,'Programa Drench'!$B$5:$AA$5,0),FALSE)),1),0)</f>
        <v>50</v>
      </c>
      <c r="L16" s="30" t="str">
        <f>IFERROR((VLOOKUP($H16,'Programa Drench'!$B$6:$AA$182,MATCH(L$2,'Programa Drench'!$B$5:$AA$5,0),FALSE)),0)</f>
        <v xml:space="preserve">NAKAR 20 EC </v>
      </c>
      <c r="M16" s="36">
        <f>IFERROR((VLOOKUP($H16,'Programa Drench'!$B$6:$AA$182,MATCH(M$2,'Programa Drench'!$B$5:$AA$5,0),FALSE)*N16),0)</f>
        <v>965</v>
      </c>
      <c r="N16" s="36">
        <f t="shared" si="11"/>
        <v>1930</v>
      </c>
      <c r="O16" s="89">
        <f>IFERROR(ROUND(IF($D16="SSJ",(VLOOKUP($H16,'Programa Drench'!$B$6:$AA$182,MATCH(O$2,'Programa Drench'!$B$5:$AA$5,0),FALSE)),VLOOKUP($H16,'Programa Drench'!$B$6:$AA$182,MATCH(O$2,'Programa Drench'!$B$5:$AA$5,0),FALSE)),1),0)</f>
        <v>50</v>
      </c>
      <c r="P16" s="30" t="str">
        <f>IFERROR((VLOOKUP($H16,'Programa Drench'!$B$6:$AA$182,MATCH(P$2,'Programa Drench'!$B$5:$AA$5,0),FALSE)),0)</f>
        <v>FUNGAFLOR</v>
      </c>
      <c r="Q16" s="36">
        <f>IFERROR((VLOOKUP($H16,'Programa Drench'!$B$6:$AA$182,MATCH(Q$2,'Programa Drench'!$B$5:$AA$5,0),FALSE)*R16),0)</f>
        <v>386</v>
      </c>
      <c r="R16" s="36">
        <f t="shared" si="12"/>
        <v>1930</v>
      </c>
      <c r="S16" s="89">
        <f>IFERROR(ROUND(IF($D16="SSJ",(VLOOKUP($H16,'Programa Drench'!$B$6:$AA$182,MATCH(S$2,'Programa Drench'!$B$5:$AA$5,0),FALSE)),VLOOKUP($H16,'Programa Drench'!$B$6:$AA$182,MATCH(S$2,'Programa Drench'!$B$5:$AA$5,0),FALSE)),1),0)</f>
        <v>0</v>
      </c>
      <c r="T16" s="30">
        <f>IFERROR((VLOOKUP($H16,'Programa Drench'!$B$6:$AA$182,MATCH(T$2,'Programa Drench'!$B$5:$AA$5,0),FALSE)),0)</f>
        <v>0</v>
      </c>
      <c r="U16" s="36">
        <f>IFERROR((VLOOKUP($H16,'Programa Drench'!$B$6:$AA$182,MATCH(U$2,'Programa Drench'!$B$5:$AA$5,0),FALSE)*V16),0)</f>
        <v>0</v>
      </c>
      <c r="V16" s="36">
        <f t="shared" si="13"/>
        <v>0</v>
      </c>
      <c r="W16" s="89">
        <f>IFERROR(ROUND(IF($D16="SSJ",(VLOOKUP($H16,'Programa Drench'!$B$6:$AA$182,MATCH(W$2,'Programa Drench'!$B$5:$AA$5,0),FALSE)),VLOOKUP($H16,'Programa Drench'!$B$6:$AA$182,MATCH(W$2,'Programa Drench'!$B$5:$AA$5,0),FALSE)),1),0)</f>
        <v>0</v>
      </c>
      <c r="X16" s="30">
        <f>IFERROR((VLOOKUP($H16,'Programa Drench'!$B$6:$AA$182,MATCH(X$2,'Programa Drench'!$B$5:$AA$5,0),FALSE)),0)</f>
        <v>0</v>
      </c>
      <c r="Y16" s="36">
        <f>IFERROR((VLOOKUP($H16,'Programa Drench'!$B$6:$AA$182,MATCH(Y$2,'Programa Drench'!$B$5:$AA$5,0),FALSE)*Z16),0)</f>
        <v>0</v>
      </c>
      <c r="Z16" s="36">
        <f t="shared" si="14"/>
        <v>0</v>
      </c>
      <c r="AA16" s="89">
        <f>IFERROR(ROUND(IF($D16="SSJ",(VLOOKUP($H16,'Programa Drench'!$B$6:$AA$182,MATCH(AA$2,'Programa Drench'!$B$5:$AA$5,0),FALSE)),VLOOKUP($H16,'Programa Drench'!$B$6:$AA$182,MATCH(AA$2,'Programa Drench'!$B$5:$AA$5,0),FALSE)),1),0)</f>
        <v>0</v>
      </c>
      <c r="AB16" s="30">
        <f>IFERROR((VLOOKUP($H16,'Programa Drench'!$B$6:$AA$182,MATCH(AB$2,'Programa Drench'!$B$5:$AA$5,0),FALSE)),0)</f>
        <v>0</v>
      </c>
      <c r="AC16" s="83">
        <f>IFERROR((VLOOKUP($H16,'Programa Drench'!$B$6:$AA$182,MATCH(AC$2,'Programa Drench'!$B$5:$AA$5,0),FALSE)*$I16),0)</f>
        <v>0</v>
      </c>
      <c r="AD16" s="36">
        <f t="shared" si="15"/>
        <v>0</v>
      </c>
      <c r="AE16" s="36">
        <f>IFERROR(ROUND((VLOOKUP($H16,'Programa Drench'!$B$6:$AA$182,MATCH(AE$2,'Programa Drench'!$B$5:$AA$5,0),FALSE)),-1),0)</f>
        <v>0</v>
      </c>
      <c r="AF16" s="30">
        <f>IFERROR((VLOOKUP($H16,'Programa Drench'!$B$6:$AA$182,MATCH(AF$2,'Programa Drench'!$B$5:$AA$5,0),FALSE)),0)</f>
        <v>0</v>
      </c>
      <c r="AG16" s="36">
        <f>IFERROR((VLOOKUP($H16,'Programa Drench'!$B$6:$AA$182,MATCH(AG$2,'Programa Drench'!$B$5:$AA$5,0),FALSE)*AH16),0)</f>
        <v>0</v>
      </c>
      <c r="AH16" s="36">
        <f>IFERROR(ROUND((VLOOKUP($H16,'Programa Drench'!$B$6:$AA$182,MATCH(AH$2,'Programa Drench'!$B$5:$AA$5,0),FALSE)*$I16),-1),0)</f>
        <v>0</v>
      </c>
      <c r="AI16" s="89">
        <f>IFERROR((VLOOKUP($H16,'Programa Drench'!$B$6:$AA$182,MATCH(AI$2,'Programa Drench'!$B$5:$AA$5,0),FALSE)),0)</f>
        <v>0.7</v>
      </c>
    </row>
    <row r="17" spans="1:35" ht="15" customHeight="1" x14ac:dyDescent="0.2">
      <c r="A17" s="14">
        <f t="shared" si="0"/>
        <v>7</v>
      </c>
      <c r="B17" s="259">
        <v>13</v>
      </c>
      <c r="C17" s="58">
        <v>2613</v>
      </c>
      <c r="D17" s="54" t="s">
        <v>1872</v>
      </c>
      <c r="E17" s="58" t="s">
        <v>922</v>
      </c>
      <c r="F17" s="58" t="s">
        <v>1109</v>
      </c>
      <c r="G17" s="53" t="str">
        <f t="shared" si="8"/>
        <v>P</v>
      </c>
      <c r="H17" s="55" t="str">
        <f t="shared" si="9"/>
        <v>7 P CLO</v>
      </c>
      <c r="I17" s="262">
        <f>IF(D17="MM1",VLOOKUP($B17,'Inf Bloques'!$A$1:$K$453,11,FALSE)*1,VLOOKUP($B17,'Inf Bloques'!$A$1:$K$453,11,FALSE))</f>
        <v>33.11039999999997</v>
      </c>
      <c r="J17" s="3">
        <f t="shared" si="10"/>
        <v>3.6789333333333301</v>
      </c>
      <c r="K17" s="89">
        <f>IFERROR(ROUND(IF($D17="SSJ",(VLOOKUP($H17,'Programa Drench'!$B$6:$AA$182,MATCH(K$2,'Programa Drench'!$B$5:$AA$5,0),FALSE)),VLOOKUP($H17,'Programa Drench'!$B$6:$AA$182,MATCH(K$2,'Programa Drench'!$B$5:$AA$5,0),FALSE)),1),0)</f>
        <v>50</v>
      </c>
      <c r="L17" s="30" t="str">
        <f>IFERROR((VLOOKUP($H17,'Programa Drench'!$B$6:$AA$182,MATCH(L$2,'Programa Drench'!$B$5:$AA$5,0),FALSE)),0)</f>
        <v>ALCAPLANT</v>
      </c>
      <c r="M17" s="36">
        <f>IFERROR((VLOOKUP($H17,'Programa Drench'!$B$6:$AA$182,MATCH(M$2,'Programa Drench'!$B$5:$AA$5,0),FALSE)*N17),0)</f>
        <v>1826.0000000000002</v>
      </c>
      <c r="N17" s="36">
        <f t="shared" si="11"/>
        <v>1660</v>
      </c>
      <c r="O17" s="89">
        <f>IFERROR(ROUND(IF($D17="SSJ",(VLOOKUP($H17,'Programa Drench'!$B$6:$AA$182,MATCH(O$2,'Programa Drench'!$B$5:$AA$5,0),FALSE)),VLOOKUP($H17,'Programa Drench'!$B$6:$AA$182,MATCH(O$2,'Programa Drench'!$B$5:$AA$5,0),FALSE)),1),0)</f>
        <v>0</v>
      </c>
      <c r="P17" s="30">
        <f>IFERROR((VLOOKUP($H17,'Programa Drench'!$B$6:$AA$182,MATCH(P$2,'Programa Drench'!$B$5:$AA$5,0),FALSE)),0)</f>
        <v>0</v>
      </c>
      <c r="Q17" s="36">
        <f>IFERROR((VLOOKUP($H17,'Programa Drench'!$B$6:$AA$182,MATCH(Q$2,'Programa Drench'!$B$5:$AA$5,0),FALSE)*R17),0)</f>
        <v>0</v>
      </c>
      <c r="R17" s="36">
        <f t="shared" si="12"/>
        <v>0</v>
      </c>
      <c r="S17" s="89">
        <f>IFERROR(ROUND(IF($D17="SSJ",(VLOOKUP($H17,'Programa Drench'!$B$6:$AA$182,MATCH(S$2,'Programa Drench'!$B$5:$AA$5,0),FALSE)),VLOOKUP($H17,'Programa Drench'!$B$6:$AA$182,MATCH(S$2,'Programa Drench'!$B$5:$AA$5,0),FALSE)),1),0)</f>
        <v>0</v>
      </c>
      <c r="T17" s="30">
        <f>IFERROR((VLOOKUP($H17,'Programa Drench'!$B$6:$AA$182,MATCH(T$2,'Programa Drench'!$B$5:$AA$5,0),FALSE)),0)</f>
        <v>0</v>
      </c>
      <c r="U17" s="36">
        <f>IFERROR((VLOOKUP($H17,'Programa Drench'!$B$6:$AA$182,MATCH(U$2,'Programa Drench'!$B$5:$AA$5,0),FALSE)*V17),0)</f>
        <v>0</v>
      </c>
      <c r="V17" s="36">
        <f t="shared" si="13"/>
        <v>0</v>
      </c>
      <c r="W17" s="89">
        <f>IFERROR(ROUND(IF($D17="SSJ",(VLOOKUP($H17,'Programa Drench'!$B$6:$AA$182,MATCH(W$2,'Programa Drench'!$B$5:$AA$5,0),FALSE)),VLOOKUP($H17,'Programa Drench'!$B$6:$AA$182,MATCH(W$2,'Programa Drench'!$B$5:$AA$5,0),FALSE)),1),0)</f>
        <v>0</v>
      </c>
      <c r="X17" s="30">
        <f>IFERROR((VLOOKUP($H17,'Programa Drench'!$B$6:$AA$182,MATCH(X$2,'Programa Drench'!$B$5:$AA$5,0),FALSE)),0)</f>
        <v>0</v>
      </c>
      <c r="Y17" s="36">
        <f>IFERROR((VLOOKUP($H17,'Programa Drench'!$B$6:$AA$182,MATCH(Y$2,'Programa Drench'!$B$5:$AA$5,0),FALSE)*Z17),0)</f>
        <v>0</v>
      </c>
      <c r="Z17" s="36">
        <f t="shared" si="14"/>
        <v>0</v>
      </c>
      <c r="AA17" s="89">
        <f>IFERROR(ROUND(IF($D17="SSJ",(VLOOKUP($H17,'Programa Drench'!$B$6:$AA$182,MATCH(AA$2,'Programa Drench'!$B$5:$AA$5,0),FALSE)),VLOOKUP($H17,'Programa Drench'!$B$6:$AA$182,MATCH(AA$2,'Programa Drench'!$B$5:$AA$5,0),FALSE)),1),0)</f>
        <v>0</v>
      </c>
      <c r="AB17" s="30">
        <f>IFERROR((VLOOKUP($H17,'Programa Drench'!$B$6:$AA$182,MATCH(AB$2,'Programa Drench'!$B$5:$AA$5,0),FALSE)),0)</f>
        <v>0</v>
      </c>
      <c r="AC17" s="83">
        <f>IFERROR((VLOOKUP($H17,'Programa Drench'!$B$6:$AA$182,MATCH(AC$2,'Programa Drench'!$B$5:$AA$5,0),FALSE)*$I17),0)</f>
        <v>0</v>
      </c>
      <c r="AD17" s="36">
        <f t="shared" si="15"/>
        <v>0</v>
      </c>
      <c r="AE17" s="36">
        <f>IFERROR(ROUND((VLOOKUP($H17,'Programa Drench'!$B$6:$AA$182,MATCH(AE$2,'Programa Drench'!$B$5:$AA$5,0),FALSE)),-1),0)</f>
        <v>0</v>
      </c>
      <c r="AF17" s="30">
        <f>IFERROR((VLOOKUP($H17,'Programa Drench'!$B$6:$AA$182,MATCH(AF$2,'Programa Drench'!$B$5:$AA$5,0),FALSE)),0)</f>
        <v>0</v>
      </c>
      <c r="AG17" s="36">
        <f>IFERROR((VLOOKUP($H17,'Programa Drench'!$B$6:$AA$182,MATCH(AG$2,'Programa Drench'!$B$5:$AA$5,0),FALSE)*AH17),0)</f>
        <v>0</v>
      </c>
      <c r="AH17" s="36">
        <f>IFERROR(ROUND((VLOOKUP($H17,'Programa Drench'!$B$6:$AA$182,MATCH(AH$2,'Programa Drench'!$B$5:$AA$5,0),FALSE)*$I17),-1),0)</f>
        <v>0</v>
      </c>
      <c r="AI17" s="89">
        <f>IFERROR((VLOOKUP($H17,'Programa Drench'!$B$6:$AA$182,MATCH(AI$2,'Programa Drench'!$B$5:$AA$5,0),FALSE)),0)</f>
        <v>1.1000000000000001</v>
      </c>
    </row>
    <row r="18" spans="1:35" ht="13.5" customHeight="1" x14ac:dyDescent="0.2">
      <c r="A18" s="14">
        <f t="shared" si="0"/>
        <v>5</v>
      </c>
      <c r="B18" s="259" t="s">
        <v>1906</v>
      </c>
      <c r="C18" s="58">
        <v>2615</v>
      </c>
      <c r="D18" s="54" t="s">
        <v>1872</v>
      </c>
      <c r="E18" s="58" t="s">
        <v>929</v>
      </c>
      <c r="F18" s="58" t="s">
        <v>1109</v>
      </c>
      <c r="G18" s="53" t="str">
        <f t="shared" si="8"/>
        <v>P</v>
      </c>
      <c r="H18" s="55" t="str">
        <f>CONCATENATE(A18," ",G18," ",F18)</f>
        <v>5 P CLO</v>
      </c>
      <c r="I18" s="262">
        <f>IF(D18="MM1",VLOOKUP($B18,'Inf Bloques'!$A$1:$K$453,11,FALSE)*1,VLOOKUP($B18,'Inf Bloques'!$A$1:$K$453,11,FALSE))</f>
        <v>20.656166666666664</v>
      </c>
      <c r="J18" s="3">
        <f t="shared" si="10"/>
        <v>2.2951296296296295</v>
      </c>
      <c r="K18" s="89">
        <f>IFERROR(ROUND(IF($D18="SSJ",(VLOOKUP($H18,'Programa Drench'!$B$6:$AA$182,MATCH(K$2,'Programa Drench'!$B$5:$AA$5,0),FALSE)),VLOOKUP($H18,'Programa Drench'!$B$6:$AA$182,MATCH(K$2,'Programa Drench'!$B$5:$AA$5,0),FALSE)),1),0)</f>
        <v>50</v>
      </c>
      <c r="L18" s="30" t="str">
        <f>IFERROR((VLOOKUP($H18,'Programa Drench'!$B$6:$AA$182,MATCH(L$2,'Programa Drench'!$B$5:$AA$5,0),FALSE)),0)</f>
        <v>RAIZA</v>
      </c>
      <c r="M18" s="36">
        <f>IFERROR((VLOOKUP($H18,'Programa Drench'!$B$6:$AA$182,MATCH(M$2,'Programa Drench'!$B$5:$AA$5,0),FALSE)*N18),0)</f>
        <v>339.90000000000003</v>
      </c>
      <c r="N18" s="36">
        <f t="shared" si="11"/>
        <v>1030</v>
      </c>
      <c r="O18" s="89">
        <f>IFERROR(ROUND(IF($D18="SSJ",(VLOOKUP($H18,'Programa Drench'!$B$6:$AA$182,MATCH(O$2,'Programa Drench'!$B$5:$AA$5,0),FALSE)),VLOOKUP($H18,'Programa Drench'!$B$6:$AA$182,MATCH(O$2,'Programa Drench'!$B$5:$AA$5,0),FALSE)),1),0)</f>
        <v>50</v>
      </c>
      <c r="P18" s="30" t="str">
        <f>IFERROR((VLOOKUP($H18,'Programa Drench'!$B$6:$AA$182,MATCH(P$2,'Programa Drench'!$B$5:$AA$5,0),FALSE)),0)</f>
        <v>HUMISTAR WG</v>
      </c>
      <c r="Q18" s="36">
        <f>IFERROR((VLOOKUP($H18,'Programa Drench'!$B$6:$AA$182,MATCH(Q$2,'Programa Drench'!$B$5:$AA$5,0),FALSE)*R18),0)</f>
        <v>206</v>
      </c>
      <c r="R18" s="36">
        <f t="shared" si="12"/>
        <v>1030</v>
      </c>
      <c r="S18" s="89">
        <f>IFERROR(ROUND(IF($D18="SSJ",(VLOOKUP($H18,'Programa Drench'!$B$6:$AA$182,MATCH(S$2,'Programa Drench'!$B$5:$AA$5,0),FALSE)),VLOOKUP($H18,'Programa Drench'!$B$6:$AA$182,MATCH(S$2,'Programa Drench'!$B$5:$AA$5,0),FALSE)),1),0)</f>
        <v>50</v>
      </c>
      <c r="T18" s="30" t="str">
        <f>IFERROR((VLOOKUP($H18,'Programa Drench'!$B$6:$AA$182,MATCH(T$2,'Programa Drench'!$B$5:$AA$5,0),FALSE)),0)</f>
        <v>Beauveria</v>
      </c>
      <c r="U18" s="36">
        <f>IFERROR((VLOOKUP($H18,'Programa Drench'!$B$6:$AA$182,MATCH(U$2,'Programa Drench'!$B$5:$AA$5,0),FALSE)*V18),0)</f>
        <v>6180</v>
      </c>
      <c r="V18" s="36">
        <f t="shared" si="13"/>
        <v>1030</v>
      </c>
      <c r="W18" s="89">
        <f>IFERROR(ROUND(IF($D18="SSJ",(VLOOKUP($H18,'Programa Drench'!$B$6:$AA$182,MATCH(W$2,'Programa Drench'!$B$5:$AA$5,0),FALSE)),VLOOKUP($H18,'Programa Drench'!$B$6:$AA$182,MATCH(W$2,'Programa Drench'!$B$5:$AA$5,0),FALSE)),1),0)</f>
        <v>50</v>
      </c>
      <c r="X18" s="30" t="str">
        <f>IFERROR((VLOOKUP($H18,'Programa Drench'!$B$6:$AA$182,MATCH(X$2,'Programa Drench'!$B$5:$AA$5,0),FALSE)),0)</f>
        <v>Paecilomyces</v>
      </c>
      <c r="Y18" s="36">
        <f>IFERROR((VLOOKUP($H18,'Programa Drench'!$B$6:$AA$182,MATCH(Y$2,'Programa Drench'!$B$5:$AA$5,0),FALSE)*Z18),0)</f>
        <v>8240</v>
      </c>
      <c r="Z18" s="36">
        <f t="shared" si="14"/>
        <v>1030</v>
      </c>
      <c r="AA18" s="89">
        <f>IFERROR(ROUND(IF($D18="SSJ",(VLOOKUP($H18,'Programa Drench'!$B$6:$AA$182,MATCH(AA$2,'Programa Drench'!$B$5:$AA$5,0),FALSE)),VLOOKUP($H18,'Programa Drench'!$B$6:$AA$182,MATCH(AA$2,'Programa Drench'!$B$5:$AA$5,0),FALSE)),1),0)</f>
        <v>50</v>
      </c>
      <c r="AB18" s="30" t="str">
        <f>IFERROR((VLOOKUP($H18,'Programa Drench'!$B$6:$AA$182,MATCH(AB$2,'Programa Drench'!$B$5:$AA$5,0),FALSE)),0)</f>
        <v>Trichoderma</v>
      </c>
      <c r="AC18" s="83">
        <f>IFERROR((VLOOKUP($H18,'Programa Drench'!$B$6:$AA$182,MATCH(AC$2,'Programa Drench'!$B$5:$AA$5,0),FALSE)*$I18),0)</f>
        <v>20.656166666666664</v>
      </c>
      <c r="AD18" s="36">
        <f t="shared" si="15"/>
        <v>1030</v>
      </c>
      <c r="AE18" s="36">
        <f>IFERROR(ROUND((VLOOKUP($H18,'Programa Drench'!$B$6:$AA$182,MATCH(AE$2,'Programa Drench'!$B$5:$AA$5,0),FALSE)),-1),0)</f>
        <v>0</v>
      </c>
      <c r="AF18" s="30">
        <f>IFERROR((VLOOKUP($H18,'Programa Drench'!$B$6:$AA$182,MATCH(AF$2,'Programa Drench'!$B$5:$AA$5,0),FALSE)),0)</f>
        <v>0</v>
      </c>
      <c r="AG18" s="36">
        <f>IFERROR((VLOOKUP($H18,'Programa Drench'!$B$6:$AA$182,MATCH(AG$2,'Programa Drench'!$B$5:$AA$5,0),FALSE)*AH18),0)</f>
        <v>0</v>
      </c>
      <c r="AH18" s="36">
        <f>IFERROR(ROUND((VLOOKUP($H18,'Programa Drench'!$B$6:$AA$182,MATCH(AH$2,'Programa Drench'!$B$5:$AA$5,0),FALSE)*$I18),-1),0)</f>
        <v>0</v>
      </c>
      <c r="AI18" s="89">
        <f>IFERROR((VLOOKUP($H18,'Programa Drench'!$B$6:$AA$182,MATCH(AI$2,'Programa Drench'!$B$5:$AA$5,0),FALSE)),0)</f>
        <v>15.530000000000001</v>
      </c>
    </row>
    <row r="19" spans="1:35" ht="15" customHeight="1" x14ac:dyDescent="0.2">
      <c r="A19" s="14">
        <f t="shared" si="0"/>
        <v>4</v>
      </c>
      <c r="B19" s="259" t="s">
        <v>1907</v>
      </c>
      <c r="C19" s="58">
        <v>2616</v>
      </c>
      <c r="D19" s="54" t="s">
        <v>1872</v>
      </c>
      <c r="E19" s="58" t="s">
        <v>929</v>
      </c>
      <c r="F19" s="58" t="s">
        <v>1109</v>
      </c>
      <c r="G19" s="53" t="str">
        <f t="shared" si="8"/>
        <v>P</v>
      </c>
      <c r="H19" s="55" t="str">
        <f>CONCATENATE(A19," ",G19," ",F19)</f>
        <v>4 P CLO</v>
      </c>
      <c r="I19" s="262">
        <f>IF(D19="MM1",VLOOKUP($B19,'Inf Bloques'!$A$1:$K$453,11,FALSE)*1,VLOOKUP($B19,'Inf Bloques'!$A$1:$K$453,11,FALSE))</f>
        <v>20.656166666666664</v>
      </c>
      <c r="J19" s="3">
        <f t="shared" si="10"/>
        <v>2.2951296296296295</v>
      </c>
      <c r="K19" s="89">
        <f>IFERROR(ROUND(IF($D19="SSJ",(VLOOKUP($H19,'Programa Drench'!$B$6:$AA$182,MATCH(K$2,'Programa Drench'!$B$5:$AA$5,0),FALSE)),VLOOKUP($H19,'Programa Drench'!$B$6:$AA$182,MATCH(K$2,'Programa Drench'!$B$5:$AA$5,0),FALSE)),1),0)</f>
        <v>7</v>
      </c>
      <c r="L19" s="30" t="str">
        <f>IFERROR((VLOOKUP($H19,'Programa Drench'!$B$6:$AA$182,MATCH(L$2,'Programa Drench'!$B$5:$AA$5,0),FALSE)),0)</f>
        <v>FOLIOGOLD</v>
      </c>
      <c r="M19" s="36">
        <f>IFERROR((VLOOKUP($H19,'Programa Drench'!$B$6:$AA$182,MATCH(M$2,'Programa Drench'!$B$5:$AA$5,0),FALSE)*N19),0)</f>
        <v>280</v>
      </c>
      <c r="N19" s="36">
        <f>IFERROR(ROUND((K19*$I19),-1),0)</f>
        <v>140</v>
      </c>
      <c r="O19" s="89">
        <f>IFERROR(ROUND(IF($D19="SSJ",(VLOOKUP($H19,'Programa Drench'!$B$6:$AA$182,MATCH(O$2,'Programa Drench'!$B$5:$AA$5,0),FALSE)),VLOOKUP($H19,'Programa Drench'!$B$6:$AA$182,MATCH(O$2,'Programa Drench'!$B$5:$AA$5,0),FALSE)),1),0)</f>
        <v>7</v>
      </c>
      <c r="P19" s="30" t="str">
        <f>IFERROR((VLOOKUP($H19,'Programa Drench'!$B$6:$AA$182,MATCH(P$2,'Programa Drench'!$B$5:$AA$5,0),FALSE)),0)</f>
        <v>Agral</v>
      </c>
      <c r="Q19" s="36">
        <f>IFERROR((VLOOKUP($H19,'Programa Drench'!$B$6:$AA$182,MATCH(Q$2,'Programa Drench'!$B$5:$AA$5,0),FALSE)*R19),0)</f>
        <v>28</v>
      </c>
      <c r="R19" s="36">
        <f t="shared" si="12"/>
        <v>140</v>
      </c>
      <c r="S19" s="89">
        <f>IFERROR(ROUND(IF($D19="SSJ",(VLOOKUP($H19,'Programa Drench'!$B$6:$AA$182,MATCH(S$2,'Programa Drench'!$B$5:$AA$5,0),FALSE)),VLOOKUP($H19,'Programa Drench'!$B$6:$AA$182,MATCH(S$2,'Programa Drench'!$B$5:$AA$5,0),FALSE)),1),0)</f>
        <v>0</v>
      </c>
      <c r="T19" s="30">
        <f>IFERROR((VLOOKUP($H19,'Programa Drench'!$B$6:$AA$182,MATCH(T$2,'Programa Drench'!$B$5:$AA$5,0),FALSE)),0)</f>
        <v>0</v>
      </c>
      <c r="U19" s="36">
        <f>IFERROR((VLOOKUP($H19,'Programa Drench'!$B$6:$AA$182,MATCH(U$2,'Programa Drench'!$B$5:$AA$5,0),FALSE)*V19),0)</f>
        <v>0</v>
      </c>
      <c r="V19" s="36">
        <f t="shared" si="13"/>
        <v>0</v>
      </c>
      <c r="W19" s="89">
        <f>IFERROR(ROUND(IF($D19="SSJ",(VLOOKUP($H19,'Programa Drench'!$B$6:$AA$182,MATCH(W$2,'Programa Drench'!$B$5:$AA$5,0),FALSE)),VLOOKUP($H19,'Programa Drench'!$B$6:$AA$182,MATCH(W$2,'Programa Drench'!$B$5:$AA$5,0),FALSE)),1),0)</f>
        <v>0</v>
      </c>
      <c r="X19" s="30">
        <f>IFERROR((VLOOKUP($H19,'Programa Drench'!$B$6:$AA$182,MATCH(X$2,'Programa Drench'!$B$5:$AA$5,0),FALSE)),0)</f>
        <v>0</v>
      </c>
      <c r="Y19" s="36">
        <f>IFERROR((VLOOKUP($H19,'Programa Drench'!$B$6:$AA$182,MATCH(Y$2,'Programa Drench'!$B$5:$AA$5,0),FALSE)*Z19),0)</f>
        <v>0</v>
      </c>
      <c r="Z19" s="36">
        <f t="shared" si="14"/>
        <v>0</v>
      </c>
      <c r="AA19" s="89">
        <f>IFERROR(ROUND(IF($D19="SSJ",(VLOOKUP($H19,'Programa Drench'!$B$6:$AA$182,MATCH(AA$2,'Programa Drench'!$B$5:$AA$5,0),FALSE)),VLOOKUP($H19,'Programa Drench'!$B$6:$AA$182,MATCH(AA$2,'Programa Drench'!$B$5:$AA$5,0),FALSE)),1),0)</f>
        <v>0</v>
      </c>
      <c r="AB19" s="30">
        <f>IFERROR((VLOOKUP($H19,'Programa Drench'!$B$6:$AA$182,MATCH(AB$2,'Programa Drench'!$B$5:$AA$5,0),FALSE)),0)</f>
        <v>0</v>
      </c>
      <c r="AC19" s="83">
        <f>IFERROR((VLOOKUP($H19,'Programa Drench'!$B$6:$AA$182,MATCH(AC$2,'Programa Drench'!$B$5:$AA$5,0),FALSE)*$I19),0)</f>
        <v>0</v>
      </c>
      <c r="AD19" s="36">
        <f t="shared" si="15"/>
        <v>0</v>
      </c>
      <c r="AE19" s="36">
        <f>IFERROR(ROUND((VLOOKUP($H19,'Programa Drench'!$B$6:$AA$182,MATCH(AE$2,'Programa Drench'!$B$5:$AA$5,0),FALSE)),-1),0)</f>
        <v>0</v>
      </c>
      <c r="AF19" s="30">
        <f>IFERROR((VLOOKUP($H19,'Programa Drench'!$B$6:$AA$182,MATCH(AF$2,'Programa Drench'!$B$5:$AA$5,0),FALSE)),0)</f>
        <v>0</v>
      </c>
      <c r="AG19" s="36">
        <f>IFERROR((VLOOKUP($H19,'Programa Drench'!$B$6:$AA$182,MATCH(AG$2,'Programa Drench'!$B$5:$AA$5,0),FALSE)*AH19),0)</f>
        <v>0</v>
      </c>
      <c r="AH19" s="36">
        <f>IFERROR(ROUND((VLOOKUP($H19,'Programa Drench'!$B$6:$AA$182,MATCH(AH$2,'Programa Drench'!$B$5:$AA$5,0),FALSE)*$I19),-1),0)</f>
        <v>0</v>
      </c>
      <c r="AI19" s="89">
        <f>IFERROR((VLOOKUP($H19,'Programa Drench'!$B$6:$AA$182,MATCH(AI$2,'Programa Drench'!$B$5:$AA$5,0),FALSE)),0)</f>
        <v>2.2000000000000002</v>
      </c>
    </row>
    <row r="20" spans="1:35" ht="15" customHeight="1" x14ac:dyDescent="0.2">
      <c r="A20" s="14">
        <f t="shared" si="0"/>
        <v>3</v>
      </c>
      <c r="B20" s="259">
        <v>16</v>
      </c>
      <c r="C20" s="58">
        <v>2617</v>
      </c>
      <c r="D20" s="54" t="s">
        <v>1872</v>
      </c>
      <c r="E20" s="58" t="s">
        <v>922</v>
      </c>
      <c r="F20" s="58" t="s">
        <v>286</v>
      </c>
      <c r="G20" s="53" t="str">
        <f t="shared" si="8"/>
        <v>P</v>
      </c>
      <c r="H20" s="55" t="str">
        <f t="shared" si="9"/>
        <v>3 P XL</v>
      </c>
      <c r="I20" s="262">
        <f>IF(D20="MM1",VLOOKUP($B20,'Inf Bloques'!$A$1:$K$453,11,FALSE)*1,VLOOKUP($B20,'Inf Bloques'!$A$1:$K$453,11,FALSE))</f>
        <v>40.747483333333378</v>
      </c>
      <c r="J20" s="3">
        <f t="shared" si="10"/>
        <v>4.5274981481481529</v>
      </c>
      <c r="K20" s="89">
        <f>IFERROR(ROUND(IF($D20="SSJ",(VLOOKUP($H20,'Programa Drench'!$B$6:$AA$182,MATCH(K$2,'Programa Drench'!$B$5:$AA$5,0),FALSE)),VLOOKUP($H20,'Programa Drench'!$B$6:$AA$182,MATCH(K$2,'Programa Drench'!$B$5:$AA$5,0),FALSE)),1),0)</f>
        <v>50</v>
      </c>
      <c r="L20" s="30" t="str">
        <f>IFERROR((VLOOKUP($H20,'Programa Drench'!$B$6:$AA$182,MATCH(L$2,'Programa Drench'!$B$5:$AA$5,0),FALSE)),0)</f>
        <v>Alto 100</v>
      </c>
      <c r="M20" s="36">
        <f>IFERROR((VLOOKUP($H20,'Programa Drench'!$B$6:$AA$182,MATCH(M$2,'Programa Drench'!$B$5:$AA$5,0),FALSE)*N20),0)</f>
        <v>1305.6000000000001</v>
      </c>
      <c r="N20" s="36">
        <f t="shared" si="11"/>
        <v>2040</v>
      </c>
      <c r="O20" s="89">
        <f>IFERROR(ROUND(IF($D20="SSJ",(VLOOKUP($H20,'Programa Drench'!$B$6:$AA$182,MATCH(O$2,'Programa Drench'!$B$5:$AA$5,0),FALSE)),VLOOKUP($H20,'Programa Drench'!$B$6:$AA$182,MATCH(O$2,'Programa Drench'!$B$5:$AA$5,0),FALSE)),1),0)</f>
        <v>0</v>
      </c>
      <c r="P20" s="30">
        <f>IFERROR((VLOOKUP($H20,'Programa Drench'!$B$6:$AA$182,MATCH(P$2,'Programa Drench'!$B$5:$AA$5,0),FALSE)),0)</f>
        <v>0</v>
      </c>
      <c r="Q20" s="36">
        <f>IFERROR((VLOOKUP($H20,'Programa Drench'!$B$6:$AA$182,MATCH(Q$2,'Programa Drench'!$B$5:$AA$5,0),FALSE)*R20),0)</f>
        <v>0</v>
      </c>
      <c r="R20" s="36">
        <f t="shared" si="12"/>
        <v>0</v>
      </c>
      <c r="S20" s="89">
        <f>IFERROR(ROUND(IF($D20="SSJ",(VLOOKUP($H20,'Programa Drench'!$B$6:$AA$182,MATCH(S$2,'Programa Drench'!$B$5:$AA$5,0),FALSE)),VLOOKUP($H20,'Programa Drench'!$B$6:$AA$182,MATCH(S$2,'Programa Drench'!$B$5:$AA$5,0),FALSE)),1),0)</f>
        <v>0</v>
      </c>
      <c r="T20" s="30">
        <f>IFERROR((VLOOKUP($H20,'Programa Drench'!$B$6:$AA$182,MATCH(T$2,'Programa Drench'!$B$5:$AA$5,0),FALSE)),0)</f>
        <v>0</v>
      </c>
      <c r="U20" s="36">
        <f>IFERROR((VLOOKUP($H20,'Programa Drench'!$B$6:$AA$182,MATCH(U$2,'Programa Drench'!$B$5:$AA$5,0),FALSE)*V20),0)</f>
        <v>0</v>
      </c>
      <c r="V20" s="36">
        <f t="shared" si="13"/>
        <v>0</v>
      </c>
      <c r="W20" s="89">
        <f>IFERROR(ROUND(IF($D20="SSJ",(VLOOKUP($H20,'Programa Drench'!$B$6:$AA$182,MATCH(W$2,'Programa Drench'!$B$5:$AA$5,0),FALSE)),VLOOKUP($H20,'Programa Drench'!$B$6:$AA$182,MATCH(W$2,'Programa Drench'!$B$5:$AA$5,0),FALSE)),1),0)</f>
        <v>0</v>
      </c>
      <c r="X20" s="30">
        <f>IFERROR((VLOOKUP($H20,'Programa Drench'!$B$6:$AA$182,MATCH(X$2,'Programa Drench'!$B$5:$AA$5,0),FALSE)),0)</f>
        <v>0</v>
      </c>
      <c r="Y20" s="36">
        <f>IFERROR((VLOOKUP($H20,'Programa Drench'!$B$6:$AA$182,MATCH(Y$2,'Programa Drench'!$B$5:$AA$5,0),FALSE)*Z20),0)</f>
        <v>0</v>
      </c>
      <c r="Z20" s="36">
        <f t="shared" si="14"/>
        <v>0</v>
      </c>
      <c r="AA20" s="89">
        <f>IFERROR(ROUND(IF($D20="SSJ",(VLOOKUP($H20,'Programa Drench'!$B$6:$AA$182,MATCH(AA$2,'Programa Drench'!$B$5:$AA$5,0),FALSE)),VLOOKUP($H20,'Programa Drench'!$B$6:$AA$182,MATCH(AA$2,'Programa Drench'!$B$5:$AA$5,0),FALSE)),1),0)</f>
        <v>0</v>
      </c>
      <c r="AB20" s="30">
        <f>IFERROR((VLOOKUP($H20,'Programa Drench'!$B$6:$AA$182,MATCH(AB$2,'Programa Drench'!$B$5:$AA$5,0),FALSE)),0)</f>
        <v>0</v>
      </c>
      <c r="AC20" s="83">
        <f>IFERROR((VLOOKUP($H20,'Programa Drench'!$B$6:$AA$182,MATCH(AC$2,'Programa Drench'!$B$5:$AA$5,0),FALSE)*$I20),0)</f>
        <v>0</v>
      </c>
      <c r="AD20" s="36">
        <f t="shared" si="15"/>
        <v>0</v>
      </c>
      <c r="AE20" s="36">
        <f>IFERROR(ROUND((VLOOKUP($H20,'Programa Drench'!$B$6:$AA$182,MATCH(AE$2,'Programa Drench'!$B$5:$AA$5,0),FALSE)),-1),0)</f>
        <v>0</v>
      </c>
      <c r="AF20" s="30">
        <f>IFERROR((VLOOKUP($H20,'Programa Drench'!$B$6:$AA$182,MATCH(AF$2,'Programa Drench'!$B$5:$AA$5,0),FALSE)),0)</f>
        <v>0</v>
      </c>
      <c r="AG20" s="36">
        <f>IFERROR((VLOOKUP($H20,'Programa Drench'!$B$6:$AA$182,MATCH(AG$2,'Programa Drench'!$B$5:$AA$5,0),FALSE)*AH20),0)</f>
        <v>0</v>
      </c>
      <c r="AH20" s="36">
        <f>IFERROR(ROUND((VLOOKUP($H20,'Programa Drench'!$B$6:$AA$182,MATCH(AH$2,'Programa Drench'!$B$5:$AA$5,0),FALSE)*$I20),-1),0)</f>
        <v>0</v>
      </c>
      <c r="AI20" s="89">
        <f>IFERROR((VLOOKUP($H20,'Programa Drench'!$B$6:$AA$182,MATCH(AI$2,'Programa Drench'!$B$5:$AA$5,0),FALSE)),0)</f>
        <v>0.64</v>
      </c>
    </row>
    <row r="21" spans="1:35" ht="15" customHeight="1" x14ac:dyDescent="0.2">
      <c r="A21" s="14">
        <f t="shared" si="0"/>
        <v>3</v>
      </c>
      <c r="B21" s="259" t="s">
        <v>1908</v>
      </c>
      <c r="C21" s="58">
        <v>2617</v>
      </c>
      <c r="D21" s="54" t="s">
        <v>1872</v>
      </c>
      <c r="E21" s="58" t="s">
        <v>922</v>
      </c>
      <c r="F21" s="58" t="s">
        <v>1109</v>
      </c>
      <c r="G21" s="14" t="str">
        <f t="shared" si="8"/>
        <v>P</v>
      </c>
      <c r="H21" s="55" t="str">
        <f t="shared" si="9"/>
        <v>3 P CLO</v>
      </c>
      <c r="I21" s="262">
        <f>IF(D21="MM1",VLOOKUP($B21,'Inf Bloques'!$A$1:$K$453,11,FALSE)*1,VLOOKUP($B21,'Inf Bloques'!$A$1:$K$453,11,FALSE))</f>
        <v>20.34963333333333</v>
      </c>
      <c r="J21" s="3">
        <f t="shared" si="10"/>
        <v>2.2610703703703701</v>
      </c>
      <c r="K21" s="89">
        <f>IFERROR(ROUND(IF($D21="SSJ",(VLOOKUP($H21,'Programa Drench'!$B$6:$AA$182,MATCH(K$2,'Programa Drench'!$B$5:$AA$5,0),FALSE)),VLOOKUP($H21,'Programa Drench'!$B$6:$AA$182,MATCH(K$2,'Programa Drench'!$B$5:$AA$5,0),FALSE)),1),0)</f>
        <v>50</v>
      </c>
      <c r="L21" s="30" t="str">
        <f>IFERROR((VLOOKUP($H21,'Programa Drench'!$B$6:$AA$182,MATCH(L$2,'Programa Drench'!$B$5:$AA$5,0),FALSE)),0)</f>
        <v>Alto 100</v>
      </c>
      <c r="M21" s="36">
        <f>IFERROR((VLOOKUP($H21,'Programa Drench'!$B$6:$AA$182,MATCH(M$2,'Programa Drench'!$B$5:$AA$5,0),FALSE)*N21),0)</f>
        <v>652.80000000000007</v>
      </c>
      <c r="N21" s="36">
        <f t="shared" si="11"/>
        <v>1020</v>
      </c>
      <c r="O21" s="89">
        <f>IFERROR(ROUND(IF($D21="SSJ",(VLOOKUP($H21,'Programa Drench'!$B$6:$AA$182,MATCH(O$2,'Programa Drench'!$B$5:$AA$5,0),FALSE)),VLOOKUP($H21,'Programa Drench'!$B$6:$AA$182,MATCH(O$2,'Programa Drench'!$B$5:$AA$5,0),FALSE)),1),0)</f>
        <v>0</v>
      </c>
      <c r="P21" s="30">
        <f>IFERROR((VLOOKUP($H21,'Programa Drench'!$B$6:$AA$182,MATCH(P$2,'Programa Drench'!$B$5:$AA$5,0),FALSE)),0)</f>
        <v>0</v>
      </c>
      <c r="Q21" s="36">
        <f>IFERROR((VLOOKUP($H21,'Programa Drench'!$B$6:$AA$182,MATCH(Q$2,'Programa Drench'!$B$5:$AA$5,0),FALSE)*R21),0)</f>
        <v>0</v>
      </c>
      <c r="R21" s="36">
        <f t="shared" si="12"/>
        <v>0</v>
      </c>
      <c r="S21" s="89">
        <f>IFERROR(ROUND(IF($D21="SSJ",(VLOOKUP($H21,'Programa Drench'!$B$6:$AA$182,MATCH(S$2,'Programa Drench'!$B$5:$AA$5,0),FALSE)),VLOOKUP($H21,'Programa Drench'!$B$6:$AA$182,MATCH(S$2,'Programa Drench'!$B$5:$AA$5,0),FALSE)),1),0)</f>
        <v>0</v>
      </c>
      <c r="T21" s="30">
        <f>IFERROR((VLOOKUP($H21,'Programa Drench'!$B$6:$AA$182,MATCH(T$2,'Programa Drench'!$B$5:$AA$5,0),FALSE)),0)</f>
        <v>0</v>
      </c>
      <c r="U21" s="36">
        <f>IFERROR((VLOOKUP($H21,'Programa Drench'!$B$6:$AA$182,MATCH(U$2,'Programa Drench'!$B$5:$AA$5,0),FALSE)*V21),0)</f>
        <v>0</v>
      </c>
      <c r="V21" s="36">
        <f t="shared" si="13"/>
        <v>0</v>
      </c>
      <c r="W21" s="89">
        <f>IFERROR(ROUND(IF($D21="SSJ",(VLOOKUP($H21,'Programa Drench'!$B$6:$AA$182,MATCH(W$2,'Programa Drench'!$B$5:$AA$5,0),FALSE)),VLOOKUP($H21,'Programa Drench'!$B$6:$AA$182,MATCH(W$2,'Programa Drench'!$B$5:$AA$5,0),FALSE)),1),0)</f>
        <v>0</v>
      </c>
      <c r="X21" s="30">
        <f>IFERROR((VLOOKUP($H21,'Programa Drench'!$B$6:$AA$182,MATCH(X$2,'Programa Drench'!$B$5:$AA$5,0),FALSE)),0)</f>
        <v>0</v>
      </c>
      <c r="Y21" s="36">
        <f>IFERROR((VLOOKUP($H21,'Programa Drench'!$B$6:$AA$182,MATCH(Y$2,'Programa Drench'!$B$5:$AA$5,0),FALSE)*Z21),0)</f>
        <v>0</v>
      </c>
      <c r="Z21" s="36">
        <f t="shared" si="14"/>
        <v>0</v>
      </c>
      <c r="AA21" s="89">
        <f>IFERROR(ROUND(IF($D21="SSJ",(VLOOKUP($H21,'Programa Drench'!$B$6:$AA$182,MATCH(AA$2,'Programa Drench'!$B$5:$AA$5,0),FALSE)),VLOOKUP($H21,'Programa Drench'!$B$6:$AA$182,MATCH(AA$2,'Programa Drench'!$B$5:$AA$5,0),FALSE)),1),0)</f>
        <v>0</v>
      </c>
      <c r="AB21" s="30">
        <f>IFERROR((VLOOKUP($H21,'Programa Drench'!$B$6:$AA$182,MATCH(AB$2,'Programa Drench'!$B$5:$AA$5,0),FALSE)),0)</f>
        <v>0</v>
      </c>
      <c r="AC21" s="83">
        <f>IFERROR((VLOOKUP($H21,'Programa Drench'!$B$6:$AA$182,MATCH(AC$2,'Programa Drench'!$B$5:$AA$5,0),FALSE)*$I21),0)</f>
        <v>0</v>
      </c>
      <c r="AD21" s="36">
        <f t="shared" si="15"/>
        <v>0</v>
      </c>
      <c r="AE21" s="36">
        <f>IFERROR(ROUND((VLOOKUP($H21,'Programa Drench'!$B$6:$AA$182,MATCH(AE$2,'Programa Drench'!$B$5:$AA$5,0),FALSE)),-1),0)</f>
        <v>0</v>
      </c>
      <c r="AF21" s="30">
        <f>IFERROR((VLOOKUP($H21,'Programa Drench'!$B$6:$AA$182,MATCH(AF$2,'Programa Drench'!$B$5:$AA$5,0),FALSE)),0)</f>
        <v>0</v>
      </c>
      <c r="AG21" s="36">
        <f>IFERROR((VLOOKUP($H21,'Programa Drench'!$B$6:$AA$182,MATCH(AG$2,'Programa Drench'!$B$5:$AA$5,0),FALSE)*AH21),0)</f>
        <v>0</v>
      </c>
      <c r="AH21" s="36">
        <f>IFERROR(ROUND((VLOOKUP($H21,'Programa Drench'!$B$6:$AA$182,MATCH(AH$2,'Programa Drench'!$B$5:$AA$5,0),FALSE)*$I21),-1),0)</f>
        <v>0</v>
      </c>
      <c r="AI21" s="89">
        <f>IFERROR((VLOOKUP($H21,'Programa Drench'!$B$6:$AA$182,MATCH(AI$2,'Programa Drench'!$B$5:$AA$5,0),FALSE)),0)</f>
        <v>0.64</v>
      </c>
    </row>
    <row r="22" spans="1:35" ht="15" customHeight="1" x14ac:dyDescent="0.2">
      <c r="A22" s="14">
        <f t="shared" si="0"/>
        <v>2</v>
      </c>
      <c r="B22" s="313" t="s">
        <v>1909</v>
      </c>
      <c r="C22" s="312">
        <v>2618</v>
      </c>
      <c r="D22" s="312" t="s">
        <v>1872</v>
      </c>
      <c r="E22" s="88" t="s">
        <v>922</v>
      </c>
      <c r="F22" s="88" t="s">
        <v>1109</v>
      </c>
      <c r="G22" s="53" t="str">
        <f t="shared" si="8"/>
        <v>P</v>
      </c>
      <c r="H22" s="55" t="str">
        <f t="shared" si="9"/>
        <v>2 P CLO</v>
      </c>
      <c r="I22" s="262">
        <f>IF(D22="MM1",VLOOKUP($B22,'Inf Bloques'!$A$1:$K$453,11,FALSE)*1,VLOOKUP($B22,'Inf Bloques'!$A$1:$K$453,11,FALSE))</f>
        <v>19.278599999999997</v>
      </c>
      <c r="J22" s="3">
        <f t="shared" si="10"/>
        <v>2.1420666666666666</v>
      </c>
      <c r="K22" s="89">
        <f>IFERROR(ROUND(IF($D22="SSJ",(VLOOKUP($H22,'Programa Drench'!$B$6:$AA$182,MATCH(K$2,'Programa Drench'!$B$5:$AA$5,0),FALSE)),VLOOKUP($H22,'Programa Drench'!$B$6:$AA$182,MATCH(K$2,'Programa Drench'!$B$5:$AA$5,0),FALSE)),1),0)</f>
        <v>50</v>
      </c>
      <c r="L22" s="30" t="str">
        <f>IFERROR((VLOOKUP($H22,'Programa Drench'!$B$6:$AA$182,MATCH(L$2,'Programa Drench'!$B$5:$AA$5,0),FALSE)),0)</f>
        <v>RAIZA</v>
      </c>
      <c r="M22" s="36">
        <f>IFERROR((VLOOKUP($H22,'Programa Drench'!$B$6:$AA$182,MATCH(M$2,'Programa Drench'!$B$5:$AA$5,0),FALSE)*N22),0)</f>
        <v>316.8</v>
      </c>
      <c r="N22" s="36">
        <f t="shared" si="11"/>
        <v>960</v>
      </c>
      <c r="O22" s="89">
        <f>IFERROR(ROUND(IF($D22="SSJ",(VLOOKUP($H22,'Programa Drench'!$B$6:$AA$182,MATCH(O$2,'Programa Drench'!$B$5:$AA$5,0),FALSE)),VLOOKUP($H22,'Programa Drench'!$B$6:$AA$182,MATCH(O$2,'Programa Drench'!$B$5:$AA$5,0),FALSE)),1),0)</f>
        <v>50</v>
      </c>
      <c r="P22" s="30" t="str">
        <f>IFERROR((VLOOKUP($H22,'Programa Drench'!$B$6:$AA$182,MATCH(P$2,'Programa Drench'!$B$5:$AA$5,0),FALSE)),0)</f>
        <v>HUMISTAR WG</v>
      </c>
      <c r="Q22" s="36">
        <f>IFERROR((VLOOKUP($H22,'Programa Drench'!$B$6:$AA$182,MATCH(Q$2,'Programa Drench'!$B$5:$AA$5,0),FALSE)*R22),0)</f>
        <v>192</v>
      </c>
      <c r="R22" s="36">
        <f t="shared" si="12"/>
        <v>960</v>
      </c>
      <c r="S22" s="89">
        <f>IFERROR(ROUND(IF($D22="SSJ",(VLOOKUP($H22,'Programa Drench'!$B$6:$AA$182,MATCH(S$2,'Programa Drench'!$B$5:$AA$5,0),FALSE)),VLOOKUP($H22,'Programa Drench'!$B$6:$AA$182,MATCH(S$2,'Programa Drench'!$B$5:$AA$5,0),FALSE)),1),0)</f>
        <v>50</v>
      </c>
      <c r="T22" s="30" t="str">
        <f>IFERROR((VLOOKUP($H22,'Programa Drench'!$B$6:$AA$182,MATCH(T$2,'Programa Drench'!$B$5:$AA$5,0),FALSE)),0)</f>
        <v>Serenade</v>
      </c>
      <c r="U22" s="36">
        <f>IFERROR((VLOOKUP($H22,'Programa Drench'!$B$6:$AA$182,MATCH(U$2,'Programa Drench'!$B$5:$AA$5,0),FALSE)*V22),0)</f>
        <v>172.79999999999998</v>
      </c>
      <c r="V22" s="36">
        <f t="shared" si="13"/>
        <v>960</v>
      </c>
      <c r="W22" s="89">
        <f>IFERROR(ROUND(IF($D22="SSJ",(VLOOKUP($H22,'Programa Drench'!$B$6:$AA$182,MATCH(W$2,'Programa Drench'!$B$5:$AA$5,0),FALSE)),VLOOKUP($H22,'Programa Drench'!$B$6:$AA$182,MATCH(W$2,'Programa Drench'!$B$5:$AA$5,0),FALSE)),1),0)</f>
        <v>0</v>
      </c>
      <c r="X22" s="30">
        <f>IFERROR((VLOOKUP($H22,'Programa Drench'!$B$6:$AA$182,MATCH(X$2,'Programa Drench'!$B$5:$AA$5,0),FALSE)),0)</f>
        <v>0</v>
      </c>
      <c r="Y22" s="36">
        <f>IFERROR((VLOOKUP($H22,'Programa Drench'!$B$6:$AA$182,MATCH(Y$2,'Programa Drench'!$B$5:$AA$5,0),FALSE)*Z22),0)</f>
        <v>0</v>
      </c>
      <c r="Z22" s="36">
        <f t="shared" si="14"/>
        <v>0</v>
      </c>
      <c r="AA22" s="89">
        <f>IFERROR(ROUND(IF($D22="SSJ",(VLOOKUP($H22,'Programa Drench'!$B$6:$AA$182,MATCH(AA$2,'Programa Drench'!$B$5:$AA$5,0),FALSE)),VLOOKUP($H22,'Programa Drench'!$B$6:$AA$182,MATCH(AA$2,'Programa Drench'!$B$5:$AA$5,0),FALSE)),1),0)</f>
        <v>0</v>
      </c>
      <c r="AB22" s="30">
        <f>IFERROR((VLOOKUP($H22,'Programa Drench'!$B$6:$AA$182,MATCH(AB$2,'Programa Drench'!$B$5:$AA$5,0),FALSE)),0)</f>
        <v>0</v>
      </c>
      <c r="AC22" s="83">
        <f>IFERROR((VLOOKUP($H22,'Programa Drench'!$B$6:$AA$182,MATCH(AC$2,'Programa Drench'!$B$5:$AA$5,0),FALSE)*$I22),0)</f>
        <v>0</v>
      </c>
      <c r="AD22" s="36">
        <f t="shared" si="15"/>
        <v>0</v>
      </c>
      <c r="AE22" s="36">
        <f>IFERROR(ROUND((VLOOKUP($H22,'Programa Drench'!$B$6:$AA$182,MATCH(AE$2,'Programa Drench'!$B$5:$AA$5,0),FALSE)),-1),0)</f>
        <v>0</v>
      </c>
      <c r="AF22" s="30">
        <f>IFERROR((VLOOKUP($H22,'Programa Drench'!$B$6:$AA$182,MATCH(AF$2,'Programa Drench'!$B$5:$AA$5,0),FALSE)),0)</f>
        <v>0</v>
      </c>
      <c r="AG22" s="36">
        <f>IFERROR((VLOOKUP($H22,'Programa Drench'!$B$6:$AA$182,MATCH(AG$2,'Programa Drench'!$B$5:$AA$5,0),FALSE)*AH22),0)</f>
        <v>0</v>
      </c>
      <c r="AH22" s="36">
        <f>IFERROR(ROUND((VLOOKUP($H22,'Programa Drench'!$B$6:$AA$182,MATCH(AH$2,'Programa Drench'!$B$5:$AA$5,0),FALSE)*$I22),-1),0)</f>
        <v>0</v>
      </c>
      <c r="AI22" s="89">
        <f>IFERROR((VLOOKUP($H22,'Programa Drench'!$B$6:$AA$182,MATCH(AI$2,'Programa Drench'!$B$5:$AA$5,0),FALSE)),0)</f>
        <v>0.71</v>
      </c>
    </row>
    <row r="23" spans="1:35" ht="15" customHeight="1" x14ac:dyDescent="0.2">
      <c r="A23" s="14">
        <f t="shared" si="0"/>
        <v>2</v>
      </c>
      <c r="B23" s="311">
        <v>8</v>
      </c>
      <c r="C23" s="312">
        <v>2618</v>
      </c>
      <c r="D23" s="312" t="s">
        <v>1872</v>
      </c>
      <c r="E23" s="88" t="s">
        <v>929</v>
      </c>
      <c r="F23" s="88" t="s">
        <v>286</v>
      </c>
      <c r="G23" s="53" t="str">
        <f t="shared" si="8"/>
        <v>P</v>
      </c>
      <c r="H23" s="55" t="str">
        <f t="shared" si="9"/>
        <v>2 P XL</v>
      </c>
      <c r="I23" s="262">
        <f>IF(D23="MM1",VLOOKUP($B23,'Inf Bloques'!$A$1:$K$453,11,FALSE)*1,VLOOKUP($B23,'Inf Bloques'!$A$1:$K$453,11,FALSE))</f>
        <v>40.908266666666691</v>
      </c>
      <c r="J23" s="3">
        <f t="shared" si="10"/>
        <v>4.5453629629629653</v>
      </c>
      <c r="K23" s="89">
        <f>IFERROR(ROUND(IF($D23="SSJ",(VLOOKUP($H23,'Programa Drench'!$B$6:$AA$182,MATCH(K$2,'Programa Drench'!$B$5:$AA$5,0),FALSE)),VLOOKUP($H23,'Programa Drench'!$B$6:$AA$182,MATCH(K$2,'Programa Drench'!$B$5:$AA$5,0),FALSE)),1),0)</f>
        <v>50</v>
      </c>
      <c r="L23" s="30" t="str">
        <f>IFERROR((VLOOKUP($H23,'Programa Drench'!$B$6:$AA$182,MATCH(L$2,'Programa Drench'!$B$5:$AA$5,0),FALSE)),0)</f>
        <v>RAIZA</v>
      </c>
      <c r="M23" s="36">
        <f>IFERROR((VLOOKUP($H23,'Programa Drench'!$B$6:$AA$182,MATCH(M$2,'Programa Drench'!$B$5:$AA$5,0),FALSE)*N23),0)</f>
        <v>676.5</v>
      </c>
      <c r="N23" s="36">
        <f t="shared" si="11"/>
        <v>2050</v>
      </c>
      <c r="O23" s="89">
        <f>IFERROR(ROUND(IF($D23="SSJ",(VLOOKUP($H23,'Programa Drench'!$B$6:$AA$182,MATCH(O$2,'Programa Drench'!$B$5:$AA$5,0),FALSE)),VLOOKUP($H23,'Programa Drench'!$B$6:$AA$182,MATCH(O$2,'Programa Drench'!$B$5:$AA$5,0),FALSE)),1),0)</f>
        <v>50</v>
      </c>
      <c r="P23" s="30" t="str">
        <f>IFERROR((VLOOKUP($H23,'Programa Drench'!$B$6:$AA$182,MATCH(P$2,'Programa Drench'!$B$5:$AA$5,0),FALSE)),0)</f>
        <v>HUMISTAR WG</v>
      </c>
      <c r="Q23" s="36">
        <f>IFERROR((VLOOKUP($H23,'Programa Drench'!$B$6:$AA$182,MATCH(Q$2,'Programa Drench'!$B$5:$AA$5,0),FALSE)*R23),0)</f>
        <v>410</v>
      </c>
      <c r="R23" s="36">
        <f t="shared" si="12"/>
        <v>2050</v>
      </c>
      <c r="S23" s="89">
        <f>IFERROR(ROUND(IF($D23="SSJ",(VLOOKUP($H23,'Programa Drench'!$B$6:$AA$182,MATCH(S$2,'Programa Drench'!$B$5:$AA$5,0),FALSE)),VLOOKUP($H23,'Programa Drench'!$B$6:$AA$182,MATCH(S$2,'Programa Drench'!$B$5:$AA$5,0),FALSE)),1),0)</f>
        <v>50</v>
      </c>
      <c r="T23" s="30" t="str">
        <f>IFERROR((VLOOKUP($H23,'Programa Drench'!$B$6:$AA$182,MATCH(T$2,'Programa Drench'!$B$5:$AA$5,0),FALSE)),0)</f>
        <v>Serenade</v>
      </c>
      <c r="U23" s="36">
        <f>IFERROR((VLOOKUP($H23,'Programa Drench'!$B$6:$AA$182,MATCH(U$2,'Programa Drench'!$B$5:$AA$5,0),FALSE)*V23),0)</f>
        <v>369</v>
      </c>
      <c r="V23" s="36">
        <f t="shared" si="13"/>
        <v>2050</v>
      </c>
      <c r="W23" s="89">
        <f>IFERROR(ROUND(IF($D23="SSJ",(VLOOKUP($H23,'Programa Drench'!$B$6:$AA$182,MATCH(W$2,'Programa Drench'!$B$5:$AA$5,0),FALSE)),VLOOKUP($H23,'Programa Drench'!$B$6:$AA$182,MATCH(W$2,'Programa Drench'!$B$5:$AA$5,0),FALSE)),1),0)</f>
        <v>0</v>
      </c>
      <c r="X23" s="30">
        <f>IFERROR((VLOOKUP($H23,'Programa Drench'!$B$6:$AA$182,MATCH(X$2,'Programa Drench'!$B$5:$AA$5,0),FALSE)),0)</f>
        <v>0</v>
      </c>
      <c r="Y23" s="36">
        <f>IFERROR((VLOOKUP($H23,'Programa Drench'!$B$6:$AA$182,MATCH(Y$2,'Programa Drench'!$B$5:$AA$5,0),FALSE)*Z23),0)</f>
        <v>0</v>
      </c>
      <c r="Z23" s="36">
        <f t="shared" si="14"/>
        <v>0</v>
      </c>
      <c r="AA23" s="89">
        <f>IFERROR(ROUND(IF($D23="SSJ",(VLOOKUP($H23,'Programa Drench'!$B$6:$AA$182,MATCH(AA$2,'Programa Drench'!$B$5:$AA$5,0),FALSE)),VLOOKUP($H23,'Programa Drench'!$B$6:$AA$182,MATCH(AA$2,'Programa Drench'!$B$5:$AA$5,0),FALSE)),1),0)</f>
        <v>0</v>
      </c>
      <c r="AB23" s="30">
        <f>IFERROR((VLOOKUP($H23,'Programa Drench'!$B$6:$AA$182,MATCH(AB$2,'Programa Drench'!$B$5:$AA$5,0),FALSE)),0)</f>
        <v>0</v>
      </c>
      <c r="AC23" s="83">
        <f>IFERROR((VLOOKUP($H23,'Programa Drench'!$B$6:$AA$182,MATCH(AC$2,'Programa Drench'!$B$5:$AA$5,0),FALSE)*$I23),0)</f>
        <v>0</v>
      </c>
      <c r="AD23" s="36">
        <f t="shared" si="15"/>
        <v>0</v>
      </c>
      <c r="AE23" s="36">
        <f>IFERROR(ROUND((VLOOKUP($H23,'Programa Drench'!$B$6:$AA$182,MATCH(AE$2,'Programa Drench'!$B$5:$AA$5,0),FALSE)),-1),0)</f>
        <v>0</v>
      </c>
      <c r="AF23" s="30">
        <f>IFERROR((VLOOKUP($H23,'Programa Drench'!$B$6:$AA$182,MATCH(AF$2,'Programa Drench'!$B$5:$AA$5,0),FALSE)),0)</f>
        <v>0</v>
      </c>
      <c r="AG23" s="36">
        <f>IFERROR((VLOOKUP($H23,'Programa Drench'!$B$6:$AA$182,MATCH(AG$2,'Programa Drench'!$B$5:$AA$5,0),FALSE)*AH23),0)</f>
        <v>0</v>
      </c>
      <c r="AH23" s="36">
        <f>IFERROR(ROUND((VLOOKUP($H23,'Programa Drench'!$B$6:$AA$182,MATCH(AH$2,'Programa Drench'!$B$5:$AA$5,0),FALSE)*$I23),-1),0)</f>
        <v>0</v>
      </c>
      <c r="AI23" s="89">
        <f>IFERROR((VLOOKUP($H23,'Programa Drench'!$B$6:$AA$182,MATCH(AI$2,'Programa Drench'!$B$5:$AA$5,0),FALSE)),0)</f>
        <v>0.71</v>
      </c>
    </row>
    <row r="24" spans="1:35" ht="15" customHeight="1" x14ac:dyDescent="0.2">
      <c r="A24" s="14">
        <f t="shared" si="0"/>
        <v>1</v>
      </c>
      <c r="B24" s="311">
        <v>12</v>
      </c>
      <c r="C24" s="88">
        <v>2619</v>
      </c>
      <c r="D24" s="312" t="s">
        <v>1872</v>
      </c>
      <c r="E24" s="88" t="s">
        <v>480</v>
      </c>
      <c r="F24" s="88" t="s">
        <v>286</v>
      </c>
      <c r="G24" s="53" t="str">
        <f t="shared" si="8"/>
        <v>P</v>
      </c>
      <c r="H24" s="55" t="str">
        <f t="shared" si="9"/>
        <v>1 P XL</v>
      </c>
      <c r="I24" s="262">
        <f>IF(D24="MM1",VLOOKUP($B24,'Inf Bloques'!$A$1:$K$453,11,FALSE)*1,VLOOKUP($B24,'Inf Bloques'!$A$1:$K$453,11,FALSE))</f>
        <v>39.146699999999981</v>
      </c>
      <c r="J24" s="3">
        <f t="shared" si="10"/>
        <v>4.3496333333333315</v>
      </c>
      <c r="K24" s="89">
        <f>IFERROR(ROUND(IF($D24="SSJ",(VLOOKUP($H24,'Programa Drench'!$B$6:$AA$182,MATCH(K$2,'Programa Drench'!$B$5:$AA$5,0),FALSE)),VLOOKUP($H24,'Programa Drench'!$B$6:$AA$182,MATCH(K$2,'Programa Drench'!$B$5:$AA$5,0),FALSE)),1),0)</f>
        <v>7</v>
      </c>
      <c r="L24" s="30" t="str">
        <f>IFERROR((VLOOKUP($H24,'Programa Drench'!$B$6:$AA$182,MATCH(L$2,'Programa Drench'!$B$5:$AA$5,0),FALSE)),0)</f>
        <v>Vitavax flo</v>
      </c>
      <c r="M24" s="36">
        <f>IFERROR((VLOOKUP($H24,'Programa Drench'!$B$6:$AA$182,MATCH(M$2,'Programa Drench'!$B$5:$AA$5,0),FALSE)*N24),0)</f>
        <v>540</v>
      </c>
      <c r="N24" s="36">
        <f t="shared" si="11"/>
        <v>270</v>
      </c>
      <c r="O24" s="89">
        <f>IFERROR(ROUND(IF($D24="SSJ",(VLOOKUP($H24,'Programa Drench'!$B$6:$AA$182,MATCH(O$2,'Programa Drench'!$B$5:$AA$5,0),FALSE)),VLOOKUP($H24,'Programa Drench'!$B$6:$AA$182,MATCH(O$2,'Programa Drench'!$B$5:$AA$5,0),FALSE)),1),0)</f>
        <v>7</v>
      </c>
      <c r="P24" s="30" t="str">
        <f>IFERROR((VLOOKUP($H24,'Programa Drench'!$B$6:$AA$182,MATCH(P$2,'Programa Drench'!$B$5:$AA$5,0),FALSE)),0)</f>
        <v xml:space="preserve">KOCIDE 101 77% </v>
      </c>
      <c r="Q24" s="36">
        <f>IFERROR((VLOOKUP($H24,'Programa Drench'!$B$6:$AA$182,MATCH(Q$2,'Programa Drench'!$B$5:$AA$5,0),FALSE)*R24),0)</f>
        <v>540</v>
      </c>
      <c r="R24" s="36">
        <f t="shared" si="12"/>
        <v>270</v>
      </c>
      <c r="S24" s="89">
        <f>IFERROR(ROUND(IF($D24="SSJ",(VLOOKUP($H24,'Programa Drench'!$B$6:$AA$182,MATCH(S$2,'Programa Drench'!$B$5:$AA$5,0),FALSE)),VLOOKUP($H24,'Programa Drench'!$B$6:$AA$182,MATCH(S$2,'Programa Drench'!$B$5:$AA$5,0),FALSE)),1),0)</f>
        <v>7</v>
      </c>
      <c r="T24" s="30" t="str">
        <f>IFERROR((VLOOKUP($H24,'Programa Drench'!$B$6:$AA$182,MATCH(T$2,'Programa Drench'!$B$5:$AA$5,0),FALSE)),0)</f>
        <v>Agral</v>
      </c>
      <c r="U24" s="36">
        <f>IFERROR((VLOOKUP($H24,'Programa Drench'!$B$6:$AA$182,MATCH(U$2,'Programa Drench'!$B$5:$AA$5,0),FALSE)*V24),0)</f>
        <v>54</v>
      </c>
      <c r="V24" s="36">
        <f t="shared" si="13"/>
        <v>270</v>
      </c>
      <c r="W24" s="89">
        <f>IFERROR(ROUND(IF($D24="SSJ",(VLOOKUP($H24,'Programa Drench'!$B$6:$AA$182,MATCH(W$2,'Programa Drench'!$B$5:$AA$5,0),FALSE)),VLOOKUP($H24,'Programa Drench'!$B$6:$AA$182,MATCH(W$2,'Programa Drench'!$B$5:$AA$5,0),FALSE)),1),0)</f>
        <v>0</v>
      </c>
      <c r="X24" s="30">
        <f>IFERROR((VLOOKUP($H24,'Programa Drench'!$B$6:$AA$182,MATCH(X$2,'Programa Drench'!$B$5:$AA$5,0),FALSE)),0)</f>
        <v>0</v>
      </c>
      <c r="Y24" s="36">
        <f>IFERROR((VLOOKUP($H24,'Programa Drench'!$B$6:$AA$182,MATCH(Y$2,'Programa Drench'!$B$5:$AA$5,0),FALSE)*Z24),0)</f>
        <v>0</v>
      </c>
      <c r="Z24" s="36">
        <f t="shared" si="14"/>
        <v>0</v>
      </c>
      <c r="AA24" s="89">
        <f>IFERROR(ROUND(IF($D24="SSJ",(VLOOKUP($H24,'Programa Drench'!$B$6:$AA$182,MATCH(AA$2,'Programa Drench'!$B$5:$AA$5,0),FALSE)),VLOOKUP($H24,'Programa Drench'!$B$6:$AA$182,MATCH(AA$2,'Programa Drench'!$B$5:$AA$5,0),FALSE)),1),0)</f>
        <v>0</v>
      </c>
      <c r="AB24" s="30">
        <f>IFERROR((VLOOKUP($H24,'Programa Drench'!$B$6:$AA$182,MATCH(AB$2,'Programa Drench'!$B$5:$AA$5,0),FALSE)),0)</f>
        <v>0</v>
      </c>
      <c r="AC24" s="83">
        <f>IFERROR((VLOOKUP($H24,'Programa Drench'!$B$6:$AA$182,MATCH(AC$2,'Programa Drench'!$B$5:$AA$5,0),FALSE)*$I24),0)</f>
        <v>0</v>
      </c>
      <c r="AD24" s="36">
        <f t="shared" si="15"/>
        <v>0</v>
      </c>
      <c r="AE24" s="36">
        <f>IFERROR(ROUND((VLOOKUP($H24,'Programa Drench'!$B$6:$AA$182,MATCH(AE$2,'Programa Drench'!$B$5:$AA$5,0),FALSE)),-1),0)</f>
        <v>0</v>
      </c>
      <c r="AF24" s="30">
        <f>IFERROR((VLOOKUP($H24,'Programa Drench'!$B$6:$AA$182,MATCH(AF$2,'Programa Drench'!$B$5:$AA$5,0),FALSE)),0)</f>
        <v>0</v>
      </c>
      <c r="AG24" s="36">
        <f>IFERROR((VLOOKUP($H24,'Programa Drench'!$B$6:$AA$182,MATCH(AG$2,'Programa Drench'!$B$5:$AA$5,0),FALSE)*AH24),0)</f>
        <v>0</v>
      </c>
      <c r="AH24" s="36">
        <f>IFERROR(ROUND((VLOOKUP($H24,'Programa Drench'!$B$6:$AA$182,MATCH(AH$2,'Programa Drench'!$B$5:$AA$5,0),FALSE)*$I24),-1),0)</f>
        <v>0</v>
      </c>
      <c r="AI24" s="89">
        <f>IFERROR((VLOOKUP($H24,'Programa Drench'!$B$6:$AA$182,MATCH(AI$2,'Programa Drench'!$B$5:$AA$5,0),FALSE)),0)</f>
        <v>4.2</v>
      </c>
    </row>
    <row r="25" spans="1:35" ht="15" hidden="1" customHeight="1" x14ac:dyDescent="0.2">
      <c r="A25" s="14">
        <f t="shared" si="0"/>
        <v>2572</v>
      </c>
      <c r="B25" s="77"/>
      <c r="C25" s="54"/>
      <c r="D25" s="54"/>
      <c r="E25" s="54"/>
      <c r="F25" s="54"/>
      <c r="G25" s="53" t="str">
        <f t="shared" si="8"/>
        <v/>
      </c>
      <c r="H25" s="55" t="str">
        <f t="shared" si="9"/>
        <v xml:space="preserve">2572  </v>
      </c>
      <c r="I25" s="262" t="e">
        <f>IF(D25="MM1",VLOOKUP($B25,'Inf Bloques'!$A$1:$K$453,11,FALSE)*1,VLOOKUP($B25,'Inf Bloques'!$A$1:$K$453,11,FALSE))</f>
        <v>#N/A</v>
      </c>
      <c r="J25" s="3" t="e">
        <f t="shared" si="10"/>
        <v>#N/A</v>
      </c>
      <c r="K25" s="89">
        <f>IFERROR(ROUND(IF($D25="SSJ",(VLOOKUP($H25,'Programa Drench'!$B$6:$AA$182,MATCH(K$2,'Programa Drench'!$B$5:$AA$5,0),FALSE)),VLOOKUP($H25,'Programa Drench'!$B$6:$AA$182,MATCH(K$2,'Programa Drench'!$B$5:$AA$5,0),FALSE)),1),0)</f>
        <v>0</v>
      </c>
      <c r="L25" s="30">
        <f>IFERROR((VLOOKUP($H25,'Programa Drench'!$B$6:$AA$182,MATCH(L$2,'Programa Drench'!$B$5:$AA$5,0),FALSE)),0)</f>
        <v>0</v>
      </c>
      <c r="M25" s="36">
        <f>IFERROR((VLOOKUP($H25,'Programa Drench'!$B$6:$AA$182,MATCH(M$2,'Programa Drench'!$B$5:$AA$5,0),FALSE)*N25),0)</f>
        <v>0</v>
      </c>
      <c r="N25" s="36">
        <f t="shared" si="11"/>
        <v>0</v>
      </c>
      <c r="O25" s="89">
        <f>IFERROR(ROUND(IF($D25="SSJ",(VLOOKUP($H25,'Programa Drench'!$B$6:$AA$182,MATCH(O$2,'Programa Drench'!$B$5:$AA$5,0),FALSE)),VLOOKUP($H25,'Programa Drench'!$B$6:$AA$182,MATCH(O$2,'Programa Drench'!$B$5:$AA$5,0),FALSE)),1),0)</f>
        <v>0</v>
      </c>
      <c r="P25" s="30">
        <f>IFERROR((VLOOKUP($H25,'Programa Drench'!$B$6:$AA$182,MATCH(P$2,'Programa Drench'!$B$5:$AA$5,0),FALSE)),0)</f>
        <v>0</v>
      </c>
      <c r="Q25" s="36">
        <f>IFERROR((VLOOKUP($H25,'Programa Drench'!$B$6:$AA$182,MATCH(Q$2,'Programa Drench'!$B$5:$AA$5,0),FALSE)*R25),0)</f>
        <v>0</v>
      </c>
      <c r="R25" s="36">
        <f t="shared" si="12"/>
        <v>0</v>
      </c>
      <c r="S25" s="89">
        <f>IFERROR(ROUND(IF($D25="SSJ",(VLOOKUP($H25,'Programa Drench'!$B$6:$AA$182,MATCH(S$2,'Programa Drench'!$B$5:$AA$5,0),FALSE)),VLOOKUP($H25,'Programa Drench'!$B$6:$AA$182,MATCH(S$2,'Programa Drench'!$B$5:$AA$5,0),FALSE)),1),0)</f>
        <v>0</v>
      </c>
      <c r="T25" s="30">
        <f>IFERROR((VLOOKUP($H25,'Programa Drench'!$B$6:$AA$182,MATCH(T$2,'Programa Drench'!$B$5:$AA$5,0),FALSE)),0)</f>
        <v>0</v>
      </c>
      <c r="U25" s="36">
        <f>IFERROR((VLOOKUP($H25,'Programa Drench'!$B$6:$AA$182,MATCH(U$2,'Programa Drench'!$B$5:$AA$5,0),FALSE)*V25),0)</f>
        <v>0</v>
      </c>
      <c r="V25" s="36">
        <f t="shared" si="13"/>
        <v>0</v>
      </c>
      <c r="W25" s="89">
        <f>IFERROR(ROUND(IF($D25="SSJ",(VLOOKUP($H25,'Programa Drench'!$B$6:$AA$182,MATCH(W$2,'Programa Drench'!$B$5:$AA$5,0),FALSE)),VLOOKUP($H25,'Programa Drench'!$B$6:$AA$182,MATCH(W$2,'Programa Drench'!$B$5:$AA$5,0),FALSE)),1),0)</f>
        <v>0</v>
      </c>
      <c r="X25" s="30">
        <f>IFERROR((VLOOKUP($H25,'Programa Drench'!$B$6:$AA$182,MATCH(X$2,'Programa Drench'!$B$5:$AA$5,0),FALSE)),0)</f>
        <v>0</v>
      </c>
      <c r="Y25" s="36">
        <f>IFERROR((VLOOKUP($H25,'Programa Drench'!$B$6:$AA$182,MATCH(Y$2,'Programa Drench'!$B$5:$AA$5,0),FALSE)*Z25),0)</f>
        <v>0</v>
      </c>
      <c r="Z25" s="36">
        <f t="shared" si="14"/>
        <v>0</v>
      </c>
      <c r="AA25" s="89">
        <f>IFERROR(ROUND(IF($D25="SSJ",(VLOOKUP($H25,'Programa Drench'!$B$6:$AA$182,MATCH(AA$2,'Programa Drench'!$B$5:$AA$5,0),FALSE)),VLOOKUP($H25,'Programa Drench'!$B$6:$AA$182,MATCH(AA$2,'Programa Drench'!$B$5:$AA$5,0),FALSE)),1),0)</f>
        <v>0</v>
      </c>
      <c r="AB25" s="30">
        <f>IFERROR((VLOOKUP($H25,'Programa Drench'!$B$6:$AA$182,MATCH(AB$2,'Programa Drench'!$B$5:$AA$5,0),FALSE)),0)</f>
        <v>0</v>
      </c>
      <c r="AC25" s="83">
        <f>IFERROR((VLOOKUP($H25,'Programa Drench'!$B$6:$AA$182,MATCH(AC$2,'Programa Drench'!$B$5:$AA$5,0),FALSE)*$I25),0)</f>
        <v>0</v>
      </c>
      <c r="AD25" s="36">
        <f t="shared" si="15"/>
        <v>0</v>
      </c>
      <c r="AE25" s="36">
        <f>IFERROR(ROUND((VLOOKUP($H25,'Programa Drench'!$B$6:$AA$182,MATCH(AE$2,'Programa Drench'!$B$5:$AA$5,0),FALSE)),-1),0)</f>
        <v>0</v>
      </c>
      <c r="AF25" s="30">
        <f>IFERROR((VLOOKUP($H25,'Programa Drench'!$B$6:$AA$182,MATCH(AF$2,'Programa Drench'!$B$5:$AA$5,0),FALSE)),0)</f>
        <v>0</v>
      </c>
      <c r="AG25" s="36">
        <f>IFERROR((VLOOKUP($H25,'Programa Drench'!$B$6:$AA$182,MATCH(AG$2,'Programa Drench'!$B$5:$AA$5,0),FALSE)*AH25),0)</f>
        <v>0</v>
      </c>
      <c r="AH25" s="36">
        <f>IFERROR(ROUND((VLOOKUP($H25,'Programa Drench'!$B$6:$AA$182,MATCH(AH$2,'Programa Drench'!$B$5:$AA$5,0),FALSE)*$I25),-1),0)</f>
        <v>0</v>
      </c>
      <c r="AI25" s="89">
        <f>IFERROR((VLOOKUP($H25,'Programa Drench'!$B$6:$AA$182,MATCH(AI$2,'Programa Drench'!$B$5:$AA$5,0),FALSE)),0)</f>
        <v>0</v>
      </c>
    </row>
    <row r="26" spans="1:35" ht="15" hidden="1" customHeight="1" x14ac:dyDescent="0.2">
      <c r="A26" s="14">
        <f t="shared" si="0"/>
        <v>2572</v>
      </c>
      <c r="B26" s="77"/>
      <c r="C26" s="54"/>
      <c r="D26" s="54"/>
      <c r="E26" s="58"/>
      <c r="F26" s="58"/>
      <c r="G26" s="53" t="str">
        <f t="shared" si="8"/>
        <v/>
      </c>
      <c r="H26" s="28" t="str">
        <f t="shared" si="9"/>
        <v xml:space="preserve">2572  </v>
      </c>
      <c r="I26" s="262" t="e">
        <f>IF(D26="MM1",VLOOKUP($B26,'Inf Bloques'!$A$1:$K$453,11,FALSE)*1,VLOOKUP($B26,'Inf Bloques'!$A$1:$K$453,11,FALSE))</f>
        <v>#N/A</v>
      </c>
      <c r="J26" s="3" t="e">
        <f t="shared" si="10"/>
        <v>#N/A</v>
      </c>
      <c r="K26" s="89">
        <f>IFERROR(ROUND(IF($D26="SSJ",(VLOOKUP($H26,'Programa Drench'!$B$6:$AA$182,MATCH(K$2,'Programa Drench'!$B$5:$AA$5,0),FALSE)),VLOOKUP($H26,'Programa Drench'!$B$6:$AA$182,MATCH(K$2,'Programa Drench'!$B$5:$AA$5,0),FALSE)),1),0)</f>
        <v>0</v>
      </c>
      <c r="L26" s="30">
        <f>IFERROR((VLOOKUP($H26,'Programa Drench'!$B$6:$AA$182,MATCH(L$2,'Programa Drench'!$B$5:$AA$5,0),FALSE)),0)</f>
        <v>0</v>
      </c>
      <c r="M26" s="36">
        <f>IFERROR((VLOOKUP($H26,'Programa Drench'!$B$6:$AA$182,MATCH(M$2,'Programa Drench'!$B$5:$AA$5,0),FALSE)*N26),0)</f>
        <v>0</v>
      </c>
      <c r="N26" s="36">
        <f t="shared" si="11"/>
        <v>0</v>
      </c>
      <c r="O26" s="89">
        <f>IFERROR(ROUND(IF($D26="SSJ",(VLOOKUP($H26,'Programa Drench'!$B$6:$AA$182,MATCH(O$2,'Programa Drench'!$B$5:$AA$5,0),FALSE)),VLOOKUP($H26,'Programa Drench'!$B$6:$AA$182,MATCH(O$2,'Programa Drench'!$B$5:$AA$5,0),FALSE)),1),0)</f>
        <v>0</v>
      </c>
      <c r="P26" s="30">
        <f>IFERROR((VLOOKUP($H26,'Programa Drench'!$B$6:$AA$182,MATCH(P$2,'Programa Drench'!$B$5:$AA$5,0),FALSE)),0)</f>
        <v>0</v>
      </c>
      <c r="Q26" s="36">
        <f>IFERROR((VLOOKUP($H26,'Programa Drench'!$B$6:$AA$182,MATCH(Q$2,'Programa Drench'!$B$5:$AA$5,0),FALSE)*R26),0)</f>
        <v>0</v>
      </c>
      <c r="R26" s="36">
        <f t="shared" si="12"/>
        <v>0</v>
      </c>
      <c r="S26" s="89">
        <f>IFERROR(ROUND(IF($D26="SSJ",(VLOOKUP($H26,'Programa Drench'!$B$6:$AA$182,MATCH(S$2,'Programa Drench'!$B$5:$AA$5,0),FALSE)),VLOOKUP($H26,'Programa Drench'!$B$6:$AA$182,MATCH(S$2,'Programa Drench'!$B$5:$AA$5,0),FALSE)),1),0)</f>
        <v>0</v>
      </c>
      <c r="T26" s="30">
        <f>IFERROR((VLOOKUP($H26,'Programa Drench'!$B$6:$AA$182,MATCH(T$2,'Programa Drench'!$B$5:$AA$5,0),FALSE)),0)</f>
        <v>0</v>
      </c>
      <c r="U26" s="36">
        <f>IFERROR((VLOOKUP($H26,'Programa Drench'!$B$6:$AA$182,MATCH(U$2,'Programa Drench'!$B$5:$AA$5,0),FALSE)*V26),0)</f>
        <v>0</v>
      </c>
      <c r="V26" s="36">
        <f t="shared" si="13"/>
        <v>0</v>
      </c>
      <c r="W26" s="89">
        <f>IFERROR(ROUND(IF($D26="SSJ",(VLOOKUP($H26,'Programa Drench'!$B$6:$AA$182,MATCH(W$2,'Programa Drench'!$B$5:$AA$5,0),FALSE)),VLOOKUP($H26,'Programa Drench'!$B$6:$AA$182,MATCH(W$2,'Programa Drench'!$B$5:$AA$5,0),FALSE)),1),0)</f>
        <v>0</v>
      </c>
      <c r="X26" s="30">
        <f>IFERROR((VLOOKUP($H26,'Programa Drench'!$B$6:$AA$182,MATCH(X$2,'Programa Drench'!$B$5:$AA$5,0),FALSE)),0)</f>
        <v>0</v>
      </c>
      <c r="Y26" s="36">
        <f>IFERROR((VLOOKUP($H26,'Programa Drench'!$B$6:$AA$182,MATCH(Y$2,'Programa Drench'!$B$5:$AA$5,0),FALSE)*Z26),0)</f>
        <v>0</v>
      </c>
      <c r="Z26" s="36">
        <f t="shared" si="14"/>
        <v>0</v>
      </c>
      <c r="AA26" s="89">
        <f>IFERROR(ROUND(IF($D26="SSJ",(VLOOKUP($H26,'Programa Drench'!$B$6:$AA$182,MATCH(AA$2,'Programa Drench'!$B$5:$AA$5,0),FALSE)),VLOOKUP($H26,'Programa Drench'!$B$6:$AA$182,MATCH(AA$2,'Programa Drench'!$B$5:$AA$5,0),FALSE)),1),0)</f>
        <v>0</v>
      </c>
      <c r="AB26" s="30">
        <f>IFERROR((VLOOKUP($H26,'Programa Drench'!$B$6:$AA$182,MATCH(AB$2,'Programa Drench'!$B$5:$AA$5,0),FALSE)),0)</f>
        <v>0</v>
      </c>
      <c r="AC26" s="83">
        <f>IFERROR((VLOOKUP($H26,'Programa Drench'!$B$6:$AA$182,MATCH(AC$2,'Programa Drench'!$B$5:$AA$5,0),FALSE)*$I26),0)</f>
        <v>0</v>
      </c>
      <c r="AD26" s="36">
        <f t="shared" si="15"/>
        <v>0</v>
      </c>
      <c r="AE26" s="36">
        <f>IFERROR(ROUND((VLOOKUP($H26,'Programa Drench'!$B$6:$AA$182,MATCH(AE$2,'Programa Drench'!$B$5:$AA$5,0),FALSE)),-1),0)</f>
        <v>0</v>
      </c>
      <c r="AF26" s="30">
        <f>IFERROR((VLOOKUP($H26,'Programa Drench'!$B$6:$AA$182,MATCH(AF$2,'Programa Drench'!$B$5:$AA$5,0),FALSE)),0)</f>
        <v>0</v>
      </c>
      <c r="AG26" s="36">
        <f>IFERROR((VLOOKUP($H26,'Programa Drench'!$B$6:$AA$182,MATCH(AG$2,'Programa Drench'!$B$5:$AA$5,0),FALSE)*AH26),0)</f>
        <v>0</v>
      </c>
      <c r="AH26" s="36">
        <f>IFERROR(ROUND((VLOOKUP($H26,'Programa Drench'!$B$6:$AA$182,MATCH(AH$2,'Programa Drench'!$B$5:$AA$5,0),FALSE)*$I26),-1),0)</f>
        <v>0</v>
      </c>
      <c r="AI26" s="89">
        <f>IFERROR((VLOOKUP($H26,'Programa Drench'!$B$6:$AA$182,MATCH(AI$2,'Programa Drench'!$B$5:$AA$5,0),FALSE)),0)</f>
        <v>0</v>
      </c>
    </row>
    <row r="27" spans="1:35" ht="15" hidden="1" customHeight="1" x14ac:dyDescent="0.2">
      <c r="A27" s="14">
        <f t="shared" ref="A27:A64" si="16">IF(($J$1-C27)&gt;=52,($J$1-C27-100+52+1),($J$1-C27+1))</f>
        <v>2572</v>
      </c>
      <c r="B27" s="259"/>
      <c r="C27" s="58"/>
      <c r="D27" s="54"/>
      <c r="E27" s="58"/>
      <c r="F27" s="58"/>
      <c r="G27" s="53" t="str">
        <f t="shared" si="8"/>
        <v/>
      </c>
      <c r="H27" s="55" t="str">
        <f t="shared" si="9"/>
        <v xml:space="preserve">2572  </v>
      </c>
      <c r="I27" s="262" t="e">
        <f>IF(D27="MM1",VLOOKUP($B27,'Inf Bloques'!$A$1:$K$453,11,FALSE)*1,VLOOKUP($B27,'Inf Bloques'!$A$1:$K$453,11,FALSE))</f>
        <v>#N/A</v>
      </c>
      <c r="J27" s="3" t="e">
        <f t="shared" si="10"/>
        <v>#N/A</v>
      </c>
      <c r="K27" s="89">
        <f>IFERROR(ROUND(IF($D27="SSJ",(VLOOKUP($H27,'Programa Drench'!$B$6:$AA$182,MATCH(K$2,'Programa Drench'!$B$5:$AA$5,0),FALSE)),VLOOKUP($H27,'Programa Drench'!$B$6:$AA$182,MATCH(K$2,'Programa Drench'!$B$5:$AA$5,0),FALSE)),1),0)</f>
        <v>0</v>
      </c>
      <c r="L27" s="30">
        <f>IFERROR((VLOOKUP($H27,'Programa Drench'!$B$6:$AA$182,MATCH(L$2,'Programa Drench'!$B$5:$AA$5,0),FALSE)),0)</f>
        <v>0</v>
      </c>
      <c r="M27" s="36">
        <f>IFERROR((VLOOKUP($H27,'Programa Drench'!$B$6:$AA$182,MATCH(M$2,'Programa Drench'!$B$5:$AA$5,0),FALSE)*N27),0)</f>
        <v>0</v>
      </c>
      <c r="N27" s="36">
        <f t="shared" si="11"/>
        <v>0</v>
      </c>
      <c r="O27" s="89">
        <f>IFERROR(ROUND(IF($D27="SSJ",(VLOOKUP($H27,'Programa Drench'!$B$6:$AA$182,MATCH(O$2,'Programa Drench'!$B$5:$AA$5,0),FALSE)),VLOOKUP($H27,'Programa Drench'!$B$6:$AA$182,MATCH(O$2,'Programa Drench'!$B$5:$AA$5,0),FALSE)),1),0)</f>
        <v>0</v>
      </c>
      <c r="P27" s="30">
        <f>IFERROR((VLOOKUP($H27,'Programa Drench'!$B$6:$AA$182,MATCH(P$2,'Programa Drench'!$B$5:$AA$5,0),FALSE)),0)</f>
        <v>0</v>
      </c>
      <c r="Q27" s="36">
        <f>IFERROR((VLOOKUP($H27,'Programa Drench'!$B$6:$AA$182,MATCH(Q$2,'Programa Drench'!$B$5:$AA$5,0),FALSE)*R27),0)</f>
        <v>0</v>
      </c>
      <c r="R27" s="36">
        <f t="shared" si="12"/>
        <v>0</v>
      </c>
      <c r="S27" s="89">
        <f>IFERROR(ROUND(IF($D27="SSJ",(VLOOKUP($H27,'Programa Drench'!$B$6:$AA$182,MATCH(S$2,'Programa Drench'!$B$5:$AA$5,0),FALSE)),VLOOKUP($H27,'Programa Drench'!$B$6:$AA$182,MATCH(S$2,'Programa Drench'!$B$5:$AA$5,0),FALSE)),1),0)</f>
        <v>0</v>
      </c>
      <c r="T27" s="30">
        <f>IFERROR((VLOOKUP($H27,'Programa Drench'!$B$6:$AA$182,MATCH(T$2,'Programa Drench'!$B$5:$AA$5,0),FALSE)),0)</f>
        <v>0</v>
      </c>
      <c r="U27" s="36">
        <f>IFERROR((VLOOKUP($H27,'Programa Drench'!$B$6:$AA$182,MATCH(U$2,'Programa Drench'!$B$5:$AA$5,0),FALSE)*V27),0)</f>
        <v>0</v>
      </c>
      <c r="V27" s="36">
        <f t="shared" si="13"/>
        <v>0</v>
      </c>
      <c r="W27" s="89">
        <f>IFERROR(ROUND(IF($D27="SSJ",(VLOOKUP($H27,'Programa Drench'!$B$6:$AA$182,MATCH(W$2,'Programa Drench'!$B$5:$AA$5,0),FALSE)),VLOOKUP($H27,'Programa Drench'!$B$6:$AA$182,MATCH(W$2,'Programa Drench'!$B$5:$AA$5,0),FALSE)),1),0)</f>
        <v>0</v>
      </c>
      <c r="X27" s="30">
        <f>IFERROR((VLOOKUP($H27,'Programa Drench'!$B$6:$AA$182,MATCH(X$2,'Programa Drench'!$B$5:$AA$5,0),FALSE)),0)</f>
        <v>0</v>
      </c>
      <c r="Y27" s="36">
        <f>IFERROR((VLOOKUP($H27,'Programa Drench'!$B$6:$AA$182,MATCH(Y$2,'Programa Drench'!$B$5:$AA$5,0),FALSE)*Z27),0)</f>
        <v>0</v>
      </c>
      <c r="Z27" s="36">
        <f t="shared" si="14"/>
        <v>0</v>
      </c>
      <c r="AA27" s="89">
        <f>IFERROR(ROUND(IF($D27="SSJ",(VLOOKUP($H27,'Programa Drench'!$B$6:$AA$182,MATCH(AA$2,'Programa Drench'!$B$5:$AA$5,0),FALSE)),VLOOKUP($H27,'Programa Drench'!$B$6:$AA$182,MATCH(AA$2,'Programa Drench'!$B$5:$AA$5,0),FALSE)),1),0)</f>
        <v>0</v>
      </c>
      <c r="AB27" s="30">
        <f>IFERROR((VLOOKUP($H27,'Programa Drench'!$B$6:$AA$182,MATCH(AB$2,'Programa Drench'!$B$5:$AA$5,0),FALSE)),0)</f>
        <v>0</v>
      </c>
      <c r="AC27" s="83">
        <f>IFERROR((VLOOKUP($H27,'Programa Drench'!$B$6:$AA$182,MATCH(AC$2,'Programa Drench'!$B$5:$AA$5,0),FALSE)*$I27),0)</f>
        <v>0</v>
      </c>
      <c r="AD27" s="36">
        <f t="shared" si="15"/>
        <v>0</v>
      </c>
      <c r="AE27" s="36">
        <f>IFERROR(ROUND((VLOOKUP($H27,'Programa Drench'!$B$6:$AA$182,MATCH(AE$2,'Programa Drench'!$B$5:$AA$5,0),FALSE)),-1),0)</f>
        <v>0</v>
      </c>
      <c r="AF27" s="30">
        <f>IFERROR((VLOOKUP($H27,'Programa Drench'!$B$6:$AA$182,MATCH(AF$2,'Programa Drench'!$B$5:$AA$5,0),FALSE)),0)</f>
        <v>0</v>
      </c>
      <c r="AG27" s="36">
        <f>IFERROR((VLOOKUP($H27,'Programa Drench'!$B$6:$AA$182,MATCH(AG$2,'Programa Drench'!$B$5:$AA$5,0),FALSE)*AH27),0)</f>
        <v>0</v>
      </c>
      <c r="AH27" s="36">
        <f>IFERROR(ROUND((VLOOKUP($H27,'Programa Drench'!$B$6:$AA$182,MATCH(AH$2,'Programa Drench'!$B$5:$AA$5,0),FALSE)*$I27),-1),0)</f>
        <v>0</v>
      </c>
      <c r="AI27" s="89">
        <f>IFERROR((VLOOKUP($H27,'Programa Drench'!$B$6:$AA$182,MATCH(AI$2,'Programa Drench'!$B$5:$AA$5,0),FALSE)),0)</f>
        <v>0</v>
      </c>
    </row>
    <row r="28" spans="1:35" ht="15" hidden="1" customHeight="1" x14ac:dyDescent="0.2">
      <c r="A28" s="14">
        <f t="shared" si="16"/>
        <v>2572</v>
      </c>
      <c r="B28" s="77"/>
      <c r="C28" s="54"/>
      <c r="D28" s="54"/>
      <c r="E28" s="58"/>
      <c r="F28" s="58"/>
      <c r="G28" s="53" t="str">
        <f t="shared" si="8"/>
        <v/>
      </c>
      <c r="H28" s="55" t="str">
        <f t="shared" si="9"/>
        <v xml:space="preserve">2572  </v>
      </c>
      <c r="I28" s="262" t="e">
        <f>IF(D28="MM1",VLOOKUP($B28,'Inf Bloques'!$A$1:$K$453,11,FALSE)*1,VLOOKUP($B28,'Inf Bloques'!$A$1:$K$453,11,FALSE))</f>
        <v>#N/A</v>
      </c>
      <c r="J28" s="3" t="e">
        <f t="shared" si="10"/>
        <v>#N/A</v>
      </c>
      <c r="K28" s="89">
        <f>IFERROR(ROUND(IF($D28="SSJ",(VLOOKUP($H28,'Programa Drench'!$B$6:$AA$182,MATCH(K$2,'Programa Drench'!$B$5:$AA$5,0),FALSE)),VLOOKUP($H28,'Programa Drench'!$B$6:$AA$182,MATCH(K$2,'Programa Drench'!$B$5:$AA$5,0),FALSE)),1),0)</f>
        <v>0</v>
      </c>
      <c r="L28" s="30">
        <f>IFERROR((VLOOKUP($H28,'Programa Drench'!$B$6:$AA$182,MATCH(L$2,'Programa Drench'!$B$5:$AA$5,0),FALSE)),0)</f>
        <v>0</v>
      </c>
      <c r="M28" s="36">
        <f>IFERROR((VLOOKUP($H28,'Programa Drench'!$B$6:$AA$182,MATCH(M$2,'Programa Drench'!$B$5:$AA$5,0),FALSE)*N28),0)</f>
        <v>0</v>
      </c>
      <c r="N28" s="36">
        <f t="shared" si="11"/>
        <v>0</v>
      </c>
      <c r="O28" s="89">
        <f>IFERROR(ROUND(IF($D28="SSJ",(VLOOKUP($H28,'Programa Drench'!$B$6:$AA$182,MATCH(O$2,'Programa Drench'!$B$5:$AA$5,0),FALSE)),VLOOKUP($H28,'Programa Drench'!$B$6:$AA$182,MATCH(O$2,'Programa Drench'!$B$5:$AA$5,0),FALSE)),1),0)</f>
        <v>0</v>
      </c>
      <c r="P28" s="30">
        <f>IFERROR((VLOOKUP($H28,'Programa Drench'!$B$6:$AA$182,MATCH(P$2,'Programa Drench'!$B$5:$AA$5,0),FALSE)),0)</f>
        <v>0</v>
      </c>
      <c r="Q28" s="36">
        <f>IFERROR((VLOOKUP($H28,'Programa Drench'!$B$6:$AA$182,MATCH(Q$2,'Programa Drench'!$B$5:$AA$5,0),FALSE)*R28),0)</f>
        <v>0</v>
      </c>
      <c r="R28" s="36">
        <f t="shared" si="12"/>
        <v>0</v>
      </c>
      <c r="S28" s="89">
        <f>IFERROR(ROUND(IF($D28="SSJ",(VLOOKUP($H28,'Programa Drench'!$B$6:$AA$182,MATCH(S$2,'Programa Drench'!$B$5:$AA$5,0),FALSE)),VLOOKUP($H28,'Programa Drench'!$B$6:$AA$182,MATCH(S$2,'Programa Drench'!$B$5:$AA$5,0),FALSE)),1),0)</f>
        <v>0</v>
      </c>
      <c r="T28" s="30">
        <f>IFERROR((VLOOKUP($H28,'Programa Drench'!$B$6:$AA$182,MATCH(T$2,'Programa Drench'!$B$5:$AA$5,0),FALSE)),0)</f>
        <v>0</v>
      </c>
      <c r="U28" s="36">
        <f>IFERROR((VLOOKUP($H28,'Programa Drench'!$B$6:$AA$182,MATCH(U$2,'Programa Drench'!$B$5:$AA$5,0),FALSE)*V28),0)</f>
        <v>0</v>
      </c>
      <c r="V28" s="36">
        <f t="shared" si="13"/>
        <v>0</v>
      </c>
      <c r="W28" s="89">
        <f>IFERROR(ROUND(IF($D28="SSJ",(VLOOKUP($H28,'Programa Drench'!$B$6:$AA$182,MATCH(W$2,'Programa Drench'!$B$5:$AA$5,0),FALSE)),VLOOKUP($H28,'Programa Drench'!$B$6:$AA$182,MATCH(W$2,'Programa Drench'!$B$5:$AA$5,0),FALSE)),1),0)</f>
        <v>0</v>
      </c>
      <c r="X28" s="30">
        <f>IFERROR((VLOOKUP($H28,'Programa Drench'!$B$6:$AA$182,MATCH(X$2,'Programa Drench'!$B$5:$AA$5,0),FALSE)),0)</f>
        <v>0</v>
      </c>
      <c r="Y28" s="36">
        <f>IFERROR((VLOOKUP($H28,'Programa Drench'!$B$6:$AA$182,MATCH(Y$2,'Programa Drench'!$B$5:$AA$5,0),FALSE)*Z28),0)</f>
        <v>0</v>
      </c>
      <c r="Z28" s="36">
        <f t="shared" si="14"/>
        <v>0</v>
      </c>
      <c r="AA28" s="89">
        <f>IFERROR(ROUND(IF($D28="SSJ",(VLOOKUP($H28,'Programa Drench'!$B$6:$AA$182,MATCH(AA$2,'Programa Drench'!$B$5:$AA$5,0),FALSE)),VLOOKUP($H28,'Programa Drench'!$B$6:$AA$182,MATCH(AA$2,'Programa Drench'!$B$5:$AA$5,0),FALSE)),1),0)</f>
        <v>0</v>
      </c>
      <c r="AB28" s="30">
        <f>IFERROR((VLOOKUP($H28,'Programa Drench'!$B$6:$AA$182,MATCH(AB$2,'Programa Drench'!$B$5:$AA$5,0),FALSE)),0)</f>
        <v>0</v>
      </c>
      <c r="AC28" s="83">
        <f>IFERROR((VLOOKUP($H28,'Programa Drench'!$B$6:$AA$182,MATCH(AC$2,'Programa Drench'!$B$5:$AA$5,0),FALSE)*$I28),0)</f>
        <v>0</v>
      </c>
      <c r="AD28" s="36">
        <f t="shared" si="15"/>
        <v>0</v>
      </c>
      <c r="AE28" s="36">
        <f>IFERROR(ROUND((VLOOKUP($H28,'Programa Drench'!$B$6:$AA$182,MATCH(AE$2,'Programa Drench'!$B$5:$AA$5,0),FALSE)),-1),0)</f>
        <v>0</v>
      </c>
      <c r="AF28" s="30">
        <f>IFERROR((VLOOKUP($H28,'Programa Drench'!$B$6:$AA$182,MATCH(AF$2,'Programa Drench'!$B$5:$AA$5,0),FALSE)),0)</f>
        <v>0</v>
      </c>
      <c r="AG28" s="36">
        <f>IFERROR((VLOOKUP($H28,'Programa Drench'!$B$6:$AA$182,MATCH(AG$2,'Programa Drench'!$B$5:$AA$5,0),FALSE)*AH28),0)</f>
        <v>0</v>
      </c>
      <c r="AH28" s="36">
        <f>IFERROR(ROUND((VLOOKUP($H28,'Programa Drench'!$B$6:$AA$182,MATCH(AH$2,'Programa Drench'!$B$5:$AA$5,0),FALSE)*$I28),-1),0)</f>
        <v>0</v>
      </c>
      <c r="AI28" s="89">
        <f>IFERROR((VLOOKUP($H28,'Programa Drench'!$B$6:$AA$182,MATCH(AI$2,'Programa Drench'!$B$5:$AA$5,0),FALSE)),0)</f>
        <v>0</v>
      </c>
    </row>
    <row r="29" spans="1:35" ht="15" hidden="1" customHeight="1" x14ac:dyDescent="0.2">
      <c r="A29" s="14">
        <f t="shared" si="16"/>
        <v>2572</v>
      </c>
      <c r="B29" s="259"/>
      <c r="C29" s="58"/>
      <c r="D29" s="54"/>
      <c r="E29" s="58"/>
      <c r="F29" s="58"/>
      <c r="G29" s="53" t="str">
        <f t="shared" si="8"/>
        <v/>
      </c>
      <c r="H29" s="55" t="str">
        <f t="shared" si="9"/>
        <v xml:space="preserve">2572  </v>
      </c>
      <c r="I29" s="262" t="e">
        <f>IF(D29="MM1",VLOOKUP($B29,'Inf Bloques'!$A$1:$K$453,11,FALSE)*1,VLOOKUP($B29,'Inf Bloques'!$A$1:$K$453,11,FALSE))</f>
        <v>#N/A</v>
      </c>
      <c r="J29" s="3" t="e">
        <f t="shared" si="10"/>
        <v>#N/A</v>
      </c>
      <c r="K29" s="89">
        <f>IFERROR(ROUND(IF($D29="SSJ",(VLOOKUP($H29,'Programa Drench'!$B$6:$AA$182,MATCH(K$2,'Programa Drench'!$B$5:$AA$5,0),FALSE)),VLOOKUP($H29,'Programa Drench'!$B$6:$AA$182,MATCH(K$2,'Programa Drench'!$B$5:$AA$5,0),FALSE)),1),0)</f>
        <v>0</v>
      </c>
      <c r="L29" s="30">
        <f>IFERROR((VLOOKUP($H29,'Programa Drench'!$B$6:$AA$182,MATCH(L$2,'Programa Drench'!$B$5:$AA$5,0),FALSE)),0)</f>
        <v>0</v>
      </c>
      <c r="M29" s="36">
        <f>IFERROR((VLOOKUP($H29,'Programa Drench'!$B$6:$AA$182,MATCH(M$2,'Programa Drench'!$B$5:$AA$5,0),FALSE)*N29),0)</f>
        <v>0</v>
      </c>
      <c r="N29" s="36">
        <f t="shared" si="11"/>
        <v>0</v>
      </c>
      <c r="O29" s="89">
        <f>IFERROR(ROUND(IF($D29="SSJ",(VLOOKUP($H29,'Programa Drench'!$B$6:$AA$182,MATCH(O$2,'Programa Drench'!$B$5:$AA$5,0),FALSE)),VLOOKUP($H29,'Programa Drench'!$B$6:$AA$182,MATCH(O$2,'Programa Drench'!$B$5:$AA$5,0),FALSE)),1),0)</f>
        <v>0</v>
      </c>
      <c r="P29" s="30">
        <f>IFERROR((VLOOKUP($H29,'Programa Drench'!$B$6:$AA$182,MATCH(P$2,'Programa Drench'!$B$5:$AA$5,0),FALSE)),0)</f>
        <v>0</v>
      </c>
      <c r="Q29" s="36">
        <f>IFERROR((VLOOKUP($H29,'Programa Drench'!$B$6:$AA$182,MATCH(Q$2,'Programa Drench'!$B$5:$AA$5,0),FALSE)*R29),0)</f>
        <v>0</v>
      </c>
      <c r="R29" s="36">
        <f t="shared" si="12"/>
        <v>0</v>
      </c>
      <c r="S29" s="89">
        <f>IFERROR(ROUND(IF($D29="SSJ",(VLOOKUP($H29,'Programa Drench'!$B$6:$AA$182,MATCH(S$2,'Programa Drench'!$B$5:$AA$5,0),FALSE)),VLOOKUP($H29,'Programa Drench'!$B$6:$AA$182,MATCH(S$2,'Programa Drench'!$B$5:$AA$5,0),FALSE)),1),0)</f>
        <v>0</v>
      </c>
      <c r="T29" s="30">
        <f>IFERROR((VLOOKUP($H29,'Programa Drench'!$B$6:$AA$182,MATCH(T$2,'Programa Drench'!$B$5:$AA$5,0),FALSE)),0)</f>
        <v>0</v>
      </c>
      <c r="U29" s="36">
        <f>IFERROR((VLOOKUP($H29,'Programa Drench'!$B$6:$AA$182,MATCH(U$2,'Programa Drench'!$B$5:$AA$5,0),FALSE)*V29),0)</f>
        <v>0</v>
      </c>
      <c r="V29" s="36">
        <f t="shared" si="13"/>
        <v>0</v>
      </c>
      <c r="W29" s="89">
        <f>IFERROR(ROUND(IF($D29="SSJ",(VLOOKUP($H29,'Programa Drench'!$B$6:$AA$182,MATCH(W$2,'Programa Drench'!$B$5:$AA$5,0),FALSE)),VLOOKUP($H29,'Programa Drench'!$B$6:$AA$182,MATCH(W$2,'Programa Drench'!$B$5:$AA$5,0),FALSE)),1),0)</f>
        <v>0</v>
      </c>
      <c r="X29" s="30">
        <f>IFERROR((VLOOKUP($H29,'Programa Drench'!$B$6:$AA$182,MATCH(X$2,'Programa Drench'!$B$5:$AA$5,0),FALSE)),0)</f>
        <v>0</v>
      </c>
      <c r="Y29" s="36">
        <f>IFERROR((VLOOKUP($H29,'Programa Drench'!$B$6:$AA$182,MATCH(Y$2,'Programa Drench'!$B$5:$AA$5,0),FALSE)*Z29),0)</f>
        <v>0</v>
      </c>
      <c r="Z29" s="36">
        <f t="shared" si="14"/>
        <v>0</v>
      </c>
      <c r="AA29" s="89">
        <f>IFERROR(ROUND(IF($D29="SSJ",(VLOOKUP($H29,'Programa Drench'!$B$6:$AA$182,MATCH(AA$2,'Programa Drench'!$B$5:$AA$5,0),FALSE)),VLOOKUP($H29,'Programa Drench'!$B$6:$AA$182,MATCH(AA$2,'Programa Drench'!$B$5:$AA$5,0),FALSE)),1),0)</f>
        <v>0</v>
      </c>
      <c r="AB29" s="30">
        <f>IFERROR((VLOOKUP($H29,'Programa Drench'!$B$6:$AA$182,MATCH(AB$2,'Programa Drench'!$B$5:$AA$5,0),FALSE)),0)</f>
        <v>0</v>
      </c>
      <c r="AC29" s="83">
        <f>IFERROR((VLOOKUP($H29,'Programa Drench'!$B$6:$AA$182,MATCH(AC$2,'Programa Drench'!$B$5:$AA$5,0),FALSE)*$I29),0)</f>
        <v>0</v>
      </c>
      <c r="AD29" s="36">
        <f t="shared" si="15"/>
        <v>0</v>
      </c>
      <c r="AE29" s="36">
        <f>IFERROR(ROUND((VLOOKUP($H29,'Programa Drench'!$B$6:$AA$182,MATCH(AE$2,'Programa Drench'!$B$5:$AA$5,0),FALSE)),-1),0)</f>
        <v>0</v>
      </c>
      <c r="AF29" s="30">
        <f>IFERROR((VLOOKUP($H29,'Programa Drench'!$B$6:$AA$182,MATCH(AF$2,'Programa Drench'!$B$5:$AA$5,0),FALSE)),0)</f>
        <v>0</v>
      </c>
      <c r="AG29" s="36">
        <f>IFERROR((VLOOKUP($H29,'Programa Drench'!$B$6:$AA$182,MATCH(AG$2,'Programa Drench'!$B$5:$AA$5,0),FALSE)*AH29),0)</f>
        <v>0</v>
      </c>
      <c r="AH29" s="36">
        <f>IFERROR(ROUND((VLOOKUP($H29,'Programa Drench'!$B$6:$AA$182,MATCH(AH$2,'Programa Drench'!$B$5:$AA$5,0),FALSE)*$I29),-1),0)</f>
        <v>0</v>
      </c>
      <c r="AI29" s="89">
        <f>IFERROR((VLOOKUP($H29,'Programa Drench'!$B$6:$AA$182,MATCH(AI$2,'Programa Drench'!$B$5:$AA$5,0),FALSE)),0)</f>
        <v>0</v>
      </c>
    </row>
    <row r="30" spans="1:35" ht="15" hidden="1" customHeight="1" x14ac:dyDescent="0.2">
      <c r="A30" s="14">
        <f t="shared" si="16"/>
        <v>2572</v>
      </c>
      <c r="B30" s="77"/>
      <c r="C30" s="54"/>
      <c r="D30" s="54"/>
      <c r="E30" s="58"/>
      <c r="F30" s="58"/>
      <c r="G30" s="53" t="str">
        <f t="shared" si="8"/>
        <v/>
      </c>
      <c r="H30" s="55" t="str">
        <f t="shared" si="9"/>
        <v xml:space="preserve">2572  </v>
      </c>
      <c r="I30" s="262" t="e">
        <f>IF(D30="MM1",VLOOKUP($B30,'Inf Bloques'!$A$1:$K$453,11,FALSE)*1,VLOOKUP($B30,'Inf Bloques'!$A$1:$K$453,11,FALSE))</f>
        <v>#N/A</v>
      </c>
      <c r="J30" s="3" t="e">
        <f t="shared" si="10"/>
        <v>#N/A</v>
      </c>
      <c r="K30" s="89">
        <f>IFERROR(ROUND(IF($D30="SSJ",(VLOOKUP($H30,'Programa Drench'!$B$6:$AA$182,MATCH(K$2,'Programa Drench'!$B$5:$AA$5,0),FALSE)),VLOOKUP($H30,'Programa Drench'!$B$6:$AA$182,MATCH(K$2,'Programa Drench'!$B$5:$AA$5,0),FALSE)),1),0)</f>
        <v>0</v>
      </c>
      <c r="L30" s="30">
        <f>IFERROR((VLOOKUP($H30,'Programa Drench'!$B$6:$AA$182,MATCH(L$2,'Programa Drench'!$B$5:$AA$5,0),FALSE)),0)</f>
        <v>0</v>
      </c>
      <c r="M30" s="36">
        <f>IFERROR((VLOOKUP($H30,'Programa Drench'!$B$6:$AA$182,MATCH(M$2,'Programa Drench'!$B$5:$AA$5,0),FALSE)*N30),0)</f>
        <v>0</v>
      </c>
      <c r="N30" s="36">
        <f t="shared" si="11"/>
        <v>0</v>
      </c>
      <c r="O30" s="89">
        <f>IFERROR(ROUND(IF($D30="SSJ",(VLOOKUP($H30,'Programa Drench'!$B$6:$AA$182,MATCH(O$2,'Programa Drench'!$B$5:$AA$5,0),FALSE)),VLOOKUP($H30,'Programa Drench'!$B$6:$AA$182,MATCH(O$2,'Programa Drench'!$B$5:$AA$5,0),FALSE)),1),0)</f>
        <v>0</v>
      </c>
      <c r="P30" s="30">
        <f>IFERROR((VLOOKUP($H30,'Programa Drench'!$B$6:$AA$182,MATCH(P$2,'Programa Drench'!$B$5:$AA$5,0),FALSE)),0)</f>
        <v>0</v>
      </c>
      <c r="Q30" s="36">
        <f>IFERROR((VLOOKUP($H30,'Programa Drench'!$B$6:$AA$182,MATCH(Q$2,'Programa Drench'!$B$5:$AA$5,0),FALSE)*R30),0)</f>
        <v>0</v>
      </c>
      <c r="R30" s="36">
        <f t="shared" si="12"/>
        <v>0</v>
      </c>
      <c r="S30" s="89">
        <f>IFERROR(ROUND(IF($D30="SSJ",(VLOOKUP($H30,'Programa Drench'!$B$6:$AA$182,MATCH(S$2,'Programa Drench'!$B$5:$AA$5,0),FALSE)),VLOOKUP($H30,'Programa Drench'!$B$6:$AA$182,MATCH(S$2,'Programa Drench'!$B$5:$AA$5,0),FALSE)),1),0)</f>
        <v>0</v>
      </c>
      <c r="T30" s="30">
        <f>IFERROR((VLOOKUP($H30,'Programa Drench'!$B$6:$AA$182,MATCH(T$2,'Programa Drench'!$B$5:$AA$5,0),FALSE)),0)</f>
        <v>0</v>
      </c>
      <c r="U30" s="36">
        <f>IFERROR((VLOOKUP($H30,'Programa Drench'!$B$6:$AA$182,MATCH(U$2,'Programa Drench'!$B$5:$AA$5,0),FALSE)*V30),0)</f>
        <v>0</v>
      </c>
      <c r="V30" s="36">
        <f t="shared" si="13"/>
        <v>0</v>
      </c>
      <c r="W30" s="89">
        <f>IFERROR(ROUND(IF($D30="SSJ",(VLOOKUP($H30,'Programa Drench'!$B$6:$AA$182,MATCH(W$2,'Programa Drench'!$B$5:$AA$5,0),FALSE)),VLOOKUP($H30,'Programa Drench'!$B$6:$AA$182,MATCH(W$2,'Programa Drench'!$B$5:$AA$5,0),FALSE)),1),0)</f>
        <v>0</v>
      </c>
      <c r="X30" s="30">
        <f>IFERROR((VLOOKUP($H30,'Programa Drench'!$B$6:$AA$182,MATCH(X$2,'Programa Drench'!$B$5:$AA$5,0),FALSE)),0)</f>
        <v>0</v>
      </c>
      <c r="Y30" s="36">
        <f>IFERROR((VLOOKUP($H30,'Programa Drench'!$B$6:$AA$182,MATCH(Y$2,'Programa Drench'!$B$5:$AA$5,0),FALSE)*Z30),0)</f>
        <v>0</v>
      </c>
      <c r="Z30" s="36">
        <f t="shared" si="14"/>
        <v>0</v>
      </c>
      <c r="AA30" s="89">
        <f>IFERROR(ROUND(IF($D30="SSJ",(VLOOKUP($H30,'Programa Drench'!$B$6:$AA$182,MATCH(AA$2,'Programa Drench'!$B$5:$AA$5,0),FALSE)),VLOOKUP($H30,'Programa Drench'!$B$6:$AA$182,MATCH(AA$2,'Programa Drench'!$B$5:$AA$5,0),FALSE)),1),0)</f>
        <v>0</v>
      </c>
      <c r="AB30" s="30">
        <f>IFERROR((VLOOKUP($H30,'Programa Drench'!$B$6:$AA$182,MATCH(AB$2,'Programa Drench'!$B$5:$AA$5,0),FALSE)),0)</f>
        <v>0</v>
      </c>
      <c r="AC30" s="83">
        <f>IFERROR((VLOOKUP($H30,'Programa Drench'!$B$6:$AA$182,MATCH(AC$2,'Programa Drench'!$B$5:$AA$5,0),FALSE)*$I30),0)</f>
        <v>0</v>
      </c>
      <c r="AD30" s="36">
        <f t="shared" si="15"/>
        <v>0</v>
      </c>
      <c r="AE30" s="36">
        <f>IFERROR(ROUND((VLOOKUP($H30,'Programa Drench'!$B$6:$AA$182,MATCH(AE$2,'Programa Drench'!$B$5:$AA$5,0),FALSE)),-1),0)</f>
        <v>0</v>
      </c>
      <c r="AF30" s="30">
        <f>IFERROR((VLOOKUP($H30,'Programa Drench'!$B$6:$AA$182,MATCH(AF$2,'Programa Drench'!$B$5:$AA$5,0),FALSE)),0)</f>
        <v>0</v>
      </c>
      <c r="AG30" s="36">
        <f>IFERROR((VLOOKUP($H30,'Programa Drench'!$B$6:$AA$182,MATCH(AG$2,'Programa Drench'!$B$5:$AA$5,0),FALSE)*AH30),0)</f>
        <v>0</v>
      </c>
      <c r="AH30" s="36">
        <f>IFERROR(ROUND((VLOOKUP($H30,'Programa Drench'!$B$6:$AA$182,MATCH(AH$2,'Programa Drench'!$B$5:$AA$5,0),FALSE)*$I30),-1),0)</f>
        <v>0</v>
      </c>
      <c r="AI30" s="89">
        <f>IFERROR((VLOOKUP($H30,'Programa Drench'!$B$6:$AA$182,MATCH(AI$2,'Programa Drench'!$B$5:$AA$5,0),FALSE)),0)</f>
        <v>0</v>
      </c>
    </row>
    <row r="31" spans="1:35" ht="15" hidden="1" customHeight="1" x14ac:dyDescent="0.2">
      <c r="A31" s="14">
        <f t="shared" si="16"/>
        <v>2572</v>
      </c>
      <c r="B31" s="77"/>
      <c r="C31" s="54"/>
      <c r="D31" s="54"/>
      <c r="E31" s="58"/>
      <c r="F31" s="58"/>
      <c r="G31" s="53" t="str">
        <f t="shared" si="1"/>
        <v/>
      </c>
      <c r="H31" s="55" t="str">
        <f t="shared" si="9"/>
        <v xml:space="preserve">2572  </v>
      </c>
      <c r="I31" s="262" t="e">
        <f>IF(D31="MM1",VLOOKUP($B31,'Inf Bloques'!$A$1:$K$453,11,FALSE)*1,VLOOKUP($B31,'Inf Bloques'!$A$1:$K$453,11,FALSE))</f>
        <v>#N/A</v>
      </c>
      <c r="J31" s="3" t="e">
        <f t="shared" si="10"/>
        <v>#N/A</v>
      </c>
      <c r="K31" s="89">
        <f>IFERROR(ROUND(IF($D31="SSJ",(VLOOKUP($H31,'Programa Drench'!$B$6:$AA$182,MATCH(K$2,'Programa Drench'!$B$5:$AA$5,0),FALSE)),VLOOKUP($H31,'Programa Drench'!$B$6:$AA$182,MATCH(K$2,'Programa Drench'!$B$5:$AA$5,0),FALSE)),1),0)</f>
        <v>0</v>
      </c>
      <c r="L31" s="30">
        <f>IFERROR((VLOOKUP($H31,'Programa Drench'!$B$6:$AA$182,MATCH(L$2,'Programa Drench'!$B$5:$AA$5,0),FALSE)),0)</f>
        <v>0</v>
      </c>
      <c r="M31" s="36">
        <f>IFERROR((VLOOKUP($H31,'Programa Drench'!$B$6:$AA$182,MATCH(M$2,'Programa Drench'!$B$5:$AA$5,0),FALSE)*N31),0)</f>
        <v>0</v>
      </c>
      <c r="N31" s="36">
        <f t="shared" si="11"/>
        <v>0</v>
      </c>
      <c r="O31" s="89">
        <f>IFERROR(ROUND(IF($D31="SSJ",(VLOOKUP($H31,'Programa Drench'!$B$6:$AA$182,MATCH(O$2,'Programa Drench'!$B$5:$AA$5,0),FALSE)),VLOOKUP($H31,'Programa Drench'!$B$6:$AA$182,MATCH(O$2,'Programa Drench'!$B$5:$AA$5,0),FALSE)),1),0)</f>
        <v>0</v>
      </c>
      <c r="P31" s="30">
        <f>IFERROR((VLOOKUP($H31,'Programa Drench'!$B$6:$AA$182,MATCH(P$2,'Programa Drench'!$B$5:$AA$5,0),FALSE)),0)</f>
        <v>0</v>
      </c>
      <c r="Q31" s="36">
        <f>IFERROR((VLOOKUP($H31,'Programa Drench'!$B$6:$AA$182,MATCH(Q$2,'Programa Drench'!$B$5:$AA$5,0),FALSE)*R31),0)</f>
        <v>0</v>
      </c>
      <c r="R31" s="36">
        <f t="shared" si="12"/>
        <v>0</v>
      </c>
      <c r="S31" s="89">
        <f>IFERROR(ROUND(IF($D31="SSJ",(VLOOKUP($H31,'Programa Drench'!$B$6:$AA$182,MATCH(S$2,'Programa Drench'!$B$5:$AA$5,0),FALSE)),VLOOKUP($H31,'Programa Drench'!$B$6:$AA$182,MATCH(S$2,'Programa Drench'!$B$5:$AA$5,0),FALSE)),1),0)</f>
        <v>0</v>
      </c>
      <c r="T31" s="30">
        <f>IFERROR((VLOOKUP($H31,'Programa Drench'!$B$6:$AA$182,MATCH(T$2,'Programa Drench'!$B$5:$AA$5,0),FALSE)),0)</f>
        <v>0</v>
      </c>
      <c r="U31" s="36">
        <f>IFERROR((VLOOKUP($H31,'Programa Drench'!$B$6:$AA$182,MATCH(U$2,'Programa Drench'!$B$5:$AA$5,0),FALSE)*V31),0)</f>
        <v>0</v>
      </c>
      <c r="V31" s="36">
        <f t="shared" si="13"/>
        <v>0</v>
      </c>
      <c r="W31" s="89">
        <f>IFERROR(ROUND(IF($D31="SSJ",(VLOOKUP($H31,'Programa Drench'!$B$6:$AA$182,MATCH(W$2,'Programa Drench'!$B$5:$AA$5,0),FALSE)),VLOOKUP($H31,'Programa Drench'!$B$6:$AA$182,MATCH(W$2,'Programa Drench'!$B$5:$AA$5,0),FALSE)),1),0)</f>
        <v>0</v>
      </c>
      <c r="X31" s="30">
        <f>IFERROR((VLOOKUP($H31,'Programa Drench'!$B$6:$AA$182,MATCH(X$2,'Programa Drench'!$B$5:$AA$5,0),FALSE)),0)</f>
        <v>0</v>
      </c>
      <c r="Y31" s="36">
        <f>IFERROR((VLOOKUP($H31,'Programa Drench'!$B$6:$AA$182,MATCH(Y$2,'Programa Drench'!$B$5:$AA$5,0),FALSE)*Z31),0)</f>
        <v>0</v>
      </c>
      <c r="Z31" s="36">
        <f t="shared" si="14"/>
        <v>0</v>
      </c>
      <c r="AA31" s="89">
        <f>IFERROR(ROUND(IF($D31="SSJ",(VLOOKUP($H31,'Programa Drench'!$B$6:$AA$182,MATCH(AA$2,'Programa Drench'!$B$5:$AA$5,0),FALSE)),VLOOKUP($H31,'Programa Drench'!$B$6:$AA$182,MATCH(AA$2,'Programa Drench'!$B$5:$AA$5,0),FALSE)),1),0)</f>
        <v>0</v>
      </c>
      <c r="AB31" s="30">
        <f>IFERROR((VLOOKUP($H31,'Programa Drench'!$B$6:$AA$182,MATCH(AB$2,'Programa Drench'!$B$5:$AA$5,0),FALSE)),0)</f>
        <v>0</v>
      </c>
      <c r="AC31" s="83">
        <f>IFERROR((VLOOKUP($H31,'Programa Drench'!$B$6:$AA$182,MATCH(AC$2,'Programa Drench'!$B$5:$AA$5,0),FALSE)*$I31),0)</f>
        <v>0</v>
      </c>
      <c r="AD31" s="36">
        <f t="shared" si="15"/>
        <v>0</v>
      </c>
      <c r="AE31" s="36">
        <f>IFERROR(ROUND((VLOOKUP($H31,'Programa Drench'!$B$6:$AA$182,MATCH(AE$2,'Programa Drench'!$B$5:$AA$5,0),FALSE)),-1),0)</f>
        <v>0</v>
      </c>
      <c r="AF31" s="30">
        <f>IFERROR((VLOOKUP($H31,'Programa Drench'!$B$6:$AA$182,MATCH(AF$2,'Programa Drench'!$B$5:$AA$5,0),FALSE)),0)</f>
        <v>0</v>
      </c>
      <c r="AG31" s="36">
        <f>IFERROR((VLOOKUP($H31,'Programa Drench'!$B$6:$AA$182,MATCH(AG$2,'Programa Drench'!$B$5:$AA$5,0),FALSE)*AH31),0)</f>
        <v>0</v>
      </c>
      <c r="AH31" s="36">
        <f>IFERROR(ROUND((VLOOKUP($H31,'Programa Drench'!$B$6:$AA$182,MATCH(AH$2,'Programa Drench'!$B$5:$AA$5,0),FALSE)*$I31),-1),0)</f>
        <v>0</v>
      </c>
      <c r="AI31" s="89">
        <f>IFERROR((VLOOKUP($H31,'Programa Drench'!$B$6:$AA$182,MATCH(AI$2,'Programa Drench'!$B$5:$AA$5,0),FALSE)),0)</f>
        <v>0</v>
      </c>
    </row>
    <row r="32" spans="1:35" ht="15" hidden="1" customHeight="1" x14ac:dyDescent="0.2">
      <c r="A32" s="14">
        <f t="shared" si="16"/>
        <v>2572</v>
      </c>
      <c r="B32" s="259"/>
      <c r="C32" s="58"/>
      <c r="D32" s="54"/>
      <c r="E32" s="58"/>
      <c r="F32" s="58"/>
      <c r="G32" s="53" t="str">
        <f t="shared" si="1"/>
        <v/>
      </c>
      <c r="H32" s="55" t="str">
        <f t="shared" si="9"/>
        <v xml:space="preserve">2572  </v>
      </c>
      <c r="I32" s="262" t="e">
        <f>IF(D32="MM1",VLOOKUP($B32,'Inf Bloques'!$A$1:$K$453,11,FALSE)*1,VLOOKUP($B32,'Inf Bloques'!$A$1:$K$453,11,FALSE))</f>
        <v>#N/A</v>
      </c>
      <c r="J32" s="3" t="e">
        <f t="shared" si="10"/>
        <v>#N/A</v>
      </c>
      <c r="K32" s="89">
        <f>IFERROR(ROUND(IF($D32="SSJ",(VLOOKUP($H32,'Programa Drench'!$B$6:$AA$182,MATCH(K$2,'Programa Drench'!$B$5:$AA$5,0),FALSE)),VLOOKUP($H32,'Programa Drench'!$B$6:$AA$182,MATCH(K$2,'Programa Drench'!$B$5:$AA$5,0),FALSE)),1),0)</f>
        <v>0</v>
      </c>
      <c r="L32" s="30">
        <f>IFERROR((VLOOKUP($H32,'Programa Drench'!$B$6:$AA$182,MATCH(L$2,'Programa Drench'!$B$5:$AA$5,0),FALSE)),0)</f>
        <v>0</v>
      </c>
      <c r="M32" s="36">
        <f>IFERROR((VLOOKUP($H32,'Programa Drench'!$B$6:$AA$182,MATCH(M$2,'Programa Drench'!$B$5:$AA$5,0),FALSE)*N32),0)</f>
        <v>0</v>
      </c>
      <c r="N32" s="36">
        <f t="shared" si="11"/>
        <v>0</v>
      </c>
      <c r="O32" s="89">
        <f>IFERROR(ROUND(IF($D32="SSJ",(VLOOKUP($H32,'Programa Drench'!$B$6:$AA$182,MATCH(O$2,'Programa Drench'!$B$5:$AA$5,0),FALSE)),VLOOKUP($H32,'Programa Drench'!$B$6:$AA$182,MATCH(O$2,'Programa Drench'!$B$5:$AA$5,0),FALSE)),1),0)</f>
        <v>0</v>
      </c>
      <c r="P32" s="30">
        <f>IFERROR((VLOOKUP($H32,'Programa Drench'!$B$6:$AA$182,MATCH(P$2,'Programa Drench'!$B$5:$AA$5,0),FALSE)),0)</f>
        <v>0</v>
      </c>
      <c r="Q32" s="36">
        <f>IFERROR((VLOOKUP($H32,'Programa Drench'!$B$6:$AA$182,MATCH(Q$2,'Programa Drench'!$B$5:$AA$5,0),FALSE)*R32),0)</f>
        <v>0</v>
      </c>
      <c r="R32" s="36">
        <f t="shared" si="12"/>
        <v>0</v>
      </c>
      <c r="S32" s="89">
        <f>IFERROR(ROUND(IF($D32="SSJ",(VLOOKUP($H32,'Programa Drench'!$B$6:$AA$182,MATCH(S$2,'Programa Drench'!$B$5:$AA$5,0),FALSE)),VLOOKUP($H32,'Programa Drench'!$B$6:$AA$182,MATCH(S$2,'Programa Drench'!$B$5:$AA$5,0),FALSE)),1),0)</f>
        <v>0</v>
      </c>
      <c r="T32" s="30">
        <f>IFERROR((VLOOKUP($H32,'Programa Drench'!$B$6:$AA$182,MATCH(T$2,'Programa Drench'!$B$5:$AA$5,0),FALSE)),0)</f>
        <v>0</v>
      </c>
      <c r="U32" s="36">
        <f>IFERROR((VLOOKUP($H32,'Programa Drench'!$B$6:$AA$182,MATCH(U$2,'Programa Drench'!$B$5:$AA$5,0),FALSE)*V32),0)</f>
        <v>0</v>
      </c>
      <c r="V32" s="36">
        <f t="shared" si="13"/>
        <v>0</v>
      </c>
      <c r="W32" s="89">
        <f>IFERROR(ROUND(IF($D32="SSJ",(VLOOKUP($H32,'Programa Drench'!$B$6:$AA$182,MATCH(W$2,'Programa Drench'!$B$5:$AA$5,0),FALSE)),VLOOKUP($H32,'Programa Drench'!$B$6:$AA$182,MATCH(W$2,'Programa Drench'!$B$5:$AA$5,0),FALSE)),1),0)</f>
        <v>0</v>
      </c>
      <c r="X32" s="30">
        <f>IFERROR((VLOOKUP($H32,'Programa Drench'!$B$6:$AA$182,MATCH(X$2,'Programa Drench'!$B$5:$AA$5,0),FALSE)),0)</f>
        <v>0</v>
      </c>
      <c r="Y32" s="36">
        <f>IFERROR((VLOOKUP($H32,'Programa Drench'!$B$6:$AA$182,MATCH(Y$2,'Programa Drench'!$B$5:$AA$5,0),FALSE)*Z32),0)</f>
        <v>0</v>
      </c>
      <c r="Z32" s="36">
        <f t="shared" si="14"/>
        <v>0</v>
      </c>
      <c r="AA32" s="89">
        <f>IFERROR(ROUND(IF($D32="SSJ",(VLOOKUP($H32,'Programa Drench'!$B$6:$AA$182,MATCH(AA$2,'Programa Drench'!$B$5:$AA$5,0),FALSE)),VLOOKUP($H32,'Programa Drench'!$B$6:$AA$182,MATCH(AA$2,'Programa Drench'!$B$5:$AA$5,0),FALSE)),1),0)</f>
        <v>0</v>
      </c>
      <c r="AB32" s="30">
        <f>IFERROR((VLOOKUP($H32,'Programa Drench'!$B$6:$AA$182,MATCH(AB$2,'Programa Drench'!$B$5:$AA$5,0),FALSE)),0)</f>
        <v>0</v>
      </c>
      <c r="AC32" s="83">
        <f>IFERROR((VLOOKUP($H32,'Programa Drench'!$B$6:$AA$182,MATCH(AC$2,'Programa Drench'!$B$5:$AA$5,0),FALSE)*$I32),0)</f>
        <v>0</v>
      </c>
      <c r="AD32" s="36">
        <f t="shared" si="15"/>
        <v>0</v>
      </c>
      <c r="AE32" s="36">
        <f>IFERROR(ROUND((VLOOKUP($H32,'Programa Drench'!$B$6:$AA$182,MATCH(AE$2,'Programa Drench'!$B$5:$AA$5,0),FALSE)),-1),0)</f>
        <v>0</v>
      </c>
      <c r="AF32" s="30">
        <f>IFERROR((VLOOKUP($H32,'Programa Drench'!$B$6:$AA$182,MATCH(AF$2,'Programa Drench'!$B$5:$AA$5,0),FALSE)),0)</f>
        <v>0</v>
      </c>
      <c r="AG32" s="36">
        <f>IFERROR((VLOOKUP($H32,'Programa Drench'!$B$6:$AA$182,MATCH(AG$2,'Programa Drench'!$B$5:$AA$5,0),FALSE)*AH32),0)</f>
        <v>0</v>
      </c>
      <c r="AH32" s="36">
        <f>IFERROR(ROUND((VLOOKUP($H32,'Programa Drench'!$B$6:$AA$182,MATCH(AH$2,'Programa Drench'!$B$5:$AA$5,0),FALSE)*$I32),-1),0)</f>
        <v>0</v>
      </c>
      <c r="AI32" s="89">
        <f>IFERROR((VLOOKUP($H32,'Programa Drench'!$B$6:$AA$182,MATCH(AI$2,'Programa Drench'!$B$5:$AA$5,0),FALSE)),0)</f>
        <v>0</v>
      </c>
    </row>
    <row r="33" spans="1:35" ht="15" hidden="1" customHeight="1" x14ac:dyDescent="0.2">
      <c r="A33" s="14">
        <f t="shared" si="16"/>
        <v>2572</v>
      </c>
      <c r="B33" s="77"/>
      <c r="C33" s="54"/>
      <c r="D33" s="54"/>
      <c r="E33" s="58"/>
      <c r="F33" s="58"/>
      <c r="G33" s="53" t="str">
        <f t="shared" si="1"/>
        <v/>
      </c>
      <c r="H33" s="55" t="str">
        <f t="shared" si="9"/>
        <v xml:space="preserve">2572  </v>
      </c>
      <c r="I33" s="262" t="e">
        <f>IF(D33="MM1",VLOOKUP($B33,'Inf Bloques'!$A$1:$K$453,11,FALSE)*1,VLOOKUP($B33,'Inf Bloques'!$A$1:$K$453,11,FALSE))</f>
        <v>#N/A</v>
      </c>
      <c r="J33" s="3" t="e">
        <f t="shared" si="10"/>
        <v>#N/A</v>
      </c>
      <c r="K33" s="89">
        <f>IFERROR(ROUND(IF($D33="SSJ",(VLOOKUP($H33,'Programa Drench'!$B$6:$AA$182,MATCH(K$2,'Programa Drench'!$B$5:$AA$5,0),FALSE)),VLOOKUP($H33,'Programa Drench'!$B$6:$AA$182,MATCH(K$2,'Programa Drench'!$B$5:$AA$5,0),FALSE)),1),0)</f>
        <v>0</v>
      </c>
      <c r="L33" s="30">
        <f>IFERROR((VLOOKUP($H33,'Programa Drench'!$B$6:$AA$182,MATCH(L$2,'Programa Drench'!$B$5:$AA$5,0),FALSE)),0)</f>
        <v>0</v>
      </c>
      <c r="M33" s="36">
        <f>IFERROR((VLOOKUP($H33,'Programa Drench'!$B$6:$AA$182,MATCH(M$2,'Programa Drench'!$B$5:$AA$5,0),FALSE)*N33),0)</f>
        <v>0</v>
      </c>
      <c r="N33" s="36">
        <f t="shared" si="11"/>
        <v>0</v>
      </c>
      <c r="O33" s="89">
        <f>IFERROR(ROUND(IF($D33="SSJ",(VLOOKUP($H33,'Programa Drench'!$B$6:$AA$182,MATCH(O$2,'Programa Drench'!$B$5:$AA$5,0),FALSE)),VLOOKUP($H33,'Programa Drench'!$B$6:$AA$182,MATCH(O$2,'Programa Drench'!$B$5:$AA$5,0),FALSE)),1),0)</f>
        <v>0</v>
      </c>
      <c r="P33" s="30">
        <f>IFERROR((VLOOKUP($H33,'Programa Drench'!$B$6:$AA$182,MATCH(P$2,'Programa Drench'!$B$5:$AA$5,0),FALSE)),0)</f>
        <v>0</v>
      </c>
      <c r="Q33" s="36">
        <f>IFERROR((VLOOKUP($H33,'Programa Drench'!$B$6:$AA$182,MATCH(Q$2,'Programa Drench'!$B$5:$AA$5,0),FALSE)*R33),0)</f>
        <v>0</v>
      </c>
      <c r="R33" s="36">
        <f t="shared" si="12"/>
        <v>0</v>
      </c>
      <c r="S33" s="89">
        <f>IFERROR(ROUND(IF($D33="SSJ",(VLOOKUP($H33,'Programa Drench'!$B$6:$AA$182,MATCH(S$2,'Programa Drench'!$B$5:$AA$5,0),FALSE)),VLOOKUP($H33,'Programa Drench'!$B$6:$AA$182,MATCH(S$2,'Programa Drench'!$B$5:$AA$5,0),FALSE)),1),0)</f>
        <v>0</v>
      </c>
      <c r="T33" s="30">
        <f>IFERROR((VLOOKUP($H33,'Programa Drench'!$B$6:$AA$182,MATCH(T$2,'Programa Drench'!$B$5:$AA$5,0),FALSE)),0)</f>
        <v>0</v>
      </c>
      <c r="U33" s="36">
        <f>IFERROR((VLOOKUP($H33,'Programa Drench'!$B$6:$AA$182,MATCH(U$2,'Programa Drench'!$B$5:$AA$5,0),FALSE)*V33),0)</f>
        <v>0</v>
      </c>
      <c r="V33" s="36">
        <f t="shared" si="13"/>
        <v>0</v>
      </c>
      <c r="W33" s="89">
        <f>IFERROR(ROUND(IF($D33="SSJ",(VLOOKUP($H33,'Programa Drench'!$B$6:$AA$182,MATCH(W$2,'Programa Drench'!$B$5:$AA$5,0),FALSE)),VLOOKUP($H33,'Programa Drench'!$B$6:$AA$182,MATCH(W$2,'Programa Drench'!$B$5:$AA$5,0),FALSE)),1),0)</f>
        <v>0</v>
      </c>
      <c r="X33" s="30">
        <f>IFERROR((VLOOKUP($H33,'Programa Drench'!$B$6:$AA$182,MATCH(X$2,'Programa Drench'!$B$5:$AA$5,0),FALSE)),0)</f>
        <v>0</v>
      </c>
      <c r="Y33" s="36">
        <f>IFERROR((VLOOKUP($H33,'Programa Drench'!$B$6:$AA$182,MATCH(Y$2,'Programa Drench'!$B$5:$AA$5,0),FALSE)*Z33),0)</f>
        <v>0</v>
      </c>
      <c r="Z33" s="36">
        <f t="shared" si="14"/>
        <v>0</v>
      </c>
      <c r="AA33" s="89">
        <f>IFERROR(ROUND(IF($D33="SSJ",(VLOOKUP($H33,'Programa Drench'!$B$6:$AA$182,MATCH(AA$2,'Programa Drench'!$B$5:$AA$5,0),FALSE)),VLOOKUP($H33,'Programa Drench'!$B$6:$AA$182,MATCH(AA$2,'Programa Drench'!$B$5:$AA$5,0),FALSE)),1),0)</f>
        <v>0</v>
      </c>
      <c r="AB33" s="30">
        <f>IFERROR((VLOOKUP($H33,'Programa Drench'!$B$6:$AA$182,MATCH(AB$2,'Programa Drench'!$B$5:$AA$5,0),FALSE)),0)</f>
        <v>0</v>
      </c>
      <c r="AC33" s="83">
        <f>IFERROR((VLOOKUP($H33,'Programa Drench'!$B$6:$AA$182,MATCH(AC$2,'Programa Drench'!$B$5:$AA$5,0),FALSE)*$I33),0)</f>
        <v>0</v>
      </c>
      <c r="AD33" s="36">
        <f t="shared" si="15"/>
        <v>0</v>
      </c>
      <c r="AE33" s="36">
        <f>IFERROR(ROUND((VLOOKUP($H33,'Programa Drench'!$B$6:$AA$182,MATCH(AE$2,'Programa Drench'!$B$5:$AA$5,0),FALSE)),-1),0)</f>
        <v>0</v>
      </c>
      <c r="AF33" s="30">
        <f>IFERROR((VLOOKUP($H33,'Programa Drench'!$B$6:$AA$182,MATCH(AF$2,'Programa Drench'!$B$5:$AA$5,0),FALSE)),0)</f>
        <v>0</v>
      </c>
      <c r="AG33" s="36">
        <f>IFERROR((VLOOKUP($H33,'Programa Drench'!$B$6:$AA$182,MATCH(AG$2,'Programa Drench'!$B$5:$AA$5,0),FALSE)*AH33),0)</f>
        <v>0</v>
      </c>
      <c r="AH33" s="36">
        <f>IFERROR(ROUND((VLOOKUP($H33,'Programa Drench'!$B$6:$AA$182,MATCH(AH$2,'Programa Drench'!$B$5:$AA$5,0),FALSE)*$I33),-1),0)</f>
        <v>0</v>
      </c>
      <c r="AI33" s="89">
        <f>IFERROR((VLOOKUP($H33,'Programa Drench'!$B$6:$AA$182,MATCH(AI$2,'Programa Drench'!$B$5:$AA$5,0),FALSE)),0)</f>
        <v>0</v>
      </c>
    </row>
    <row r="34" spans="1:35" ht="15" hidden="1" customHeight="1" x14ac:dyDescent="0.2">
      <c r="A34" s="14">
        <f t="shared" si="16"/>
        <v>2572</v>
      </c>
      <c r="B34" s="259"/>
      <c r="C34" s="58"/>
      <c r="D34" s="54"/>
      <c r="E34" s="58"/>
      <c r="F34" s="58"/>
      <c r="G34" s="53" t="str">
        <f t="shared" si="1"/>
        <v/>
      </c>
      <c r="H34" s="55" t="str">
        <f t="shared" si="9"/>
        <v xml:space="preserve">2572  </v>
      </c>
      <c r="I34" s="262" t="e">
        <f>IF(D34="MM1",VLOOKUP($B34,'Inf Bloques'!$A$1:$K$453,11,FALSE)*1,VLOOKUP($B34,'Inf Bloques'!$A$1:$K$453,11,FALSE))</f>
        <v>#N/A</v>
      </c>
      <c r="J34" s="3" t="e">
        <f t="shared" si="10"/>
        <v>#N/A</v>
      </c>
      <c r="K34" s="89">
        <f>IFERROR(ROUND(IF($D34="SSJ",(VLOOKUP($H34,'Programa Drench'!$B$6:$AA$182,MATCH(K$2,'Programa Drench'!$B$5:$AA$5,0),FALSE)),VLOOKUP($H34,'Programa Drench'!$B$6:$AA$182,MATCH(K$2,'Programa Drench'!$B$5:$AA$5,0),FALSE)),1),0)</f>
        <v>0</v>
      </c>
      <c r="L34" s="30">
        <f>IFERROR((VLOOKUP($H34,'Programa Drench'!$B$6:$AA$182,MATCH(L$2,'Programa Drench'!$B$5:$AA$5,0),FALSE)),0)</f>
        <v>0</v>
      </c>
      <c r="M34" s="36">
        <f>IFERROR((VLOOKUP($H34,'Programa Drench'!$B$6:$AA$182,MATCH(M$2,'Programa Drench'!$B$5:$AA$5,0),FALSE)*N34),0)</f>
        <v>0</v>
      </c>
      <c r="N34" s="36">
        <f>IFERROR(ROUND((K34*$I34),-1),0)</f>
        <v>0</v>
      </c>
      <c r="O34" s="89">
        <f>IFERROR(ROUND(IF($D34="SSJ",(VLOOKUP($H34,'Programa Drench'!$B$6:$AA$182,MATCH(O$2,'Programa Drench'!$B$5:$AA$5,0),FALSE)),VLOOKUP($H34,'Programa Drench'!$B$6:$AA$182,MATCH(O$2,'Programa Drench'!$B$5:$AA$5,0),FALSE)),1),0)</f>
        <v>0</v>
      </c>
      <c r="P34" s="30">
        <f>IFERROR((VLOOKUP($H34,'Programa Drench'!$B$6:$AA$182,MATCH(P$2,'Programa Drench'!$B$5:$AA$5,0),FALSE)),0)</f>
        <v>0</v>
      </c>
      <c r="Q34" s="36">
        <f>IFERROR((VLOOKUP($H34,'Programa Drench'!$B$6:$AA$182,MATCH(Q$2,'Programa Drench'!$B$5:$AA$5,0),FALSE)*R34),0)</f>
        <v>0</v>
      </c>
      <c r="R34" s="36">
        <f t="shared" si="12"/>
        <v>0</v>
      </c>
      <c r="S34" s="89">
        <f>IFERROR(ROUND(IF($D34="SSJ",(VLOOKUP($H34,'Programa Drench'!$B$6:$AA$182,MATCH(S$2,'Programa Drench'!$B$5:$AA$5,0),FALSE)),VLOOKUP($H34,'Programa Drench'!$B$6:$AA$182,MATCH(S$2,'Programa Drench'!$B$5:$AA$5,0),FALSE)),1),0)</f>
        <v>0</v>
      </c>
      <c r="T34" s="30">
        <f>IFERROR((VLOOKUP($H34,'Programa Drench'!$B$6:$AA$182,MATCH(T$2,'Programa Drench'!$B$5:$AA$5,0),FALSE)),0)</f>
        <v>0</v>
      </c>
      <c r="U34" s="36">
        <f>IFERROR((VLOOKUP($H34,'Programa Drench'!$B$6:$AA$182,MATCH(U$2,'Programa Drench'!$B$5:$AA$5,0),FALSE)*V34),0)</f>
        <v>0</v>
      </c>
      <c r="V34" s="36">
        <f t="shared" si="13"/>
        <v>0</v>
      </c>
      <c r="W34" s="89">
        <f>IFERROR(ROUND(IF($D34="SSJ",(VLOOKUP($H34,'Programa Drench'!$B$6:$AA$182,MATCH(W$2,'Programa Drench'!$B$5:$AA$5,0),FALSE)),VLOOKUP($H34,'Programa Drench'!$B$6:$AA$182,MATCH(W$2,'Programa Drench'!$B$5:$AA$5,0),FALSE)),1),0)</f>
        <v>0</v>
      </c>
      <c r="X34" s="30">
        <f>IFERROR((VLOOKUP($H34,'Programa Drench'!$B$6:$AA$182,MATCH(X$2,'Programa Drench'!$B$5:$AA$5,0),FALSE)),0)</f>
        <v>0</v>
      </c>
      <c r="Y34" s="36">
        <f>IFERROR((VLOOKUP($H34,'Programa Drench'!$B$6:$AA$182,MATCH(Y$2,'Programa Drench'!$B$5:$AA$5,0),FALSE)*Z34),0)</f>
        <v>0</v>
      </c>
      <c r="Z34" s="36">
        <f t="shared" si="14"/>
        <v>0</v>
      </c>
      <c r="AA34" s="89">
        <f>IFERROR(ROUND(IF($D34="SSJ",(VLOOKUP($H34,'Programa Drench'!$B$6:$AA$182,MATCH(AA$2,'Programa Drench'!$B$5:$AA$5,0),FALSE)),VLOOKUP($H34,'Programa Drench'!$B$6:$AA$182,MATCH(AA$2,'Programa Drench'!$B$5:$AA$5,0),FALSE)),1),0)</f>
        <v>0</v>
      </c>
      <c r="AB34" s="30">
        <f>IFERROR((VLOOKUP($H34,'Programa Drench'!$B$6:$AA$182,MATCH(AB$2,'Programa Drench'!$B$5:$AA$5,0),FALSE)),0)</f>
        <v>0</v>
      </c>
      <c r="AC34" s="83">
        <f>IFERROR((VLOOKUP($H34,'Programa Drench'!$B$6:$AA$182,MATCH(AC$2,'Programa Drench'!$B$5:$AA$5,0),FALSE)*$I34),0)</f>
        <v>0</v>
      </c>
      <c r="AD34" s="36">
        <f t="shared" si="15"/>
        <v>0</v>
      </c>
      <c r="AE34" s="36">
        <f>IFERROR(ROUND((VLOOKUP($H34,'Programa Drench'!$B$6:$AA$182,MATCH(AE$2,'Programa Drench'!$B$5:$AA$5,0),FALSE)),-1),0)</f>
        <v>0</v>
      </c>
      <c r="AF34" s="30">
        <f>IFERROR((VLOOKUP($H34,'Programa Drench'!$B$6:$AA$182,MATCH(AF$2,'Programa Drench'!$B$5:$AA$5,0),FALSE)),0)</f>
        <v>0</v>
      </c>
      <c r="AG34" s="36">
        <f>IFERROR((VLOOKUP($H34,'Programa Drench'!$B$6:$AA$182,MATCH(AG$2,'Programa Drench'!$B$5:$AA$5,0),FALSE)*AH34),0)</f>
        <v>0</v>
      </c>
      <c r="AH34" s="36">
        <f>IFERROR(ROUND((VLOOKUP($H34,'Programa Drench'!$B$6:$AA$182,MATCH(AH$2,'Programa Drench'!$B$5:$AA$5,0),FALSE)*$I34),-1),0)</f>
        <v>0</v>
      </c>
      <c r="AI34" s="89">
        <f>IFERROR((VLOOKUP($H34,'Programa Drench'!$B$6:$AA$182,MATCH(AI$2,'Programa Drench'!$B$5:$AA$5,0),FALSE)),0)</f>
        <v>0</v>
      </c>
    </row>
    <row r="35" spans="1:35" ht="15" hidden="1" customHeight="1" x14ac:dyDescent="0.2">
      <c r="A35" s="14">
        <f t="shared" si="16"/>
        <v>2572</v>
      </c>
      <c r="B35" s="77"/>
      <c r="C35" s="54"/>
      <c r="D35" s="54"/>
      <c r="E35" s="58"/>
      <c r="F35" s="58"/>
      <c r="G35" s="53" t="str">
        <f t="shared" si="1"/>
        <v/>
      </c>
      <c r="H35" s="55" t="str">
        <f t="shared" si="9"/>
        <v xml:space="preserve">2572  </v>
      </c>
      <c r="I35" s="262" t="e">
        <f>IF(D35="MM1",VLOOKUP($B35,'Inf Bloques'!$A$1:$K$453,11,FALSE)*1,VLOOKUP($B35,'Inf Bloques'!$A$1:$K$453,11,FALSE))</f>
        <v>#N/A</v>
      </c>
      <c r="J35" s="3" t="e">
        <f t="shared" si="10"/>
        <v>#N/A</v>
      </c>
      <c r="K35" s="89">
        <f>IFERROR(ROUND(IF($D35="SSJ",(VLOOKUP($H35,'Programa Drench'!$B$6:$AA$182,MATCH(K$2,'Programa Drench'!$B$5:$AA$5,0),FALSE)),VLOOKUP($H35,'Programa Drench'!$B$6:$AA$182,MATCH(K$2,'Programa Drench'!$B$5:$AA$5,0),FALSE)),1),0)</f>
        <v>0</v>
      </c>
      <c r="L35" s="30">
        <f>IFERROR((VLOOKUP($H35,'Programa Drench'!$B$6:$AA$182,MATCH(L$2,'Programa Drench'!$B$5:$AA$5,0),FALSE)),0)</f>
        <v>0</v>
      </c>
      <c r="M35" s="36">
        <f>IFERROR((VLOOKUP($H35,'Programa Drench'!$B$6:$AA$182,MATCH(M$2,'Programa Drench'!$B$5:$AA$5,0),FALSE)*N35),0)</f>
        <v>0</v>
      </c>
      <c r="N35" s="36">
        <f t="shared" si="11"/>
        <v>0</v>
      </c>
      <c r="O35" s="89">
        <f>IFERROR(ROUND(IF($D35="SSJ",(VLOOKUP($H35,'Programa Drench'!$B$6:$AA$182,MATCH(O$2,'Programa Drench'!$B$5:$AA$5,0),FALSE)),VLOOKUP($H35,'Programa Drench'!$B$6:$AA$182,MATCH(O$2,'Programa Drench'!$B$5:$AA$5,0),FALSE)),1),0)</f>
        <v>0</v>
      </c>
      <c r="P35" s="30">
        <f>IFERROR((VLOOKUP($H35,'Programa Drench'!$B$6:$AA$182,MATCH(P$2,'Programa Drench'!$B$5:$AA$5,0),FALSE)),0)</f>
        <v>0</v>
      </c>
      <c r="Q35" s="36">
        <f>IFERROR((VLOOKUP($H35,'Programa Drench'!$B$6:$AA$182,MATCH(Q$2,'Programa Drench'!$B$5:$AA$5,0),FALSE)*R35),0)</f>
        <v>0</v>
      </c>
      <c r="R35" s="36">
        <f t="shared" si="12"/>
        <v>0</v>
      </c>
      <c r="S35" s="89">
        <f>IFERROR(ROUND(IF($D35="SSJ",(VLOOKUP($H35,'Programa Drench'!$B$6:$AA$182,MATCH(S$2,'Programa Drench'!$B$5:$AA$5,0),FALSE)),VLOOKUP($H35,'Programa Drench'!$B$6:$AA$182,MATCH(S$2,'Programa Drench'!$B$5:$AA$5,0),FALSE)),1),0)</f>
        <v>0</v>
      </c>
      <c r="T35" s="30">
        <f>IFERROR((VLOOKUP($H35,'Programa Drench'!$B$6:$AA$182,MATCH(T$2,'Programa Drench'!$B$5:$AA$5,0),FALSE)),0)</f>
        <v>0</v>
      </c>
      <c r="U35" s="36">
        <f>IFERROR((VLOOKUP($H35,'Programa Drench'!$B$6:$AA$182,MATCH(U$2,'Programa Drench'!$B$5:$AA$5,0),FALSE)*V35),0)</f>
        <v>0</v>
      </c>
      <c r="V35" s="36">
        <f t="shared" si="13"/>
        <v>0</v>
      </c>
      <c r="W35" s="89">
        <f>IFERROR(ROUND(IF($D35="SSJ",(VLOOKUP($H35,'Programa Drench'!$B$6:$AA$182,MATCH(W$2,'Programa Drench'!$B$5:$AA$5,0),FALSE)),VLOOKUP($H35,'Programa Drench'!$B$6:$AA$182,MATCH(W$2,'Programa Drench'!$B$5:$AA$5,0),FALSE)),1),0)</f>
        <v>0</v>
      </c>
      <c r="X35" s="30">
        <f>IFERROR((VLOOKUP($H35,'Programa Drench'!$B$6:$AA$182,MATCH(X$2,'Programa Drench'!$B$5:$AA$5,0),FALSE)),0)</f>
        <v>0</v>
      </c>
      <c r="Y35" s="36">
        <f>IFERROR((VLOOKUP($H35,'Programa Drench'!$B$6:$AA$182,MATCH(Y$2,'Programa Drench'!$B$5:$AA$5,0),FALSE)*Z35),0)</f>
        <v>0</v>
      </c>
      <c r="Z35" s="36">
        <f t="shared" si="14"/>
        <v>0</v>
      </c>
      <c r="AA35" s="89">
        <f>IFERROR(ROUND(IF($D35="SSJ",(VLOOKUP($H35,'Programa Drench'!$B$6:$AA$182,MATCH(AA$2,'Programa Drench'!$B$5:$AA$5,0),FALSE)),VLOOKUP($H35,'Programa Drench'!$B$6:$AA$182,MATCH(AA$2,'Programa Drench'!$B$5:$AA$5,0),FALSE)),1),0)</f>
        <v>0</v>
      </c>
      <c r="AB35" s="30">
        <f>IFERROR((VLOOKUP($H35,'Programa Drench'!$B$6:$AA$182,MATCH(AB$2,'Programa Drench'!$B$5:$AA$5,0),FALSE)),0)</f>
        <v>0</v>
      </c>
      <c r="AC35" s="83">
        <f>IFERROR((VLOOKUP($H35,'Programa Drench'!$B$6:$AA$182,MATCH(AC$2,'Programa Drench'!$B$5:$AA$5,0),FALSE)*$I35),0)</f>
        <v>0</v>
      </c>
      <c r="AD35" s="36">
        <f t="shared" si="15"/>
        <v>0</v>
      </c>
      <c r="AE35" s="36">
        <f>IFERROR(ROUND((VLOOKUP($H35,'Programa Drench'!$B$6:$AA$182,MATCH(AE$2,'Programa Drench'!$B$5:$AA$5,0),FALSE)),-1),0)</f>
        <v>0</v>
      </c>
      <c r="AF35" s="30">
        <f>IFERROR((VLOOKUP($H35,'Programa Drench'!$B$6:$AA$182,MATCH(AF$2,'Programa Drench'!$B$5:$AA$5,0),FALSE)),0)</f>
        <v>0</v>
      </c>
      <c r="AG35" s="36">
        <f>IFERROR((VLOOKUP($H35,'Programa Drench'!$B$6:$AA$182,MATCH(AG$2,'Programa Drench'!$B$5:$AA$5,0),FALSE)*AH35),0)</f>
        <v>0</v>
      </c>
      <c r="AH35" s="36">
        <f>IFERROR(ROUND((VLOOKUP($H35,'Programa Drench'!$B$6:$AA$182,MATCH(AH$2,'Programa Drench'!$B$5:$AA$5,0),FALSE)*$I35),-1),0)</f>
        <v>0</v>
      </c>
      <c r="AI35" s="89">
        <f>IFERROR((VLOOKUP($H35,'Programa Drench'!$B$6:$AA$182,MATCH(AI$2,'Programa Drench'!$B$5:$AA$5,0),FALSE)),0)</f>
        <v>0</v>
      </c>
    </row>
    <row r="36" spans="1:35" ht="15" hidden="1" customHeight="1" x14ac:dyDescent="0.2">
      <c r="A36" s="14">
        <f t="shared" si="16"/>
        <v>2572</v>
      </c>
      <c r="B36" s="259"/>
      <c r="C36" s="58"/>
      <c r="D36" s="54"/>
      <c r="E36" s="58"/>
      <c r="F36" s="58"/>
      <c r="G36" s="53" t="str">
        <f t="shared" si="1"/>
        <v/>
      </c>
      <c r="H36" s="55" t="str">
        <f t="shared" si="9"/>
        <v xml:space="preserve">2572  </v>
      </c>
      <c r="I36" s="262" t="e">
        <f>IF(D36="MM1",VLOOKUP($B36,'Inf Bloques'!$A$1:$K$453,11,FALSE)*1,VLOOKUP($B36,'Inf Bloques'!$A$1:$K$453,11,FALSE))</f>
        <v>#N/A</v>
      </c>
      <c r="J36" s="3" t="e">
        <f t="shared" si="10"/>
        <v>#N/A</v>
      </c>
      <c r="K36" s="89">
        <f>IFERROR(ROUND(IF($D36="SSJ",(VLOOKUP($H36,'Programa Drench'!$B$6:$AA$182,MATCH(K$2,'Programa Drench'!$B$5:$AA$5,0),FALSE)),VLOOKUP($H36,'Programa Drench'!$B$6:$AA$182,MATCH(K$2,'Programa Drench'!$B$5:$AA$5,0),FALSE)),1),0)</f>
        <v>0</v>
      </c>
      <c r="L36" s="30">
        <f>IFERROR((VLOOKUP($H36,'Programa Drench'!$B$6:$AA$182,MATCH(L$2,'Programa Drench'!$B$5:$AA$5,0),FALSE)),0)</f>
        <v>0</v>
      </c>
      <c r="M36" s="36">
        <f>IFERROR((VLOOKUP($H36,'Programa Drench'!$B$6:$AA$182,MATCH(M$2,'Programa Drench'!$B$5:$AA$5,0),FALSE)*N36),0)</f>
        <v>0</v>
      </c>
      <c r="N36" s="36">
        <f t="shared" si="11"/>
        <v>0</v>
      </c>
      <c r="O36" s="89">
        <f>IFERROR(ROUND(IF($D36="SSJ",(VLOOKUP($H36,'Programa Drench'!$B$6:$AA$182,MATCH(O$2,'Programa Drench'!$B$5:$AA$5,0),FALSE)),VLOOKUP($H36,'Programa Drench'!$B$6:$AA$182,MATCH(O$2,'Programa Drench'!$B$5:$AA$5,0),FALSE)),1),0)</f>
        <v>0</v>
      </c>
      <c r="P36" s="30">
        <f>IFERROR((VLOOKUP($H36,'Programa Drench'!$B$6:$AA$182,MATCH(P$2,'Programa Drench'!$B$5:$AA$5,0),FALSE)),0)</f>
        <v>0</v>
      </c>
      <c r="Q36" s="36">
        <f>IFERROR((VLOOKUP($H36,'Programa Drench'!$B$6:$AA$182,MATCH(Q$2,'Programa Drench'!$B$5:$AA$5,0),FALSE)*R36),0)</f>
        <v>0</v>
      </c>
      <c r="R36" s="36">
        <f t="shared" si="12"/>
        <v>0</v>
      </c>
      <c r="S36" s="89">
        <f>IFERROR(ROUND(IF($D36="SSJ",(VLOOKUP($H36,'Programa Drench'!$B$6:$AA$182,MATCH(S$2,'Programa Drench'!$B$5:$AA$5,0),FALSE)),VLOOKUP($H36,'Programa Drench'!$B$6:$AA$182,MATCH(S$2,'Programa Drench'!$B$5:$AA$5,0),FALSE)),1),0)</f>
        <v>0</v>
      </c>
      <c r="T36" s="30">
        <f>IFERROR((VLOOKUP($H36,'Programa Drench'!$B$6:$AA$182,MATCH(T$2,'Programa Drench'!$B$5:$AA$5,0),FALSE)),0)</f>
        <v>0</v>
      </c>
      <c r="U36" s="36">
        <f>IFERROR((VLOOKUP($H36,'Programa Drench'!$B$6:$AA$182,MATCH(U$2,'Programa Drench'!$B$5:$AA$5,0),FALSE)*V36),0)</f>
        <v>0</v>
      </c>
      <c r="V36" s="36">
        <f t="shared" si="13"/>
        <v>0</v>
      </c>
      <c r="W36" s="89">
        <f>IFERROR(ROUND(IF($D36="SSJ",(VLOOKUP($H36,'Programa Drench'!$B$6:$AA$182,MATCH(W$2,'Programa Drench'!$B$5:$AA$5,0),FALSE)),VLOOKUP($H36,'Programa Drench'!$B$6:$AA$182,MATCH(W$2,'Programa Drench'!$B$5:$AA$5,0),FALSE)),1),0)</f>
        <v>0</v>
      </c>
      <c r="X36" s="30">
        <f>IFERROR((VLOOKUP($H36,'Programa Drench'!$B$6:$AA$182,MATCH(X$2,'Programa Drench'!$B$5:$AA$5,0),FALSE)),0)</f>
        <v>0</v>
      </c>
      <c r="Y36" s="36">
        <f>IFERROR((VLOOKUP($H36,'Programa Drench'!$B$6:$AA$182,MATCH(Y$2,'Programa Drench'!$B$5:$AA$5,0),FALSE)*Z36),0)</f>
        <v>0</v>
      </c>
      <c r="Z36" s="36">
        <f t="shared" si="14"/>
        <v>0</v>
      </c>
      <c r="AA36" s="89">
        <f>IFERROR(ROUND(IF($D36="SSJ",(VLOOKUP($H36,'Programa Drench'!$B$6:$AA$182,MATCH(AA$2,'Programa Drench'!$B$5:$AA$5,0),FALSE)),VLOOKUP($H36,'Programa Drench'!$B$6:$AA$182,MATCH(AA$2,'Programa Drench'!$B$5:$AA$5,0),FALSE)),1),0)</f>
        <v>0</v>
      </c>
      <c r="AB36" s="30">
        <f>IFERROR((VLOOKUP($H36,'Programa Drench'!$B$6:$AA$182,MATCH(AB$2,'Programa Drench'!$B$5:$AA$5,0),FALSE)),0)</f>
        <v>0</v>
      </c>
      <c r="AC36" s="83">
        <f>IFERROR((VLOOKUP($H36,'Programa Drench'!$B$6:$AA$182,MATCH(AC$2,'Programa Drench'!$B$5:$AA$5,0),FALSE)*$I36),0)</f>
        <v>0</v>
      </c>
      <c r="AD36" s="36">
        <f t="shared" si="15"/>
        <v>0</v>
      </c>
      <c r="AE36" s="36">
        <f>IFERROR(ROUND((VLOOKUP($H36,'Programa Drench'!$B$6:$AA$182,MATCH(AE$2,'Programa Drench'!$B$5:$AA$5,0),FALSE)),-1),0)</f>
        <v>0</v>
      </c>
      <c r="AF36" s="30">
        <f>IFERROR((VLOOKUP($H36,'Programa Drench'!$B$6:$AA$182,MATCH(AF$2,'Programa Drench'!$B$5:$AA$5,0),FALSE)),0)</f>
        <v>0</v>
      </c>
      <c r="AG36" s="36">
        <f>IFERROR((VLOOKUP($H36,'Programa Drench'!$B$6:$AA$182,MATCH(AG$2,'Programa Drench'!$B$5:$AA$5,0),FALSE)*AH36),0)</f>
        <v>0</v>
      </c>
      <c r="AH36" s="36">
        <f>IFERROR(ROUND((VLOOKUP($H36,'Programa Drench'!$B$6:$AA$182,MATCH(AH$2,'Programa Drench'!$B$5:$AA$5,0),FALSE)*$I36),-1),0)</f>
        <v>0</v>
      </c>
      <c r="AI36" s="89">
        <f>IFERROR((VLOOKUP($H36,'Programa Drench'!$B$6:$AA$182,MATCH(AI$2,'Programa Drench'!$B$5:$AA$5,0),FALSE)),0)</f>
        <v>0</v>
      </c>
    </row>
    <row r="37" spans="1:35" ht="15" hidden="1" customHeight="1" x14ac:dyDescent="0.2">
      <c r="A37" s="14">
        <f t="shared" si="16"/>
        <v>2572</v>
      </c>
      <c r="B37" s="77"/>
      <c r="C37" s="54"/>
      <c r="D37" s="54"/>
      <c r="E37" s="58"/>
      <c r="F37" s="58"/>
      <c r="G37" s="53" t="str">
        <f t="shared" si="1"/>
        <v/>
      </c>
      <c r="H37" s="55" t="str">
        <f t="shared" si="9"/>
        <v xml:space="preserve">2572  </v>
      </c>
      <c r="I37" s="262" t="e">
        <f>IF(D37="MM1",VLOOKUP($B37,'Inf Bloques'!$A$1:$K$453,11,FALSE)*1,VLOOKUP($B37,'Inf Bloques'!$A$1:$K$453,11,FALSE))</f>
        <v>#N/A</v>
      </c>
      <c r="J37" s="3" t="e">
        <f t="shared" si="10"/>
        <v>#N/A</v>
      </c>
      <c r="K37" s="89">
        <f>IFERROR(ROUND(IF($D37="SSJ",(VLOOKUP($H37,'Programa Drench'!$B$6:$AA$182,MATCH(K$2,'Programa Drench'!$B$5:$AA$5,0),FALSE)),VLOOKUP($H37,'Programa Drench'!$B$6:$AA$182,MATCH(K$2,'Programa Drench'!$B$5:$AA$5,0),FALSE)),1),0)</f>
        <v>0</v>
      </c>
      <c r="L37" s="30">
        <f>IFERROR((VLOOKUP($H37,'Programa Drench'!$B$6:$AA$182,MATCH(L$2,'Programa Drench'!$B$5:$AA$5,0),FALSE)),0)</f>
        <v>0</v>
      </c>
      <c r="M37" s="36">
        <f>IFERROR((VLOOKUP($H37,'Programa Drench'!$B$6:$AA$182,MATCH(M$2,'Programa Drench'!$B$5:$AA$5,0),FALSE)*N37),0)</f>
        <v>0</v>
      </c>
      <c r="N37" s="36">
        <f>IFERROR(ROUND((K37*$I37),-1),0)</f>
        <v>0</v>
      </c>
      <c r="O37" s="89">
        <f>IFERROR(ROUND(IF($D37="SSJ",(VLOOKUP($H37,'Programa Drench'!$B$6:$AA$182,MATCH(O$2,'Programa Drench'!$B$5:$AA$5,0),FALSE)),VLOOKUP($H37,'Programa Drench'!$B$6:$AA$182,MATCH(O$2,'Programa Drench'!$B$5:$AA$5,0),FALSE)),1),0)</f>
        <v>0</v>
      </c>
      <c r="P37" s="30">
        <f>IFERROR((VLOOKUP($H37,'Programa Drench'!$B$6:$AA$182,MATCH(P$2,'Programa Drench'!$B$5:$AA$5,0),FALSE)),0)</f>
        <v>0</v>
      </c>
      <c r="Q37" s="36">
        <f>IFERROR((VLOOKUP($H37,'Programa Drench'!$B$6:$AA$182,MATCH(Q$2,'Programa Drench'!$B$5:$AA$5,0),FALSE)*R37),0)</f>
        <v>0</v>
      </c>
      <c r="R37" s="36">
        <f t="shared" si="12"/>
        <v>0</v>
      </c>
      <c r="S37" s="89">
        <f>IFERROR(ROUND(IF($D37="SSJ",(VLOOKUP($H37,'Programa Drench'!$B$6:$AA$182,MATCH(S$2,'Programa Drench'!$B$5:$AA$5,0),FALSE)),VLOOKUP($H37,'Programa Drench'!$B$6:$AA$182,MATCH(S$2,'Programa Drench'!$B$5:$AA$5,0),FALSE)),1),0)</f>
        <v>0</v>
      </c>
      <c r="T37" s="30">
        <f>IFERROR((VLOOKUP($H37,'Programa Drench'!$B$6:$AA$182,MATCH(T$2,'Programa Drench'!$B$5:$AA$5,0),FALSE)),0)</f>
        <v>0</v>
      </c>
      <c r="U37" s="36">
        <f>IFERROR((VLOOKUP($H37,'Programa Drench'!$B$6:$AA$182,MATCH(U$2,'Programa Drench'!$B$5:$AA$5,0),FALSE)*V37),0)</f>
        <v>0</v>
      </c>
      <c r="V37" s="36">
        <f t="shared" si="13"/>
        <v>0</v>
      </c>
      <c r="W37" s="89">
        <f>IFERROR(ROUND(IF($D37="SSJ",(VLOOKUP($H37,'Programa Drench'!$B$6:$AA$182,MATCH(W$2,'Programa Drench'!$B$5:$AA$5,0),FALSE)),VLOOKUP($H37,'Programa Drench'!$B$6:$AA$182,MATCH(W$2,'Programa Drench'!$B$5:$AA$5,0),FALSE)),1),0)</f>
        <v>0</v>
      </c>
      <c r="X37" s="30">
        <f>IFERROR((VLOOKUP($H37,'Programa Drench'!$B$6:$AA$182,MATCH(X$2,'Programa Drench'!$B$5:$AA$5,0),FALSE)),0)</f>
        <v>0</v>
      </c>
      <c r="Y37" s="36">
        <f>IFERROR((VLOOKUP($H37,'Programa Drench'!$B$6:$AA$182,MATCH(Y$2,'Programa Drench'!$B$5:$AA$5,0),FALSE)*Z37),0)</f>
        <v>0</v>
      </c>
      <c r="Z37" s="36">
        <f t="shared" si="14"/>
        <v>0</v>
      </c>
      <c r="AA37" s="89">
        <f>IFERROR(ROUND(IF($D37="SSJ",(VLOOKUP($H37,'Programa Drench'!$B$6:$AA$182,MATCH(AA$2,'Programa Drench'!$B$5:$AA$5,0),FALSE)),VLOOKUP($H37,'Programa Drench'!$B$6:$AA$182,MATCH(AA$2,'Programa Drench'!$B$5:$AA$5,0),FALSE)),1),0)</f>
        <v>0</v>
      </c>
      <c r="AB37" s="30">
        <f>IFERROR((VLOOKUP($H37,'Programa Drench'!$B$6:$AA$182,MATCH(AB$2,'Programa Drench'!$B$5:$AA$5,0),FALSE)),0)</f>
        <v>0</v>
      </c>
      <c r="AC37" s="83">
        <f>IFERROR((VLOOKUP($H37,'Programa Drench'!$B$6:$AA$182,MATCH(AC$2,'Programa Drench'!$B$5:$AA$5,0),FALSE)*$I37),0)</f>
        <v>0</v>
      </c>
      <c r="AD37" s="36">
        <f t="shared" si="15"/>
        <v>0</v>
      </c>
      <c r="AE37" s="36">
        <f>IFERROR(ROUND((VLOOKUP($H37,'Programa Drench'!$B$6:$AA$182,MATCH(AE$2,'Programa Drench'!$B$5:$AA$5,0),FALSE)),-1),0)</f>
        <v>0</v>
      </c>
      <c r="AF37" s="30">
        <f>IFERROR((VLOOKUP($H37,'Programa Drench'!$B$6:$AA$182,MATCH(AF$2,'Programa Drench'!$B$5:$AA$5,0),FALSE)),0)</f>
        <v>0</v>
      </c>
      <c r="AG37" s="36">
        <f>IFERROR((VLOOKUP($H37,'Programa Drench'!$B$6:$AA$182,MATCH(AG$2,'Programa Drench'!$B$5:$AA$5,0),FALSE)*AH37),0)</f>
        <v>0</v>
      </c>
      <c r="AH37" s="36">
        <f>IFERROR(ROUND((VLOOKUP($H37,'Programa Drench'!$B$6:$AA$182,MATCH(AH$2,'Programa Drench'!$B$5:$AA$5,0),FALSE)*$I37),-1),0)</f>
        <v>0</v>
      </c>
      <c r="AI37" s="89">
        <f>IFERROR((VLOOKUP($H37,'Programa Drench'!$B$6:$AA$182,MATCH(AI$2,'Programa Drench'!$B$5:$AA$5,0),FALSE)),0)</f>
        <v>0</v>
      </c>
    </row>
    <row r="38" spans="1:35" ht="15" hidden="1" customHeight="1" x14ac:dyDescent="0.2">
      <c r="A38" s="14">
        <f t="shared" si="16"/>
        <v>2572</v>
      </c>
      <c r="B38" s="259"/>
      <c r="C38" s="58"/>
      <c r="D38" s="58"/>
      <c r="E38" s="58"/>
      <c r="F38" s="58"/>
      <c r="G38" s="53" t="str">
        <f t="shared" si="1"/>
        <v/>
      </c>
      <c r="H38" s="55" t="str">
        <f t="shared" si="9"/>
        <v xml:space="preserve">2572  </v>
      </c>
      <c r="I38" s="262" t="e">
        <f>IF(D38="MM1",VLOOKUP($B38,'Inf Bloques'!$A$1:$K$453,11,FALSE)*1,VLOOKUP($B38,'Inf Bloques'!$A$1:$K$453,11,FALSE))</f>
        <v>#N/A</v>
      </c>
      <c r="J38" s="3" t="e">
        <f t="shared" si="10"/>
        <v>#N/A</v>
      </c>
      <c r="K38" s="89">
        <f>IFERROR(ROUND(IF($D38="SSJ",(VLOOKUP($H38,'Programa Drench'!$B$6:$AA$182,MATCH(K$2,'Programa Drench'!$B$5:$AA$5,0),FALSE)),VLOOKUP($H38,'Programa Drench'!$B$6:$AA$182,MATCH(K$2,'Programa Drench'!$B$5:$AA$5,0),FALSE)),1),0)</f>
        <v>0</v>
      </c>
      <c r="L38" s="30">
        <f>IFERROR((VLOOKUP($H38,'Programa Drench'!$B$6:$AA$182,MATCH(L$2,'Programa Drench'!$B$5:$AA$5,0),FALSE)),0)</f>
        <v>0</v>
      </c>
      <c r="M38" s="36">
        <f>IFERROR((VLOOKUP($H38,'Programa Drench'!$B$6:$AA$182,MATCH(M$2,'Programa Drench'!$B$5:$AA$5,0),FALSE)*N38),0)</f>
        <v>0</v>
      </c>
      <c r="N38" s="36">
        <f t="shared" si="11"/>
        <v>0</v>
      </c>
      <c r="O38" s="89">
        <f>IFERROR(ROUND(IF($D38="SSJ",(VLOOKUP($H38,'Programa Drench'!$B$6:$AA$182,MATCH(O$2,'Programa Drench'!$B$5:$AA$5,0),FALSE)),VLOOKUP($H38,'Programa Drench'!$B$6:$AA$182,MATCH(O$2,'Programa Drench'!$B$5:$AA$5,0),FALSE)),1),0)</f>
        <v>0</v>
      </c>
      <c r="P38" s="30">
        <f>IFERROR((VLOOKUP($H38,'Programa Drench'!$B$6:$AA$182,MATCH(P$2,'Programa Drench'!$B$5:$AA$5,0),FALSE)),0)</f>
        <v>0</v>
      </c>
      <c r="Q38" s="36">
        <f>IFERROR((VLOOKUP($H38,'Programa Drench'!$B$6:$AA$182,MATCH(Q$2,'Programa Drench'!$B$5:$AA$5,0),FALSE)*R38),0)</f>
        <v>0</v>
      </c>
      <c r="R38" s="36">
        <f t="shared" si="12"/>
        <v>0</v>
      </c>
      <c r="S38" s="89">
        <f>IFERROR(ROUND(IF($D38="SSJ",(VLOOKUP($H38,'Programa Drench'!$B$6:$AA$182,MATCH(S$2,'Programa Drench'!$B$5:$AA$5,0),FALSE)),VLOOKUP($H38,'Programa Drench'!$B$6:$AA$182,MATCH(S$2,'Programa Drench'!$B$5:$AA$5,0),FALSE)),1),0)</f>
        <v>0</v>
      </c>
      <c r="T38" s="30">
        <f>IFERROR((VLOOKUP($H38,'Programa Drench'!$B$6:$AA$182,MATCH(T$2,'Programa Drench'!$B$5:$AA$5,0),FALSE)),0)</f>
        <v>0</v>
      </c>
      <c r="U38" s="36">
        <f>IFERROR((VLOOKUP($H38,'Programa Drench'!$B$6:$AA$182,MATCH(U$2,'Programa Drench'!$B$5:$AA$5,0),FALSE)*V38),0)</f>
        <v>0</v>
      </c>
      <c r="V38" s="36">
        <f t="shared" si="13"/>
        <v>0</v>
      </c>
      <c r="W38" s="89">
        <f>IFERROR(ROUND(IF($D38="SSJ",(VLOOKUP($H38,'Programa Drench'!$B$6:$AA$182,MATCH(W$2,'Programa Drench'!$B$5:$AA$5,0),FALSE)),VLOOKUP($H38,'Programa Drench'!$B$6:$AA$182,MATCH(W$2,'Programa Drench'!$B$5:$AA$5,0),FALSE)),1),0)</f>
        <v>0</v>
      </c>
      <c r="X38" s="30">
        <f>IFERROR((VLOOKUP($H38,'Programa Drench'!$B$6:$AA$182,MATCH(X$2,'Programa Drench'!$B$5:$AA$5,0),FALSE)),0)</f>
        <v>0</v>
      </c>
      <c r="Y38" s="36">
        <f>IFERROR((VLOOKUP($H38,'Programa Drench'!$B$6:$AA$182,MATCH(Y$2,'Programa Drench'!$B$5:$AA$5,0),FALSE)*Z38),0)</f>
        <v>0</v>
      </c>
      <c r="Z38" s="36">
        <f t="shared" si="14"/>
        <v>0</v>
      </c>
      <c r="AA38" s="89">
        <f>IFERROR(ROUND(IF($D38="SSJ",(VLOOKUP($H38,'Programa Drench'!$B$6:$AA$182,MATCH(AA$2,'Programa Drench'!$B$5:$AA$5,0),FALSE)),VLOOKUP($H38,'Programa Drench'!$B$6:$AA$182,MATCH(AA$2,'Programa Drench'!$B$5:$AA$5,0),FALSE)),1),0)</f>
        <v>0</v>
      </c>
      <c r="AB38" s="30">
        <f>IFERROR((VLOOKUP($H38,'Programa Drench'!$B$6:$AA$182,MATCH(AB$2,'Programa Drench'!$B$5:$AA$5,0),FALSE)),0)</f>
        <v>0</v>
      </c>
      <c r="AC38" s="83">
        <f>IFERROR((VLOOKUP($H38,'Programa Drench'!$B$6:$AA$182,MATCH(AC$2,'Programa Drench'!$B$5:$AA$5,0),FALSE)*$I38),0)</f>
        <v>0</v>
      </c>
      <c r="AD38" s="36">
        <f t="shared" si="15"/>
        <v>0</v>
      </c>
      <c r="AE38" s="36">
        <f>IFERROR(ROUND((VLOOKUP($H38,'Programa Drench'!$B$6:$AA$182,MATCH(AE$2,'Programa Drench'!$B$5:$AA$5,0),FALSE)),-1),0)</f>
        <v>0</v>
      </c>
      <c r="AF38" s="30">
        <f>IFERROR((VLOOKUP($H38,'Programa Drench'!$B$6:$AA$182,MATCH(AF$2,'Programa Drench'!$B$5:$AA$5,0),FALSE)),0)</f>
        <v>0</v>
      </c>
      <c r="AG38" s="36">
        <f>IFERROR((VLOOKUP($H38,'Programa Drench'!$B$6:$AA$182,MATCH(AG$2,'Programa Drench'!$B$5:$AA$5,0),FALSE)*AH38),0)</f>
        <v>0</v>
      </c>
      <c r="AH38" s="36">
        <f>IFERROR(ROUND((VLOOKUP($H38,'Programa Drench'!$B$6:$AA$182,MATCH(AH$2,'Programa Drench'!$B$5:$AA$5,0),FALSE)*$I38),-1),0)</f>
        <v>0</v>
      </c>
      <c r="AI38" s="89">
        <f>IFERROR((VLOOKUP($H38,'Programa Drench'!$B$6:$AA$182,MATCH(AI$2,'Programa Drench'!$B$5:$AA$5,0),FALSE)),0)</f>
        <v>0</v>
      </c>
    </row>
    <row r="39" spans="1:35" ht="15" hidden="1" customHeight="1" x14ac:dyDescent="0.2">
      <c r="A39" s="14">
        <f t="shared" si="16"/>
        <v>2572</v>
      </c>
      <c r="B39" s="77"/>
      <c r="C39" s="54"/>
      <c r="D39" s="58"/>
      <c r="E39" s="54"/>
      <c r="F39" s="54"/>
      <c r="G39" s="53" t="str">
        <f t="shared" si="1"/>
        <v/>
      </c>
      <c r="H39" s="55" t="str">
        <f t="shared" si="9"/>
        <v xml:space="preserve">2572  </v>
      </c>
      <c r="I39" s="262" t="e">
        <f>IF(D39="MM1",VLOOKUP($B39,'Inf Bloques'!$A$1:$K$453,11,FALSE)*1,VLOOKUP($B39,'Inf Bloques'!$A$1:$K$453,11,FALSE))</f>
        <v>#N/A</v>
      </c>
      <c r="J39" s="3" t="e">
        <f t="shared" si="10"/>
        <v>#N/A</v>
      </c>
      <c r="K39" s="89">
        <f>IFERROR(ROUND(IF($D39="SSJ",(VLOOKUP($H39,'Programa Drench'!$B$6:$AA$182,MATCH(K$2,'Programa Drench'!$B$5:$AA$5,0),FALSE)),VLOOKUP($H39,'Programa Drench'!$B$6:$AA$182,MATCH(K$2,'Programa Drench'!$B$5:$AA$5,0),FALSE)),1),0)</f>
        <v>0</v>
      </c>
      <c r="L39" s="30">
        <f>IFERROR((VLOOKUP($H39,'Programa Drench'!$B$6:$AA$182,MATCH(L$2,'Programa Drench'!$B$5:$AA$5,0),FALSE)),0)</f>
        <v>0</v>
      </c>
      <c r="M39" s="36">
        <f>IFERROR((VLOOKUP($H39,'Programa Drench'!$B$6:$AA$182,MATCH(M$2,'Programa Drench'!$B$5:$AA$5,0),FALSE)*N39),0)</f>
        <v>0</v>
      </c>
      <c r="N39" s="36">
        <f t="shared" si="11"/>
        <v>0</v>
      </c>
      <c r="O39" s="89">
        <f>IFERROR(ROUND(IF($D39="SSJ",(VLOOKUP($H39,'Programa Drench'!$B$6:$AA$182,MATCH(O$2,'Programa Drench'!$B$5:$AA$5,0),FALSE)),VLOOKUP($H39,'Programa Drench'!$B$6:$AA$182,MATCH(O$2,'Programa Drench'!$B$5:$AA$5,0),FALSE)),1),0)</f>
        <v>0</v>
      </c>
      <c r="P39" s="30">
        <f>IFERROR((VLOOKUP($H39,'Programa Drench'!$B$6:$AA$182,MATCH(P$2,'Programa Drench'!$B$5:$AA$5,0),FALSE)),0)</f>
        <v>0</v>
      </c>
      <c r="Q39" s="36">
        <f>IFERROR((VLOOKUP($H39,'Programa Drench'!$B$6:$AA$182,MATCH(Q$2,'Programa Drench'!$B$5:$AA$5,0),FALSE)*R39),0)</f>
        <v>0</v>
      </c>
      <c r="R39" s="36">
        <f t="shared" si="12"/>
        <v>0</v>
      </c>
      <c r="S39" s="89">
        <f>IFERROR(ROUND(IF($D39="SSJ",(VLOOKUP($H39,'Programa Drench'!$B$6:$AA$182,MATCH(S$2,'Programa Drench'!$B$5:$AA$5,0),FALSE)),VLOOKUP($H39,'Programa Drench'!$B$6:$AA$182,MATCH(S$2,'Programa Drench'!$B$5:$AA$5,0),FALSE)),1),0)</f>
        <v>0</v>
      </c>
      <c r="T39" s="30">
        <f>IFERROR((VLOOKUP($H39,'Programa Drench'!$B$6:$AA$182,MATCH(T$2,'Programa Drench'!$B$5:$AA$5,0),FALSE)),0)</f>
        <v>0</v>
      </c>
      <c r="U39" s="36">
        <f>IFERROR((VLOOKUP($H39,'Programa Drench'!$B$6:$AA$182,MATCH(U$2,'Programa Drench'!$B$5:$AA$5,0),FALSE)*V39),0)</f>
        <v>0</v>
      </c>
      <c r="V39" s="36">
        <f t="shared" si="13"/>
        <v>0</v>
      </c>
      <c r="W39" s="89">
        <f>IFERROR(ROUND(IF($D39="SSJ",(VLOOKUP($H39,'Programa Drench'!$B$6:$AA$182,MATCH(W$2,'Programa Drench'!$B$5:$AA$5,0),FALSE)),VLOOKUP($H39,'Programa Drench'!$B$6:$AA$182,MATCH(W$2,'Programa Drench'!$B$5:$AA$5,0),FALSE)),1),0)</f>
        <v>0</v>
      </c>
      <c r="X39" s="30">
        <f>IFERROR((VLOOKUP($H39,'Programa Drench'!$B$6:$AA$182,MATCH(X$2,'Programa Drench'!$B$5:$AA$5,0),FALSE)),0)</f>
        <v>0</v>
      </c>
      <c r="Y39" s="36">
        <f>IFERROR((VLOOKUP($H39,'Programa Drench'!$B$6:$AA$182,MATCH(Y$2,'Programa Drench'!$B$5:$AA$5,0),FALSE)*Z39),0)</f>
        <v>0</v>
      </c>
      <c r="Z39" s="36">
        <f t="shared" si="14"/>
        <v>0</v>
      </c>
      <c r="AA39" s="89">
        <f>IFERROR(ROUND(IF($D39="SSJ",(VLOOKUP($H39,'Programa Drench'!$B$6:$AA$182,MATCH(AA$2,'Programa Drench'!$B$5:$AA$5,0),FALSE)),VLOOKUP($H39,'Programa Drench'!$B$6:$AA$182,MATCH(AA$2,'Programa Drench'!$B$5:$AA$5,0),FALSE)),1),0)</f>
        <v>0</v>
      </c>
      <c r="AB39" s="30">
        <f>IFERROR((VLOOKUP($H39,'Programa Drench'!$B$6:$AA$182,MATCH(AB$2,'Programa Drench'!$B$5:$AA$5,0),FALSE)),0)</f>
        <v>0</v>
      </c>
      <c r="AC39" s="83">
        <f>IFERROR((VLOOKUP($H39,'Programa Drench'!$B$6:$AA$182,MATCH(AC$2,'Programa Drench'!$B$5:$AA$5,0),FALSE)*$I39),0)</f>
        <v>0</v>
      </c>
      <c r="AD39" s="36">
        <f t="shared" si="15"/>
        <v>0</v>
      </c>
      <c r="AE39" s="36">
        <f>IFERROR(ROUND((VLOOKUP($H39,'Programa Drench'!$B$6:$AA$182,MATCH(AE$2,'Programa Drench'!$B$5:$AA$5,0),FALSE)),-1),0)</f>
        <v>0</v>
      </c>
      <c r="AF39" s="30">
        <f>IFERROR((VLOOKUP($H39,'Programa Drench'!$B$6:$AA$182,MATCH(AF$2,'Programa Drench'!$B$5:$AA$5,0),FALSE)),0)</f>
        <v>0</v>
      </c>
      <c r="AG39" s="36">
        <f>IFERROR((VLOOKUP($H39,'Programa Drench'!$B$6:$AA$182,MATCH(AG$2,'Programa Drench'!$B$5:$AA$5,0),FALSE)*AH39),0)</f>
        <v>0</v>
      </c>
      <c r="AH39" s="36">
        <f>IFERROR(ROUND((VLOOKUP($H39,'Programa Drench'!$B$6:$AA$182,MATCH(AH$2,'Programa Drench'!$B$5:$AA$5,0),FALSE)*$I39),-1),0)</f>
        <v>0</v>
      </c>
      <c r="AI39" s="89">
        <f>IFERROR((VLOOKUP($H39,'Programa Drench'!$B$6:$AA$182,MATCH(AI$2,'Programa Drench'!$B$5:$AA$5,0),FALSE)),0)</f>
        <v>0</v>
      </c>
    </row>
    <row r="40" spans="1:35" ht="15" hidden="1" customHeight="1" x14ac:dyDescent="0.2">
      <c r="A40" s="14">
        <f t="shared" si="16"/>
        <v>2572</v>
      </c>
      <c r="B40" s="77"/>
      <c r="C40" s="54"/>
      <c r="D40" s="58"/>
      <c r="E40" s="54"/>
      <c r="F40" s="54"/>
      <c r="G40" s="53" t="str">
        <f t="shared" si="1"/>
        <v/>
      </c>
      <c r="H40" s="55" t="str">
        <f t="shared" si="9"/>
        <v xml:space="preserve">2572  </v>
      </c>
      <c r="I40" s="262" t="e">
        <f>IF(D40="MM1",VLOOKUP($B40,'Inf Bloques'!$A$1:$K$453,11,FALSE)*1,VLOOKUP($B40,'Inf Bloques'!$A$1:$K$453,11,FALSE))</f>
        <v>#N/A</v>
      </c>
      <c r="J40" s="3" t="e">
        <f t="shared" si="10"/>
        <v>#N/A</v>
      </c>
      <c r="K40" s="89">
        <f>IFERROR(ROUND(IF($D40="SSJ",(VLOOKUP($H40,'Programa Drench'!$B$6:$AA$182,MATCH(K$2,'Programa Drench'!$B$5:$AA$5,0),FALSE)),VLOOKUP($H40,'Programa Drench'!$B$6:$AA$182,MATCH(K$2,'Programa Drench'!$B$5:$AA$5,0),FALSE)),1),0)</f>
        <v>0</v>
      </c>
      <c r="L40" s="30">
        <f>IFERROR((VLOOKUP($H40,'Programa Drench'!$B$6:$AA$182,MATCH(L$2,'Programa Drench'!$B$5:$AA$5,0),FALSE)),0)</f>
        <v>0</v>
      </c>
      <c r="M40" s="36">
        <f>IFERROR((VLOOKUP($H40,'Programa Drench'!$B$6:$AA$182,MATCH(M$2,'Programa Drench'!$B$5:$AA$5,0),FALSE)*N40),0)</f>
        <v>0</v>
      </c>
      <c r="N40" s="36">
        <f t="shared" si="11"/>
        <v>0</v>
      </c>
      <c r="O40" s="89">
        <f>IFERROR(ROUND(IF($D40="SSJ",(VLOOKUP($H40,'Programa Drench'!$B$6:$AA$182,MATCH(O$2,'Programa Drench'!$B$5:$AA$5,0),FALSE)),VLOOKUP($H40,'Programa Drench'!$B$6:$AA$182,MATCH(O$2,'Programa Drench'!$B$5:$AA$5,0),FALSE)),1),0)</f>
        <v>0</v>
      </c>
      <c r="P40" s="30">
        <f>IFERROR((VLOOKUP($H40,'Programa Drench'!$B$6:$AA$182,MATCH(P$2,'Programa Drench'!$B$5:$AA$5,0),FALSE)),0)</f>
        <v>0</v>
      </c>
      <c r="Q40" s="36">
        <f>IFERROR((VLOOKUP($H40,'Programa Drench'!$B$6:$AA$182,MATCH(Q$2,'Programa Drench'!$B$5:$AA$5,0),FALSE)*R40),0)</f>
        <v>0</v>
      </c>
      <c r="R40" s="36">
        <f t="shared" si="12"/>
        <v>0</v>
      </c>
      <c r="S40" s="89">
        <f>IFERROR(ROUND(IF($D40="SSJ",(VLOOKUP($H40,'Programa Drench'!$B$6:$AA$182,MATCH(S$2,'Programa Drench'!$B$5:$AA$5,0),FALSE)),VLOOKUP($H40,'Programa Drench'!$B$6:$AA$182,MATCH(S$2,'Programa Drench'!$B$5:$AA$5,0),FALSE)),1),0)</f>
        <v>0</v>
      </c>
      <c r="T40" s="30">
        <f>IFERROR((VLOOKUP($H40,'Programa Drench'!$B$6:$AA$182,MATCH(T$2,'Programa Drench'!$B$5:$AA$5,0),FALSE)),0)</f>
        <v>0</v>
      </c>
      <c r="U40" s="36">
        <f>IFERROR((VLOOKUP($H40,'Programa Drench'!$B$6:$AA$182,MATCH(U$2,'Programa Drench'!$B$5:$AA$5,0),FALSE)*V40),0)</f>
        <v>0</v>
      </c>
      <c r="V40" s="36">
        <f t="shared" si="13"/>
        <v>0</v>
      </c>
      <c r="W40" s="89">
        <f>IFERROR(ROUND(IF($D40="SSJ",(VLOOKUP($H40,'Programa Drench'!$B$6:$AA$182,MATCH(W$2,'Programa Drench'!$B$5:$AA$5,0),FALSE)),VLOOKUP($H40,'Programa Drench'!$B$6:$AA$182,MATCH(W$2,'Programa Drench'!$B$5:$AA$5,0),FALSE)),1),0)</f>
        <v>0</v>
      </c>
      <c r="X40" s="30">
        <f>IFERROR((VLOOKUP($H40,'Programa Drench'!$B$6:$AA$182,MATCH(X$2,'Programa Drench'!$B$5:$AA$5,0),FALSE)),0)</f>
        <v>0</v>
      </c>
      <c r="Y40" s="36">
        <f>IFERROR((VLOOKUP($H40,'Programa Drench'!$B$6:$AA$182,MATCH(Y$2,'Programa Drench'!$B$5:$AA$5,0),FALSE)*Z40),0)</f>
        <v>0</v>
      </c>
      <c r="Z40" s="36">
        <f t="shared" si="14"/>
        <v>0</v>
      </c>
      <c r="AA40" s="89">
        <f>IFERROR(ROUND(IF($D40="SSJ",(VLOOKUP($H40,'Programa Drench'!$B$6:$AA$182,MATCH(AA$2,'Programa Drench'!$B$5:$AA$5,0),FALSE)),VLOOKUP($H40,'Programa Drench'!$B$6:$AA$182,MATCH(AA$2,'Programa Drench'!$B$5:$AA$5,0),FALSE)),1),0)</f>
        <v>0</v>
      </c>
      <c r="AB40" s="30">
        <f>IFERROR((VLOOKUP($H40,'Programa Drench'!$B$6:$AA$182,MATCH(AB$2,'Programa Drench'!$B$5:$AA$5,0),FALSE)),0)</f>
        <v>0</v>
      </c>
      <c r="AC40" s="83">
        <f>IFERROR((VLOOKUP($H40,'Programa Drench'!$B$6:$AA$182,MATCH(AC$2,'Programa Drench'!$B$5:$AA$5,0),FALSE)*$I40),0)</f>
        <v>0</v>
      </c>
      <c r="AD40" s="36">
        <f t="shared" si="15"/>
        <v>0</v>
      </c>
      <c r="AE40" s="36">
        <f>IFERROR(ROUND((VLOOKUP($H40,'Programa Drench'!$B$6:$AA$182,MATCH(AE$2,'Programa Drench'!$B$5:$AA$5,0),FALSE)),-1),0)</f>
        <v>0</v>
      </c>
      <c r="AF40" s="30">
        <f>IFERROR((VLOOKUP($H40,'Programa Drench'!$B$6:$AA$182,MATCH(AF$2,'Programa Drench'!$B$5:$AA$5,0),FALSE)),0)</f>
        <v>0</v>
      </c>
      <c r="AG40" s="36">
        <f>IFERROR((VLOOKUP($H40,'Programa Drench'!$B$6:$AA$182,MATCH(AG$2,'Programa Drench'!$B$5:$AA$5,0),FALSE)*AH40),0)</f>
        <v>0</v>
      </c>
      <c r="AH40" s="36">
        <f>IFERROR(ROUND((VLOOKUP($H40,'Programa Drench'!$B$6:$AA$182,MATCH(AH$2,'Programa Drench'!$B$5:$AA$5,0),FALSE)*$I40),-1),0)</f>
        <v>0</v>
      </c>
      <c r="AI40" s="89">
        <f>IFERROR((VLOOKUP($H40,'Programa Drench'!$B$6:$AA$182,MATCH(AI$2,'Programa Drench'!$B$5:$AA$5,0),FALSE)),0)</f>
        <v>0</v>
      </c>
    </row>
    <row r="41" spans="1:35" ht="15" hidden="1" customHeight="1" x14ac:dyDescent="0.2">
      <c r="A41" s="14">
        <f t="shared" si="16"/>
        <v>2572</v>
      </c>
      <c r="B41" s="77"/>
      <c r="C41" s="54"/>
      <c r="D41" s="54"/>
      <c r="E41" s="54"/>
      <c r="F41" s="54"/>
      <c r="G41" s="53" t="str">
        <f t="shared" si="1"/>
        <v/>
      </c>
      <c r="H41" s="55" t="str">
        <f t="shared" si="9"/>
        <v xml:space="preserve">2572  </v>
      </c>
      <c r="I41" s="262" t="e">
        <f>IF(D41="MM1",VLOOKUP($B41,'Inf Bloques'!$A$1:$K$453,11,FALSE)*1,VLOOKUP($B41,'Inf Bloques'!$A$1:$K$453,11,FALSE))</f>
        <v>#N/A</v>
      </c>
      <c r="J41" s="3" t="e">
        <f t="shared" si="10"/>
        <v>#N/A</v>
      </c>
      <c r="K41" s="89">
        <f>IFERROR(ROUND(IF($D41="SSJ",(VLOOKUP($H41,'Programa Drench'!$B$6:$AA$182,MATCH(K$2,'Programa Drench'!$B$5:$AA$5,0),FALSE)),VLOOKUP($H41,'Programa Drench'!$B$6:$AA$182,MATCH(K$2,'Programa Drench'!$B$5:$AA$5,0),FALSE)),1),0)</f>
        <v>0</v>
      </c>
      <c r="L41" s="30">
        <f>IFERROR((VLOOKUP($H41,'Programa Drench'!$B$6:$AA$182,MATCH(L$2,'Programa Drench'!$B$5:$AA$5,0),FALSE)),0)</f>
        <v>0</v>
      </c>
      <c r="M41" s="36">
        <f>IFERROR((VLOOKUP($H41,'Programa Drench'!$B$6:$AA$182,MATCH(M$2,'Programa Drench'!$B$5:$AA$5,0),FALSE)*N41),0)</f>
        <v>0</v>
      </c>
      <c r="N41" s="36">
        <f t="shared" si="11"/>
        <v>0</v>
      </c>
      <c r="O41" s="89">
        <f>IFERROR(ROUND(IF($D41="SSJ",(VLOOKUP($H41,'Programa Drench'!$B$6:$AA$182,MATCH(O$2,'Programa Drench'!$B$5:$AA$5,0),FALSE)),VLOOKUP($H41,'Programa Drench'!$B$6:$AA$182,MATCH(O$2,'Programa Drench'!$B$5:$AA$5,0),FALSE)),1),0)</f>
        <v>0</v>
      </c>
      <c r="P41" s="30">
        <f>IFERROR((VLOOKUP($H41,'Programa Drench'!$B$6:$AA$182,MATCH(P$2,'Programa Drench'!$B$5:$AA$5,0),FALSE)),0)</f>
        <v>0</v>
      </c>
      <c r="Q41" s="36">
        <f>IFERROR((VLOOKUP($H41,'Programa Drench'!$B$6:$AA$182,MATCH(Q$2,'Programa Drench'!$B$5:$AA$5,0),FALSE)*R41),0)</f>
        <v>0</v>
      </c>
      <c r="R41" s="36">
        <f t="shared" si="12"/>
        <v>0</v>
      </c>
      <c r="S41" s="89">
        <f>IFERROR(ROUND(IF($D41="SSJ",(VLOOKUP($H41,'Programa Drench'!$B$6:$AA$182,MATCH(S$2,'Programa Drench'!$B$5:$AA$5,0),FALSE)),VLOOKUP($H41,'Programa Drench'!$B$6:$AA$182,MATCH(S$2,'Programa Drench'!$B$5:$AA$5,0),FALSE)),1),0)</f>
        <v>0</v>
      </c>
      <c r="T41" s="30">
        <f>IFERROR((VLOOKUP($H41,'Programa Drench'!$B$6:$AA$182,MATCH(T$2,'Programa Drench'!$B$5:$AA$5,0),FALSE)),0)</f>
        <v>0</v>
      </c>
      <c r="U41" s="36">
        <f>IFERROR((VLOOKUP($H41,'Programa Drench'!$B$6:$AA$182,MATCH(U$2,'Programa Drench'!$B$5:$AA$5,0),FALSE)*V41),0)</f>
        <v>0</v>
      </c>
      <c r="V41" s="36">
        <f t="shared" si="13"/>
        <v>0</v>
      </c>
      <c r="W41" s="89">
        <f>IFERROR(ROUND(IF($D41="SSJ",(VLOOKUP($H41,'Programa Drench'!$B$6:$AA$182,MATCH(W$2,'Programa Drench'!$B$5:$AA$5,0),FALSE)),VLOOKUP($H41,'Programa Drench'!$B$6:$AA$182,MATCH(W$2,'Programa Drench'!$B$5:$AA$5,0),FALSE)),1),0)</f>
        <v>0</v>
      </c>
      <c r="X41" s="30">
        <f>IFERROR((VLOOKUP($H41,'Programa Drench'!$B$6:$AA$182,MATCH(X$2,'Programa Drench'!$B$5:$AA$5,0),FALSE)),0)</f>
        <v>0</v>
      </c>
      <c r="Y41" s="36">
        <f>IFERROR((VLOOKUP($H41,'Programa Drench'!$B$6:$AA$182,MATCH(Y$2,'Programa Drench'!$B$5:$AA$5,0),FALSE)*Z41),0)</f>
        <v>0</v>
      </c>
      <c r="Z41" s="36">
        <f t="shared" si="14"/>
        <v>0</v>
      </c>
      <c r="AA41" s="89">
        <f>IFERROR(ROUND(IF($D41="SSJ",(VLOOKUP($H41,'Programa Drench'!$B$6:$AA$182,MATCH(AA$2,'Programa Drench'!$B$5:$AA$5,0),FALSE)),VLOOKUP($H41,'Programa Drench'!$B$6:$AA$182,MATCH(AA$2,'Programa Drench'!$B$5:$AA$5,0),FALSE)),1),0)</f>
        <v>0</v>
      </c>
      <c r="AB41" s="30">
        <f>IFERROR((VLOOKUP($H41,'Programa Drench'!$B$6:$AA$182,MATCH(AB$2,'Programa Drench'!$B$5:$AA$5,0),FALSE)),0)</f>
        <v>0</v>
      </c>
      <c r="AC41" s="83">
        <f>IFERROR((VLOOKUP($H41,'Programa Drench'!$B$6:$AA$182,MATCH(AC$2,'Programa Drench'!$B$5:$AA$5,0),FALSE)*$I41),0)</f>
        <v>0</v>
      </c>
      <c r="AD41" s="36">
        <f t="shared" si="15"/>
        <v>0</v>
      </c>
      <c r="AE41" s="36">
        <f>IFERROR(ROUND((VLOOKUP($H41,'Programa Drench'!$B$6:$AA$182,MATCH(AE$2,'Programa Drench'!$B$5:$AA$5,0),FALSE)),-1),0)</f>
        <v>0</v>
      </c>
      <c r="AF41" s="30">
        <f>IFERROR((VLOOKUP($H41,'Programa Drench'!$B$6:$AA$182,MATCH(AF$2,'Programa Drench'!$B$5:$AA$5,0),FALSE)),0)</f>
        <v>0</v>
      </c>
      <c r="AG41" s="36">
        <f>IFERROR((VLOOKUP($H41,'Programa Drench'!$B$6:$AA$182,MATCH(AG$2,'Programa Drench'!$B$5:$AA$5,0),FALSE)*AH41),0)</f>
        <v>0</v>
      </c>
      <c r="AH41" s="36">
        <f>IFERROR(ROUND((VLOOKUP($H41,'Programa Drench'!$B$6:$AA$182,MATCH(AH$2,'Programa Drench'!$B$5:$AA$5,0),FALSE)*$I41),-1),0)</f>
        <v>0</v>
      </c>
      <c r="AI41" s="89">
        <f>IFERROR((VLOOKUP($H41,'Programa Drench'!$B$6:$AA$182,MATCH(AI$2,'Programa Drench'!$B$5:$AA$5,0),FALSE)),0)</f>
        <v>0</v>
      </c>
    </row>
    <row r="42" spans="1:35" ht="15" hidden="1" customHeight="1" x14ac:dyDescent="0.2">
      <c r="A42" s="14">
        <f t="shared" si="16"/>
        <v>2572</v>
      </c>
      <c r="B42" s="77"/>
      <c r="C42" s="54"/>
      <c r="D42" s="54"/>
      <c r="E42" s="54"/>
      <c r="F42" s="54"/>
      <c r="G42" s="53" t="str">
        <f t="shared" si="1"/>
        <v/>
      </c>
      <c r="H42" s="55" t="str">
        <f t="shared" si="9"/>
        <v xml:space="preserve">2572  </v>
      </c>
      <c r="I42" s="262" t="e">
        <f>IF(D42="MM1",VLOOKUP($B42,'Inf Bloques'!$A$1:$K$453,11,FALSE)*1,VLOOKUP($B42,'Inf Bloques'!$A$1:$K$453,11,FALSE))</f>
        <v>#N/A</v>
      </c>
      <c r="J42" s="3" t="e">
        <f t="shared" si="10"/>
        <v>#N/A</v>
      </c>
      <c r="K42" s="89">
        <f>IFERROR(ROUND(IF($D42="SSJ",(VLOOKUP($H42,'Programa Drench'!$B$6:$AA$182,MATCH(K$2,'Programa Drench'!$B$5:$AA$5,0),FALSE)),VLOOKUP($H42,'Programa Drench'!$B$6:$AA$182,MATCH(K$2,'Programa Drench'!$B$5:$AA$5,0),FALSE)),1),0)</f>
        <v>0</v>
      </c>
      <c r="L42" s="30">
        <f>IFERROR((VLOOKUP($H42,'Programa Drench'!$B$6:$AA$182,MATCH(L$2,'Programa Drench'!$B$5:$AA$5,0),FALSE)),0)</f>
        <v>0</v>
      </c>
      <c r="M42" s="36">
        <f>IFERROR((VLOOKUP($H42,'Programa Drench'!$B$6:$AA$182,MATCH(M$2,'Programa Drench'!$B$5:$AA$5,0),FALSE)*N42),0)</f>
        <v>0</v>
      </c>
      <c r="N42" s="36">
        <f t="shared" si="11"/>
        <v>0</v>
      </c>
      <c r="O42" s="89">
        <f>IFERROR(ROUND(IF($D42="SSJ",(VLOOKUP($H42,'Programa Drench'!$B$6:$AA$182,MATCH(O$2,'Programa Drench'!$B$5:$AA$5,0),FALSE)),VLOOKUP($H42,'Programa Drench'!$B$6:$AA$182,MATCH(O$2,'Programa Drench'!$B$5:$AA$5,0),FALSE)),1),0)</f>
        <v>0</v>
      </c>
      <c r="P42" s="30">
        <f>IFERROR((VLOOKUP($H42,'Programa Drench'!$B$6:$AA$182,MATCH(P$2,'Programa Drench'!$B$5:$AA$5,0),FALSE)),0)</f>
        <v>0</v>
      </c>
      <c r="Q42" s="36">
        <f>IFERROR((VLOOKUP($H42,'Programa Drench'!$B$6:$AA$182,MATCH(Q$2,'Programa Drench'!$B$5:$AA$5,0),FALSE)*R42),0)</f>
        <v>0</v>
      </c>
      <c r="R42" s="36">
        <f t="shared" si="12"/>
        <v>0</v>
      </c>
      <c r="S42" s="89">
        <f>IFERROR(ROUND(IF($D42="SSJ",(VLOOKUP($H42,'Programa Drench'!$B$6:$AA$182,MATCH(S$2,'Programa Drench'!$B$5:$AA$5,0),FALSE)),VLOOKUP($H42,'Programa Drench'!$B$6:$AA$182,MATCH(S$2,'Programa Drench'!$B$5:$AA$5,0),FALSE)),1),0)</f>
        <v>0</v>
      </c>
      <c r="T42" s="30">
        <f>IFERROR((VLOOKUP($H42,'Programa Drench'!$B$6:$AA$182,MATCH(T$2,'Programa Drench'!$B$5:$AA$5,0),FALSE)),0)</f>
        <v>0</v>
      </c>
      <c r="U42" s="36">
        <f>IFERROR((VLOOKUP($H42,'Programa Drench'!$B$6:$AA$182,MATCH(U$2,'Programa Drench'!$B$5:$AA$5,0),FALSE)*V42),0)</f>
        <v>0</v>
      </c>
      <c r="V42" s="36">
        <f t="shared" si="13"/>
        <v>0</v>
      </c>
      <c r="W42" s="89">
        <f>IFERROR(ROUND(IF($D42="SSJ",(VLOOKUP($H42,'Programa Drench'!$B$6:$AA$182,MATCH(W$2,'Programa Drench'!$B$5:$AA$5,0),FALSE)),VLOOKUP($H42,'Programa Drench'!$B$6:$AA$182,MATCH(W$2,'Programa Drench'!$B$5:$AA$5,0),FALSE)),1),0)</f>
        <v>0</v>
      </c>
      <c r="X42" s="30">
        <f>IFERROR((VLOOKUP($H42,'Programa Drench'!$B$6:$AA$182,MATCH(X$2,'Programa Drench'!$B$5:$AA$5,0),FALSE)),0)</f>
        <v>0</v>
      </c>
      <c r="Y42" s="36">
        <f>IFERROR((VLOOKUP($H42,'Programa Drench'!$B$6:$AA$182,MATCH(Y$2,'Programa Drench'!$B$5:$AA$5,0),FALSE)*Z42),0)</f>
        <v>0</v>
      </c>
      <c r="Z42" s="36">
        <f t="shared" si="14"/>
        <v>0</v>
      </c>
      <c r="AA42" s="89">
        <f>IFERROR(ROUND(IF($D42="SSJ",(VLOOKUP($H42,'Programa Drench'!$B$6:$AA$182,MATCH(AA$2,'Programa Drench'!$B$5:$AA$5,0),FALSE)),VLOOKUP($H42,'Programa Drench'!$B$6:$AA$182,MATCH(AA$2,'Programa Drench'!$B$5:$AA$5,0),FALSE)),1),0)</f>
        <v>0</v>
      </c>
      <c r="AB42" s="30">
        <f>IFERROR((VLOOKUP($H42,'Programa Drench'!$B$6:$AA$182,MATCH(AB$2,'Programa Drench'!$B$5:$AA$5,0),FALSE)),0)</f>
        <v>0</v>
      </c>
      <c r="AC42" s="83">
        <f>IFERROR((VLOOKUP($H42,'Programa Drench'!$B$6:$AA$182,MATCH(AC$2,'Programa Drench'!$B$5:$AA$5,0),FALSE)*$I42),0)</f>
        <v>0</v>
      </c>
      <c r="AD42" s="36">
        <f t="shared" si="15"/>
        <v>0</v>
      </c>
      <c r="AE42" s="36">
        <f>IFERROR(ROUND((VLOOKUP($H42,'Programa Drench'!$B$6:$AA$182,MATCH(AE$2,'Programa Drench'!$B$5:$AA$5,0),FALSE)),-1),0)</f>
        <v>0</v>
      </c>
      <c r="AF42" s="30">
        <f>IFERROR((VLOOKUP($H42,'Programa Drench'!$B$6:$AA$182,MATCH(AF$2,'Programa Drench'!$B$5:$AA$5,0),FALSE)),0)</f>
        <v>0</v>
      </c>
      <c r="AG42" s="36">
        <f>IFERROR((VLOOKUP($H42,'Programa Drench'!$B$6:$AA$182,MATCH(AG$2,'Programa Drench'!$B$5:$AA$5,0),FALSE)*AH42),0)</f>
        <v>0</v>
      </c>
      <c r="AH42" s="36">
        <f>IFERROR(ROUND((VLOOKUP($H42,'Programa Drench'!$B$6:$AA$182,MATCH(AH$2,'Programa Drench'!$B$5:$AA$5,0),FALSE)*$I42),-1),0)</f>
        <v>0</v>
      </c>
      <c r="AI42" s="89">
        <f>IFERROR((VLOOKUP($H42,'Programa Drench'!$B$6:$AA$182,MATCH(AI$2,'Programa Drench'!$B$5:$AA$5,0),FALSE)),0)</f>
        <v>0</v>
      </c>
    </row>
    <row r="43" spans="1:35" ht="15" hidden="1" customHeight="1" x14ac:dyDescent="0.2">
      <c r="A43" s="14">
        <f t="shared" si="16"/>
        <v>2572</v>
      </c>
      <c r="B43" s="77"/>
      <c r="C43" s="54"/>
      <c r="D43" s="54"/>
      <c r="E43" s="54"/>
      <c r="F43" s="54"/>
      <c r="G43" s="53" t="str">
        <f t="shared" si="1"/>
        <v/>
      </c>
      <c r="H43" s="55" t="str">
        <f t="shared" si="9"/>
        <v xml:space="preserve">2572  </v>
      </c>
      <c r="I43" s="262" t="e">
        <f>IF(D43="MM1",VLOOKUP($B43,'Inf Bloques'!$A$1:$K$453,11,FALSE)*1,VLOOKUP($B43,'Inf Bloques'!$A$1:$K$453,11,FALSE))</f>
        <v>#N/A</v>
      </c>
      <c r="J43" s="3" t="e">
        <f t="shared" si="10"/>
        <v>#N/A</v>
      </c>
      <c r="K43" s="89">
        <f>IFERROR(ROUND(IF($D43="SSJ",(VLOOKUP($H43,'Programa Drench'!$B$6:$AA$182,MATCH(K$2,'Programa Drench'!$B$5:$AA$5,0),FALSE)),VLOOKUP($H43,'Programa Drench'!$B$6:$AA$182,MATCH(K$2,'Programa Drench'!$B$5:$AA$5,0),FALSE)),1),0)</f>
        <v>0</v>
      </c>
      <c r="L43" s="30">
        <f>IFERROR((VLOOKUP($H43,'Programa Drench'!$B$6:$AA$182,MATCH(L$2,'Programa Drench'!$B$5:$AA$5,0),FALSE)),0)</f>
        <v>0</v>
      </c>
      <c r="M43" s="36">
        <f>IFERROR((VLOOKUP($H43,'Programa Drench'!$B$6:$AA$182,MATCH(M$2,'Programa Drench'!$B$5:$AA$5,0),FALSE)*N43),0)</f>
        <v>0</v>
      </c>
      <c r="N43" s="36">
        <f t="shared" si="11"/>
        <v>0</v>
      </c>
      <c r="O43" s="89">
        <f>IFERROR(ROUND(IF($D43="SSJ",(VLOOKUP($H43,'Programa Drench'!$B$6:$AA$182,MATCH(O$2,'Programa Drench'!$B$5:$AA$5,0),FALSE)),VLOOKUP($H43,'Programa Drench'!$B$6:$AA$182,MATCH(O$2,'Programa Drench'!$B$5:$AA$5,0),FALSE)),1),0)</f>
        <v>0</v>
      </c>
      <c r="P43" s="30">
        <f>IFERROR((VLOOKUP($H43,'Programa Drench'!$B$6:$AA$182,MATCH(P$2,'Programa Drench'!$B$5:$AA$5,0),FALSE)),0)</f>
        <v>0</v>
      </c>
      <c r="Q43" s="36">
        <f>IFERROR((VLOOKUP($H43,'Programa Drench'!$B$6:$AA$182,MATCH(Q$2,'Programa Drench'!$B$5:$AA$5,0),FALSE)*R43),0)</f>
        <v>0</v>
      </c>
      <c r="R43" s="36">
        <f t="shared" si="12"/>
        <v>0</v>
      </c>
      <c r="S43" s="89">
        <f>IFERROR(ROUND(IF($D43="SSJ",(VLOOKUP($H43,'Programa Drench'!$B$6:$AA$182,MATCH(S$2,'Programa Drench'!$B$5:$AA$5,0),FALSE)),VLOOKUP($H43,'Programa Drench'!$B$6:$AA$182,MATCH(S$2,'Programa Drench'!$B$5:$AA$5,0),FALSE)),1),0)</f>
        <v>0</v>
      </c>
      <c r="T43" s="30">
        <f>IFERROR((VLOOKUP($H43,'Programa Drench'!$B$6:$AA$182,MATCH(T$2,'Programa Drench'!$B$5:$AA$5,0),FALSE)),0)</f>
        <v>0</v>
      </c>
      <c r="U43" s="36">
        <f>IFERROR((VLOOKUP($H43,'Programa Drench'!$B$6:$AA$182,MATCH(U$2,'Programa Drench'!$B$5:$AA$5,0),FALSE)*V43),0)</f>
        <v>0</v>
      </c>
      <c r="V43" s="36">
        <f t="shared" si="13"/>
        <v>0</v>
      </c>
      <c r="W43" s="89">
        <f>IFERROR(ROUND(IF($D43="SSJ",(VLOOKUP($H43,'Programa Drench'!$B$6:$AA$182,MATCH(W$2,'Programa Drench'!$B$5:$AA$5,0),FALSE)),VLOOKUP($H43,'Programa Drench'!$B$6:$AA$182,MATCH(W$2,'Programa Drench'!$B$5:$AA$5,0),FALSE)),1),0)</f>
        <v>0</v>
      </c>
      <c r="X43" s="30">
        <f>IFERROR((VLOOKUP($H43,'Programa Drench'!$B$6:$AA$182,MATCH(X$2,'Programa Drench'!$B$5:$AA$5,0),FALSE)),0)</f>
        <v>0</v>
      </c>
      <c r="Y43" s="36">
        <f>IFERROR((VLOOKUP($H43,'Programa Drench'!$B$6:$AA$182,MATCH(Y$2,'Programa Drench'!$B$5:$AA$5,0),FALSE)*Z43),0)</f>
        <v>0</v>
      </c>
      <c r="Z43" s="36">
        <f t="shared" si="14"/>
        <v>0</v>
      </c>
      <c r="AA43" s="89">
        <f>IFERROR(ROUND(IF($D43="SSJ",(VLOOKUP($H43,'Programa Drench'!$B$6:$AA$182,MATCH(AA$2,'Programa Drench'!$B$5:$AA$5,0),FALSE)),VLOOKUP($H43,'Programa Drench'!$B$6:$AA$182,MATCH(AA$2,'Programa Drench'!$B$5:$AA$5,0),FALSE)),1),0)</f>
        <v>0</v>
      </c>
      <c r="AB43" s="30">
        <f>IFERROR((VLOOKUP($H43,'Programa Drench'!$B$6:$AA$182,MATCH(AB$2,'Programa Drench'!$B$5:$AA$5,0),FALSE)),0)</f>
        <v>0</v>
      </c>
      <c r="AC43" s="83">
        <f>IFERROR((VLOOKUP($H43,'Programa Drench'!$B$6:$AA$182,MATCH(AC$2,'Programa Drench'!$B$5:$AA$5,0),FALSE)*$I43),0)</f>
        <v>0</v>
      </c>
      <c r="AD43" s="36">
        <f t="shared" si="15"/>
        <v>0</v>
      </c>
      <c r="AE43" s="36">
        <f>IFERROR(ROUND((VLOOKUP($H43,'Programa Drench'!$B$6:$AA$182,MATCH(AE$2,'Programa Drench'!$B$5:$AA$5,0),FALSE)),-1),0)</f>
        <v>0</v>
      </c>
      <c r="AF43" s="30">
        <f>IFERROR((VLOOKUP($H43,'Programa Drench'!$B$6:$AA$182,MATCH(AF$2,'Programa Drench'!$B$5:$AA$5,0),FALSE)),0)</f>
        <v>0</v>
      </c>
      <c r="AG43" s="36">
        <f>IFERROR((VLOOKUP($H43,'Programa Drench'!$B$6:$AA$182,MATCH(AG$2,'Programa Drench'!$B$5:$AA$5,0),FALSE)*AH43),0)</f>
        <v>0</v>
      </c>
      <c r="AH43" s="36">
        <f>IFERROR(ROUND((VLOOKUP($H43,'Programa Drench'!$B$6:$AA$182,MATCH(AH$2,'Programa Drench'!$B$5:$AA$5,0),FALSE)*$I43),-1),0)</f>
        <v>0</v>
      </c>
      <c r="AI43" s="89">
        <f>IFERROR((VLOOKUP($H43,'Programa Drench'!$B$6:$AA$182,MATCH(AI$2,'Programa Drench'!$B$5:$AA$5,0),FALSE)),0)</f>
        <v>0</v>
      </c>
    </row>
    <row r="44" spans="1:35" ht="15" hidden="1" customHeight="1" x14ac:dyDescent="0.2">
      <c r="A44" s="14">
        <f t="shared" si="16"/>
        <v>2572</v>
      </c>
      <c r="B44" s="77"/>
      <c r="C44" s="54"/>
      <c r="D44" s="54"/>
      <c r="E44" s="54"/>
      <c r="F44" s="54"/>
      <c r="G44" s="53" t="str">
        <f t="shared" si="1"/>
        <v/>
      </c>
      <c r="H44" s="55" t="str">
        <f t="shared" si="9"/>
        <v xml:space="preserve">2572  </v>
      </c>
      <c r="I44" s="262" t="e">
        <f>IF(D44="MM1",VLOOKUP($B44,'Inf Bloques'!$A$1:$K$453,11,FALSE)*1,VLOOKUP($B44,'Inf Bloques'!$A$1:$K$453,11,FALSE))</f>
        <v>#N/A</v>
      </c>
      <c r="J44" s="3" t="e">
        <f t="shared" si="2"/>
        <v>#N/A</v>
      </c>
      <c r="K44" s="89">
        <f>IFERROR(ROUND(IF($D44="SSJ",(VLOOKUP($H44,'Programa Drench'!$B$6:$AA$182,MATCH(K$2,'Programa Drench'!$B$5:$AA$5,0),FALSE)),VLOOKUP($H44,'Programa Drench'!$B$6:$AA$182,MATCH(K$2,'Programa Drench'!$B$5:$AA$5,0),FALSE)),1),0)</f>
        <v>0</v>
      </c>
      <c r="L44" s="30">
        <f>IFERROR((VLOOKUP($H44,'Programa Drench'!$B$6:$AA$182,MATCH(L$2,'Programa Drench'!$B$5:$AA$5,0),FALSE)),0)</f>
        <v>0</v>
      </c>
      <c r="M44" s="36">
        <f>IFERROR((VLOOKUP($H44,'Programa Drench'!$B$6:$AA$182,MATCH(M$2,'Programa Drench'!$B$5:$AA$5,0),FALSE)*N44),0)</f>
        <v>0</v>
      </c>
      <c r="N44" s="36">
        <f t="shared" si="3"/>
        <v>0</v>
      </c>
      <c r="O44" s="89">
        <f>IFERROR(ROUND(IF($D44="SSJ",(VLOOKUP($H44,'Programa Drench'!$B$6:$AA$182,MATCH(O$2,'Programa Drench'!$B$5:$AA$5,0),FALSE)),VLOOKUP($H44,'Programa Drench'!$B$6:$AA$182,MATCH(O$2,'Programa Drench'!$B$5:$AA$5,0),FALSE)),1),0)</f>
        <v>0</v>
      </c>
      <c r="P44" s="30">
        <f>IFERROR((VLOOKUP($H44,'Programa Drench'!$B$6:$AA$182,MATCH(P$2,'Programa Drench'!$B$5:$AA$5,0),FALSE)),0)</f>
        <v>0</v>
      </c>
      <c r="Q44" s="36">
        <f>IFERROR((VLOOKUP($H44,'Programa Drench'!$B$6:$AA$182,MATCH(Q$2,'Programa Drench'!$B$5:$AA$5,0),FALSE)*R44),0)</f>
        <v>0</v>
      </c>
      <c r="R44" s="36">
        <f t="shared" si="4"/>
        <v>0</v>
      </c>
      <c r="S44" s="89">
        <f>IFERROR(ROUND(IF($D44="SSJ",(VLOOKUP($H44,'Programa Drench'!$B$6:$AA$182,MATCH(S$2,'Programa Drench'!$B$5:$AA$5,0),FALSE)),VLOOKUP($H44,'Programa Drench'!$B$6:$AA$182,MATCH(S$2,'Programa Drench'!$B$5:$AA$5,0),FALSE)),1),0)</f>
        <v>0</v>
      </c>
      <c r="T44" s="30">
        <f>IFERROR((VLOOKUP($H44,'Programa Drench'!$B$6:$AA$182,MATCH(T$2,'Programa Drench'!$B$5:$AA$5,0),FALSE)),0)</f>
        <v>0</v>
      </c>
      <c r="U44" s="36">
        <f>IFERROR((VLOOKUP($H44,'Programa Drench'!$B$6:$AA$182,MATCH(U$2,'Programa Drench'!$B$5:$AA$5,0),FALSE)*V44),0)</f>
        <v>0</v>
      </c>
      <c r="V44" s="36">
        <f t="shared" si="5"/>
        <v>0</v>
      </c>
      <c r="W44" s="89">
        <f>IFERROR(ROUND(IF($D44="SSJ",(VLOOKUP($H44,'Programa Drench'!$B$6:$AA$182,MATCH(W$2,'Programa Drench'!$B$5:$AA$5,0),FALSE)),VLOOKUP($H44,'Programa Drench'!$B$6:$AA$182,MATCH(W$2,'Programa Drench'!$B$5:$AA$5,0),FALSE)),1),0)</f>
        <v>0</v>
      </c>
      <c r="X44" s="30">
        <f>IFERROR((VLOOKUP($H44,'Programa Drench'!$B$6:$AA$182,MATCH(X$2,'Programa Drench'!$B$5:$AA$5,0),FALSE)),0)</f>
        <v>0</v>
      </c>
      <c r="Y44" s="36">
        <f>IFERROR((VLOOKUP($H44,'Programa Drench'!$B$6:$AA$182,MATCH(Y$2,'Programa Drench'!$B$5:$AA$5,0),FALSE)*Z44),0)</f>
        <v>0</v>
      </c>
      <c r="Z44" s="36">
        <f t="shared" si="6"/>
        <v>0</v>
      </c>
      <c r="AA44" s="89">
        <f>IFERROR(ROUND(IF($D44="SSJ",(VLOOKUP($H44,'Programa Drench'!$B$6:$AA$182,MATCH(AA$2,'Programa Drench'!$B$5:$AA$5,0),FALSE)),VLOOKUP($H44,'Programa Drench'!$B$6:$AA$182,MATCH(AA$2,'Programa Drench'!$B$5:$AA$5,0),FALSE)),1),0)</f>
        <v>0</v>
      </c>
      <c r="AB44" s="30">
        <f>IFERROR((VLOOKUP($H44,'Programa Drench'!$B$6:$AA$182,MATCH(AB$2,'Programa Drench'!$B$5:$AA$5,0),FALSE)),0)</f>
        <v>0</v>
      </c>
      <c r="AC44" s="83">
        <f>IFERROR((VLOOKUP($H44,'Programa Drench'!$B$6:$AA$182,MATCH(AC$2,'Programa Drench'!$B$5:$AA$5,0),FALSE)*$I44),0)</f>
        <v>0</v>
      </c>
      <c r="AD44" s="36">
        <f t="shared" si="7"/>
        <v>0</v>
      </c>
      <c r="AE44" s="36">
        <f>IFERROR(ROUND((VLOOKUP($H44,'Programa Drench'!$B$6:$AA$182,MATCH(AE$2,'Programa Drench'!$B$5:$AA$5,0),FALSE)),-1),0)</f>
        <v>0</v>
      </c>
      <c r="AF44" s="30">
        <f>IFERROR((VLOOKUP($H44,'Programa Drench'!$B$6:$AA$182,MATCH(AF$2,'Programa Drench'!$B$5:$AA$5,0),FALSE)),0)</f>
        <v>0</v>
      </c>
      <c r="AG44" s="36">
        <f>IFERROR((VLOOKUP($H44,'Programa Drench'!$B$6:$AA$182,MATCH(AG$2,'Programa Drench'!$B$5:$AA$5,0),FALSE)*AH44),0)</f>
        <v>0</v>
      </c>
      <c r="AH44" s="36">
        <f>IFERROR(ROUND((VLOOKUP($H44,'Programa Drench'!$B$6:$AA$182,MATCH(AH$2,'Programa Drench'!$B$5:$AA$5,0),FALSE)*$I44),-1),0)</f>
        <v>0</v>
      </c>
      <c r="AI44" s="89">
        <f>IFERROR((VLOOKUP($H44,'Programa Drench'!$B$6:$AA$182,MATCH(AI$2,'Programa Drench'!$B$5:$AA$5,0),FALSE)),0)</f>
        <v>0</v>
      </c>
    </row>
    <row r="45" spans="1:35" ht="15" hidden="1" customHeight="1" x14ac:dyDescent="0.2">
      <c r="A45" s="14">
        <f t="shared" si="16"/>
        <v>2572</v>
      </c>
      <c r="B45" s="77"/>
      <c r="C45" s="54"/>
      <c r="D45" s="54"/>
      <c r="E45" s="54"/>
      <c r="F45" s="54"/>
      <c r="G45" s="53" t="str">
        <f t="shared" si="1"/>
        <v/>
      </c>
      <c r="H45" s="55" t="str">
        <f t="shared" si="9"/>
        <v xml:space="preserve">2572  </v>
      </c>
      <c r="I45" s="262" t="e">
        <f>IF(D45="MM1",VLOOKUP($B45,'Inf Bloques'!$A$1:$K$453,11,FALSE)*1,VLOOKUP($B45,'Inf Bloques'!$A$1:$K$453,11,FALSE))</f>
        <v>#N/A</v>
      </c>
      <c r="J45" s="3" t="e">
        <f t="shared" si="2"/>
        <v>#N/A</v>
      </c>
      <c r="K45" s="89">
        <f>IFERROR(ROUND(IF($D45="SSJ",(VLOOKUP($H45,'Programa Drench'!$B$6:$AA$182,MATCH(K$2,'Programa Drench'!$B$5:$AA$5,0),FALSE)),VLOOKUP($H45,'Programa Drench'!$B$6:$AA$182,MATCH(K$2,'Programa Drench'!$B$5:$AA$5,0),FALSE)),1),0)</f>
        <v>0</v>
      </c>
      <c r="L45" s="30">
        <f>IFERROR((VLOOKUP($H45,'Programa Drench'!$B$6:$AA$182,MATCH(L$2,'Programa Drench'!$B$5:$AA$5,0),FALSE)),0)</f>
        <v>0</v>
      </c>
      <c r="M45" s="36">
        <f>IFERROR((VLOOKUP($H45,'Programa Drench'!$B$6:$AA$182,MATCH(M$2,'Programa Drench'!$B$5:$AA$5,0),FALSE)*N45),0)</f>
        <v>0</v>
      </c>
      <c r="N45" s="36">
        <f t="shared" si="3"/>
        <v>0</v>
      </c>
      <c r="O45" s="89">
        <f>IFERROR(ROUND(IF($D45="SSJ",(VLOOKUP($H45,'Programa Drench'!$B$6:$AA$182,MATCH(O$2,'Programa Drench'!$B$5:$AA$5,0),FALSE)),VLOOKUP($H45,'Programa Drench'!$B$6:$AA$182,MATCH(O$2,'Programa Drench'!$B$5:$AA$5,0),FALSE)),1),0)</f>
        <v>0</v>
      </c>
      <c r="P45" s="30">
        <f>IFERROR((VLOOKUP($H45,'Programa Drench'!$B$6:$AA$182,MATCH(P$2,'Programa Drench'!$B$5:$AA$5,0),FALSE)),0)</f>
        <v>0</v>
      </c>
      <c r="Q45" s="36">
        <f>IFERROR((VLOOKUP($H45,'Programa Drench'!$B$6:$AA$182,MATCH(Q$2,'Programa Drench'!$B$5:$AA$5,0),FALSE)*R45),0)</f>
        <v>0</v>
      </c>
      <c r="R45" s="36">
        <f t="shared" si="4"/>
        <v>0</v>
      </c>
      <c r="S45" s="89">
        <f>IFERROR(ROUND(IF($D45="SSJ",(VLOOKUP($H45,'Programa Drench'!$B$6:$AA$182,MATCH(S$2,'Programa Drench'!$B$5:$AA$5,0),FALSE)),VLOOKUP($H45,'Programa Drench'!$B$6:$AA$182,MATCH(S$2,'Programa Drench'!$B$5:$AA$5,0),FALSE)),1),0)</f>
        <v>0</v>
      </c>
      <c r="T45" s="30">
        <f>IFERROR((VLOOKUP($H45,'Programa Drench'!$B$6:$AA$182,MATCH(T$2,'Programa Drench'!$B$5:$AA$5,0),FALSE)),0)</f>
        <v>0</v>
      </c>
      <c r="U45" s="36">
        <f>IFERROR((VLOOKUP($H45,'Programa Drench'!$B$6:$AA$182,MATCH(U$2,'Programa Drench'!$B$5:$AA$5,0),FALSE)*V45),0)</f>
        <v>0</v>
      </c>
      <c r="V45" s="36">
        <f t="shared" si="5"/>
        <v>0</v>
      </c>
      <c r="W45" s="89">
        <f>IFERROR(ROUND(IF($D45="SSJ",(VLOOKUP($H45,'Programa Drench'!$B$6:$AA$182,MATCH(W$2,'Programa Drench'!$B$5:$AA$5,0),FALSE)),VLOOKUP($H45,'Programa Drench'!$B$6:$AA$182,MATCH(W$2,'Programa Drench'!$B$5:$AA$5,0),FALSE)),1),0)</f>
        <v>0</v>
      </c>
      <c r="X45" s="30">
        <f>IFERROR((VLOOKUP($H45,'Programa Drench'!$B$6:$AA$182,MATCH(X$2,'Programa Drench'!$B$5:$AA$5,0),FALSE)),0)</f>
        <v>0</v>
      </c>
      <c r="Y45" s="36">
        <f>IFERROR((VLOOKUP($H45,'Programa Drench'!$B$6:$AA$182,MATCH(Y$2,'Programa Drench'!$B$5:$AA$5,0),FALSE)*Z45),0)</f>
        <v>0</v>
      </c>
      <c r="Z45" s="36">
        <f t="shared" si="6"/>
        <v>0</v>
      </c>
      <c r="AA45" s="89">
        <f>IFERROR(ROUND(IF($D45="SSJ",(VLOOKUP($H45,'Programa Drench'!$B$6:$AA$182,MATCH(AA$2,'Programa Drench'!$B$5:$AA$5,0),FALSE)),VLOOKUP($H45,'Programa Drench'!$B$6:$AA$182,MATCH(AA$2,'Programa Drench'!$B$5:$AA$5,0),FALSE)),1),0)</f>
        <v>0</v>
      </c>
      <c r="AB45" s="30">
        <f>IFERROR((VLOOKUP($H45,'Programa Drench'!$B$6:$AA$182,MATCH(AB$2,'Programa Drench'!$B$5:$AA$5,0),FALSE)),0)</f>
        <v>0</v>
      </c>
      <c r="AC45" s="83">
        <f>IFERROR((VLOOKUP($H45,'Programa Drench'!$B$6:$AA$182,MATCH(AC$2,'Programa Drench'!$B$5:$AA$5,0),FALSE)*$I45),0)</f>
        <v>0</v>
      </c>
      <c r="AD45" s="36">
        <f t="shared" si="7"/>
        <v>0</v>
      </c>
      <c r="AE45" s="36">
        <f>IFERROR(ROUND((VLOOKUP($H45,'Programa Drench'!$B$6:$AA$182,MATCH(AE$2,'Programa Drench'!$B$5:$AA$5,0),FALSE)),-1),0)</f>
        <v>0</v>
      </c>
      <c r="AF45" s="30">
        <f>IFERROR((VLOOKUP($H45,'Programa Drench'!$B$6:$AA$182,MATCH(AF$2,'Programa Drench'!$B$5:$AA$5,0),FALSE)),0)</f>
        <v>0</v>
      </c>
      <c r="AG45" s="36">
        <f>IFERROR((VLOOKUP($H45,'Programa Drench'!$B$6:$AA$182,MATCH(AG$2,'Programa Drench'!$B$5:$AA$5,0),FALSE)*AH45),0)</f>
        <v>0</v>
      </c>
      <c r="AH45" s="36">
        <f>IFERROR(ROUND((VLOOKUP($H45,'Programa Drench'!$B$6:$AA$182,MATCH(AH$2,'Programa Drench'!$B$5:$AA$5,0),FALSE)*$I45),-1),0)</f>
        <v>0</v>
      </c>
      <c r="AI45" s="89">
        <f>IFERROR((VLOOKUP($H45,'Programa Drench'!$B$6:$AA$182,MATCH(AI$2,'Programa Drench'!$B$5:$AA$5,0),FALSE)),0)</f>
        <v>0</v>
      </c>
    </row>
    <row r="46" spans="1:35" ht="15" hidden="1" customHeight="1" x14ac:dyDescent="0.2">
      <c r="A46" s="14">
        <f t="shared" si="16"/>
        <v>2572</v>
      </c>
      <c r="B46" s="77"/>
      <c r="C46" s="54"/>
      <c r="D46" s="54"/>
      <c r="E46" s="54"/>
      <c r="F46" s="54"/>
      <c r="G46" s="14" t="str">
        <f t="shared" si="1"/>
        <v/>
      </c>
      <c r="H46" s="28" t="str">
        <f t="shared" si="9"/>
        <v xml:space="preserve">2572  </v>
      </c>
      <c r="I46" s="262" t="e">
        <f>IF(D46="MM1",VLOOKUP($B46,'Inf Bloques'!$A$1:$K$453,11,FALSE)*1,VLOOKUP($B46,'Inf Bloques'!$A$1:$K$453,11,FALSE))</f>
        <v>#N/A</v>
      </c>
      <c r="J46" s="3" t="e">
        <f t="shared" si="2"/>
        <v>#N/A</v>
      </c>
      <c r="K46" s="89">
        <f>IFERROR(ROUND(IF($D46="SSJ",(VLOOKUP($H46,'Programa Drench'!$B$6:$AA$182,MATCH(K$2,'Programa Drench'!$B$5:$AA$5,0),FALSE)),VLOOKUP($H46,'Programa Drench'!$B$6:$AA$182,MATCH(K$2,'Programa Drench'!$B$5:$AA$5,0),FALSE)),1),0)</f>
        <v>0</v>
      </c>
      <c r="L46" s="30">
        <f>IFERROR((VLOOKUP($H46,'Programa Drench'!$B$6:$AA$182,MATCH(L$2,'Programa Drench'!$B$5:$AA$5,0),FALSE)),0)</f>
        <v>0</v>
      </c>
      <c r="M46" s="36">
        <f>IFERROR((VLOOKUP($H46,'Programa Drench'!$B$6:$AA$182,MATCH(M$2,'Programa Drench'!$B$5:$AA$5,0),FALSE)*N46),0)</f>
        <v>0</v>
      </c>
      <c r="N46" s="36">
        <f t="shared" si="3"/>
        <v>0</v>
      </c>
      <c r="O46" s="89">
        <f>IFERROR(ROUND(IF($D46="SSJ",(VLOOKUP($H46,'Programa Drench'!$B$6:$AA$182,MATCH(O$2,'Programa Drench'!$B$5:$AA$5,0),FALSE)),VLOOKUP($H46,'Programa Drench'!$B$6:$AA$182,MATCH(O$2,'Programa Drench'!$B$5:$AA$5,0),FALSE)),1),0)</f>
        <v>0</v>
      </c>
      <c r="P46" s="30">
        <f>IFERROR((VLOOKUP($H46,'Programa Drench'!$B$6:$AA$182,MATCH(P$2,'Programa Drench'!$B$5:$AA$5,0),FALSE)),0)</f>
        <v>0</v>
      </c>
      <c r="Q46" s="36">
        <f>IFERROR((VLOOKUP($H46,'Programa Drench'!$B$6:$AA$182,MATCH(Q$2,'Programa Drench'!$B$5:$AA$5,0),FALSE)*R46),0)</f>
        <v>0</v>
      </c>
      <c r="R46" s="36">
        <f t="shared" si="4"/>
        <v>0</v>
      </c>
      <c r="S46" s="89">
        <f>IFERROR(ROUND(IF($D46="SSJ",(VLOOKUP($H46,'Programa Drench'!$B$6:$AA$182,MATCH(S$2,'Programa Drench'!$B$5:$AA$5,0),FALSE)),VLOOKUP($H46,'Programa Drench'!$B$6:$AA$182,MATCH(S$2,'Programa Drench'!$B$5:$AA$5,0),FALSE)),1),0)</f>
        <v>0</v>
      </c>
      <c r="T46" s="30">
        <f>IFERROR((VLOOKUP($H46,'Programa Drench'!$B$6:$AA$182,MATCH(T$2,'Programa Drench'!$B$5:$AA$5,0),FALSE)),0)</f>
        <v>0</v>
      </c>
      <c r="U46" s="36">
        <f>IFERROR((VLOOKUP($H46,'Programa Drench'!$B$6:$AA$182,MATCH(U$2,'Programa Drench'!$B$5:$AA$5,0),FALSE)*V46),0)</f>
        <v>0</v>
      </c>
      <c r="V46" s="36">
        <f t="shared" si="5"/>
        <v>0</v>
      </c>
      <c r="W46" s="89">
        <f>IFERROR(ROUND(IF($D46="SSJ",(VLOOKUP($H46,'Programa Drench'!$B$6:$AA$182,MATCH(W$2,'Programa Drench'!$B$5:$AA$5,0),FALSE)),VLOOKUP($H46,'Programa Drench'!$B$6:$AA$182,MATCH(W$2,'Programa Drench'!$B$5:$AA$5,0),FALSE)),1),0)</f>
        <v>0</v>
      </c>
      <c r="X46" s="30">
        <f>IFERROR((VLOOKUP($H46,'Programa Drench'!$B$6:$AA$182,MATCH(X$2,'Programa Drench'!$B$5:$AA$5,0),FALSE)),0)</f>
        <v>0</v>
      </c>
      <c r="Y46" s="36">
        <f>IFERROR((VLOOKUP($H46,'Programa Drench'!$B$6:$AA$182,MATCH(Y$2,'Programa Drench'!$B$5:$AA$5,0),FALSE)*Z46),0)</f>
        <v>0</v>
      </c>
      <c r="Z46" s="36">
        <f t="shared" si="6"/>
        <v>0</v>
      </c>
      <c r="AA46" s="89">
        <f>IFERROR(ROUND(IF($D46="SSJ",(VLOOKUP($H46,'Programa Drench'!$B$6:$AA$182,MATCH(AA$2,'Programa Drench'!$B$5:$AA$5,0),FALSE)),VLOOKUP($H46,'Programa Drench'!$B$6:$AA$182,MATCH(AA$2,'Programa Drench'!$B$5:$AA$5,0),FALSE)),1),0)</f>
        <v>0</v>
      </c>
      <c r="AB46" s="30">
        <f>IFERROR((VLOOKUP($H46,'Programa Drench'!$B$6:$AA$182,MATCH(AB$2,'Programa Drench'!$B$5:$AA$5,0),FALSE)),0)</f>
        <v>0</v>
      </c>
      <c r="AC46" s="83">
        <f>IFERROR((VLOOKUP($H46,'Programa Drench'!$B$6:$AA$182,MATCH(AC$2,'Programa Drench'!$B$5:$AA$5,0),FALSE)*$I46),0)</f>
        <v>0</v>
      </c>
      <c r="AD46" s="36">
        <f t="shared" si="7"/>
        <v>0</v>
      </c>
      <c r="AE46" s="36">
        <f>IFERROR(ROUND((VLOOKUP($H46,'Programa Drench'!$B$6:$AA$182,MATCH(AE$2,'Programa Drench'!$B$5:$AA$5,0),FALSE)),-1),0)</f>
        <v>0</v>
      </c>
      <c r="AF46" s="30">
        <f>IFERROR((VLOOKUP($H46,'Programa Drench'!$B$6:$AA$182,MATCH(AF$2,'Programa Drench'!$B$5:$AA$5,0),FALSE)),0)</f>
        <v>0</v>
      </c>
      <c r="AG46" s="36">
        <f>IFERROR((VLOOKUP($H46,'Programa Drench'!$B$6:$AA$182,MATCH(AG$2,'Programa Drench'!$B$5:$AA$5,0),FALSE)*AH46),0)</f>
        <v>0</v>
      </c>
      <c r="AH46" s="36">
        <f>IFERROR(ROUND((VLOOKUP($H46,'Programa Drench'!$B$6:$AA$182,MATCH(AH$2,'Programa Drench'!$B$5:$AA$5,0),FALSE)*$I46),-1),0)</f>
        <v>0</v>
      </c>
      <c r="AI46" s="89">
        <f>IFERROR((VLOOKUP($H46,'Programa Drench'!$B$6:$AA$182,MATCH(AI$2,'Programa Drench'!$B$5:$AA$5,0),FALSE)),0)</f>
        <v>0</v>
      </c>
    </row>
    <row r="47" spans="1:35" ht="15" hidden="1" customHeight="1" x14ac:dyDescent="0.2">
      <c r="A47" s="14">
        <f t="shared" si="16"/>
        <v>2572</v>
      </c>
      <c r="B47" s="77"/>
      <c r="C47" s="54"/>
      <c r="D47" s="54"/>
      <c r="E47" s="54"/>
      <c r="F47" s="54"/>
      <c r="G47" s="14" t="str">
        <f t="shared" si="1"/>
        <v/>
      </c>
      <c r="H47" s="28" t="str">
        <f t="shared" si="9"/>
        <v xml:space="preserve">2572  </v>
      </c>
      <c r="I47" s="262" t="e">
        <f>IF(D47="MM1",VLOOKUP($B47,'Inf Bloques'!$A$1:$K$453,11,FALSE)*1,VLOOKUP($B47,'Inf Bloques'!$A$1:$K$453,11,FALSE))</f>
        <v>#N/A</v>
      </c>
      <c r="J47" s="3" t="e">
        <f t="shared" si="2"/>
        <v>#N/A</v>
      </c>
      <c r="K47" s="89">
        <f>IFERROR(ROUND(IF($D47="SSJ",(VLOOKUP($H47,'Programa Drench'!$B$6:$AA$182,MATCH(K$2,'Programa Drench'!$B$5:$AA$5,0),FALSE)),VLOOKUP($H47,'Programa Drench'!$B$6:$AA$182,MATCH(K$2,'Programa Drench'!$B$5:$AA$5,0),FALSE)),1),0)</f>
        <v>0</v>
      </c>
      <c r="L47" s="30">
        <f>IFERROR((VLOOKUP($H47,'Programa Drench'!$B$6:$AA$182,MATCH(L$2,'Programa Drench'!$B$5:$AA$5,0),FALSE)),0)</f>
        <v>0</v>
      </c>
      <c r="M47" s="36">
        <f>IFERROR((VLOOKUP($H47,'Programa Drench'!$B$6:$AA$182,MATCH(M$2,'Programa Drench'!$B$5:$AA$5,0),FALSE)*N47),0)</f>
        <v>0</v>
      </c>
      <c r="N47" s="36">
        <f t="shared" si="3"/>
        <v>0</v>
      </c>
      <c r="O47" s="89">
        <f>IFERROR(ROUND(IF($D47="SSJ",(VLOOKUP($H47,'Programa Drench'!$B$6:$AA$182,MATCH(O$2,'Programa Drench'!$B$5:$AA$5,0),FALSE)),VLOOKUP($H47,'Programa Drench'!$B$6:$AA$182,MATCH(O$2,'Programa Drench'!$B$5:$AA$5,0),FALSE)),1),0)</f>
        <v>0</v>
      </c>
      <c r="P47" s="30">
        <f>IFERROR((VLOOKUP($H47,'Programa Drench'!$B$6:$AA$182,MATCH(P$2,'Programa Drench'!$B$5:$AA$5,0),FALSE)),0)</f>
        <v>0</v>
      </c>
      <c r="Q47" s="36">
        <f>IFERROR((VLOOKUP($H47,'Programa Drench'!$B$6:$AA$182,MATCH(Q$2,'Programa Drench'!$B$5:$AA$5,0),FALSE)*R47),0)</f>
        <v>0</v>
      </c>
      <c r="R47" s="36">
        <f t="shared" si="4"/>
        <v>0</v>
      </c>
      <c r="S47" s="89">
        <f>IFERROR(ROUND(IF($D47="SSJ",(VLOOKUP($H47,'Programa Drench'!$B$6:$AA$182,MATCH(S$2,'Programa Drench'!$B$5:$AA$5,0),FALSE)),VLOOKUP($H47,'Programa Drench'!$B$6:$AA$182,MATCH(S$2,'Programa Drench'!$B$5:$AA$5,0),FALSE)),1),0)</f>
        <v>0</v>
      </c>
      <c r="T47" s="30">
        <f>IFERROR((VLOOKUP($H47,'Programa Drench'!$B$6:$AA$182,MATCH(T$2,'Programa Drench'!$B$5:$AA$5,0),FALSE)),0)</f>
        <v>0</v>
      </c>
      <c r="U47" s="36">
        <f>IFERROR((VLOOKUP($H47,'Programa Drench'!$B$6:$AA$182,MATCH(U$2,'Programa Drench'!$B$5:$AA$5,0),FALSE)*V47),0)</f>
        <v>0</v>
      </c>
      <c r="V47" s="36">
        <f t="shared" si="5"/>
        <v>0</v>
      </c>
      <c r="W47" s="89">
        <f>IFERROR(ROUND(IF($D47="SSJ",(VLOOKUP($H47,'Programa Drench'!$B$6:$AA$182,MATCH(W$2,'Programa Drench'!$B$5:$AA$5,0),FALSE)),VLOOKUP($H47,'Programa Drench'!$B$6:$AA$182,MATCH(W$2,'Programa Drench'!$B$5:$AA$5,0),FALSE)),1),0)</f>
        <v>0</v>
      </c>
      <c r="X47" s="30">
        <f>IFERROR((VLOOKUP($H47,'Programa Drench'!$B$6:$AA$182,MATCH(X$2,'Programa Drench'!$B$5:$AA$5,0),FALSE)),0)</f>
        <v>0</v>
      </c>
      <c r="Y47" s="36">
        <f>IFERROR((VLOOKUP($H47,'Programa Drench'!$B$6:$AA$182,MATCH(Y$2,'Programa Drench'!$B$5:$AA$5,0),FALSE)*Z47),0)</f>
        <v>0</v>
      </c>
      <c r="Z47" s="36">
        <f t="shared" si="6"/>
        <v>0</v>
      </c>
      <c r="AA47" s="89">
        <f>IFERROR(ROUND(IF($D47="SSJ",(VLOOKUP($H47,'Programa Drench'!$B$6:$AA$182,MATCH(AA$2,'Programa Drench'!$B$5:$AA$5,0),FALSE)),VLOOKUP($H47,'Programa Drench'!$B$6:$AA$182,MATCH(AA$2,'Programa Drench'!$B$5:$AA$5,0),FALSE)),1),0)</f>
        <v>0</v>
      </c>
      <c r="AB47" s="30">
        <f>IFERROR((VLOOKUP($H47,'Programa Drench'!$B$6:$AA$182,MATCH(AB$2,'Programa Drench'!$B$5:$AA$5,0),FALSE)),0)</f>
        <v>0</v>
      </c>
      <c r="AC47" s="83">
        <f>IFERROR((VLOOKUP($H47,'Programa Drench'!$B$6:$AA$182,MATCH(AC$2,'Programa Drench'!$B$5:$AA$5,0),FALSE)*$I47),0)</f>
        <v>0</v>
      </c>
      <c r="AD47" s="36">
        <f t="shared" si="7"/>
        <v>0</v>
      </c>
      <c r="AE47" s="36">
        <f>IFERROR(ROUND((VLOOKUP($H47,'Programa Drench'!$B$6:$AA$182,MATCH(AE$2,'Programa Drench'!$B$5:$AA$5,0),FALSE)),-1),0)</f>
        <v>0</v>
      </c>
      <c r="AF47" s="30">
        <f>IFERROR((VLOOKUP($H47,'Programa Drench'!$B$6:$AA$182,MATCH(AF$2,'Programa Drench'!$B$5:$AA$5,0),FALSE)),0)</f>
        <v>0</v>
      </c>
      <c r="AG47" s="36">
        <f>IFERROR((VLOOKUP($H47,'Programa Drench'!$B$6:$AA$182,MATCH(AG$2,'Programa Drench'!$B$5:$AA$5,0),FALSE)*AH47),0)</f>
        <v>0</v>
      </c>
      <c r="AH47" s="36">
        <f>IFERROR(ROUND((VLOOKUP($H47,'Programa Drench'!$B$6:$AA$182,MATCH(AH$2,'Programa Drench'!$B$5:$AA$5,0),FALSE)*$I47),-1),0)</f>
        <v>0</v>
      </c>
      <c r="AI47" s="89">
        <f>IFERROR((VLOOKUP($H47,'Programa Drench'!$B$6:$AA$182,MATCH(AI$2,'Programa Drench'!$B$5:$AA$5,0),FALSE)),0)</f>
        <v>0</v>
      </c>
    </row>
    <row r="48" spans="1:35" ht="15" hidden="1" customHeight="1" x14ac:dyDescent="0.2">
      <c r="A48" s="14">
        <f t="shared" si="16"/>
        <v>2572</v>
      </c>
      <c r="B48" s="77"/>
      <c r="C48" s="54"/>
      <c r="D48" s="54"/>
      <c r="E48" s="54"/>
      <c r="F48" s="54"/>
      <c r="G48" s="14" t="str">
        <f t="shared" si="1"/>
        <v/>
      </c>
      <c r="H48" s="28" t="str">
        <f t="shared" si="9"/>
        <v xml:space="preserve">2572  </v>
      </c>
      <c r="I48" s="262" t="e">
        <f>IF(D48="MM1",VLOOKUP($B48,'Inf Bloques'!$A$1:$K$453,11,FALSE)*1,VLOOKUP($B48,'Inf Bloques'!$A$1:$K$453,11,FALSE))</f>
        <v>#N/A</v>
      </c>
      <c r="J48" s="3" t="e">
        <f t="shared" si="2"/>
        <v>#N/A</v>
      </c>
      <c r="K48" s="89">
        <f>IFERROR(ROUND(IF($D48="SSJ",(VLOOKUP($H48,'Programa Drench'!$B$6:$AA$182,MATCH(K$2,'Programa Drench'!$B$5:$AA$5,0),FALSE)),VLOOKUP($H48,'Programa Drench'!$B$6:$AA$182,MATCH(K$2,'Programa Drench'!$B$5:$AA$5,0),FALSE)),1),0)</f>
        <v>0</v>
      </c>
      <c r="L48" s="30">
        <f>IFERROR((VLOOKUP($H48,'Programa Drench'!$B$6:$AA$182,MATCH(L$2,'Programa Drench'!$B$5:$AA$5,0),FALSE)),0)</f>
        <v>0</v>
      </c>
      <c r="M48" s="36">
        <f>IFERROR((VLOOKUP($H48,'Programa Drench'!$B$6:$AA$182,MATCH(M$2,'Programa Drench'!$B$5:$AA$5,0),FALSE)*N48),0)</f>
        <v>0</v>
      </c>
      <c r="N48" s="36">
        <f t="shared" si="3"/>
        <v>0</v>
      </c>
      <c r="O48" s="89">
        <f>IFERROR(ROUND(IF($D48="SSJ",(VLOOKUP($H48,'Programa Drench'!$B$6:$AA$182,MATCH(O$2,'Programa Drench'!$B$5:$AA$5,0),FALSE)),VLOOKUP($H48,'Programa Drench'!$B$6:$AA$182,MATCH(O$2,'Programa Drench'!$B$5:$AA$5,0),FALSE)),1),0)</f>
        <v>0</v>
      </c>
      <c r="P48" s="30">
        <f>IFERROR((VLOOKUP($H48,'Programa Drench'!$B$6:$AA$182,MATCH(P$2,'Programa Drench'!$B$5:$AA$5,0),FALSE)),0)</f>
        <v>0</v>
      </c>
      <c r="Q48" s="36">
        <f>IFERROR((VLOOKUP($H48,'Programa Drench'!$B$6:$AA$182,MATCH(Q$2,'Programa Drench'!$B$5:$AA$5,0),FALSE)*R48),0)</f>
        <v>0</v>
      </c>
      <c r="R48" s="36">
        <f t="shared" si="4"/>
        <v>0</v>
      </c>
      <c r="S48" s="89">
        <f>IFERROR(ROUND(IF($D48="SSJ",(VLOOKUP($H48,'Programa Drench'!$B$6:$AA$182,MATCH(S$2,'Programa Drench'!$B$5:$AA$5,0),FALSE)),VLOOKUP($H48,'Programa Drench'!$B$6:$AA$182,MATCH(S$2,'Programa Drench'!$B$5:$AA$5,0),FALSE)),1),0)</f>
        <v>0</v>
      </c>
      <c r="T48" s="30">
        <f>IFERROR((VLOOKUP($H48,'Programa Drench'!$B$6:$AA$182,MATCH(T$2,'Programa Drench'!$B$5:$AA$5,0),FALSE)),0)</f>
        <v>0</v>
      </c>
      <c r="U48" s="36">
        <f>IFERROR((VLOOKUP($H48,'Programa Drench'!$B$6:$AA$182,MATCH(U$2,'Programa Drench'!$B$5:$AA$5,0),FALSE)*V48),0)</f>
        <v>0</v>
      </c>
      <c r="V48" s="36">
        <f t="shared" si="5"/>
        <v>0</v>
      </c>
      <c r="W48" s="89">
        <f>IFERROR(ROUND(IF($D48="SSJ",(VLOOKUP($H48,'Programa Drench'!$B$6:$AA$182,MATCH(W$2,'Programa Drench'!$B$5:$AA$5,0),FALSE)),VLOOKUP($H48,'Programa Drench'!$B$6:$AA$182,MATCH(W$2,'Programa Drench'!$B$5:$AA$5,0),FALSE)),1),0)</f>
        <v>0</v>
      </c>
      <c r="X48" s="30">
        <f>IFERROR((VLOOKUP($H48,'Programa Drench'!$B$6:$AA$182,MATCH(X$2,'Programa Drench'!$B$5:$AA$5,0),FALSE)),0)</f>
        <v>0</v>
      </c>
      <c r="Y48" s="36">
        <f>IFERROR((VLOOKUP($H48,'Programa Drench'!$B$6:$AA$182,MATCH(Y$2,'Programa Drench'!$B$5:$AA$5,0),FALSE)*Z48),0)</f>
        <v>0</v>
      </c>
      <c r="Z48" s="36">
        <f t="shared" si="6"/>
        <v>0</v>
      </c>
      <c r="AA48" s="89">
        <f>IFERROR(ROUND(IF($D48="SSJ",(VLOOKUP($H48,'Programa Drench'!$B$6:$AA$182,MATCH(AA$2,'Programa Drench'!$B$5:$AA$5,0),FALSE)),VLOOKUP($H48,'Programa Drench'!$B$6:$AA$182,MATCH(AA$2,'Programa Drench'!$B$5:$AA$5,0),FALSE)),1),0)</f>
        <v>0</v>
      </c>
      <c r="AB48" s="30">
        <f>IFERROR((VLOOKUP($H48,'Programa Drench'!$B$6:$AA$182,MATCH(AB$2,'Programa Drench'!$B$5:$AA$5,0),FALSE)),0)</f>
        <v>0</v>
      </c>
      <c r="AC48" s="83">
        <f>IFERROR((VLOOKUP($H48,'Programa Drench'!$B$6:$AA$182,MATCH(AC$2,'Programa Drench'!$B$5:$AA$5,0),FALSE)*$I48),0)</f>
        <v>0</v>
      </c>
      <c r="AD48" s="36">
        <f t="shared" si="7"/>
        <v>0</v>
      </c>
      <c r="AE48" s="36">
        <f>IFERROR(ROUND((VLOOKUP($H48,'Programa Drench'!$B$6:$AA$182,MATCH(AE$2,'Programa Drench'!$B$5:$AA$5,0),FALSE)),-1),0)</f>
        <v>0</v>
      </c>
      <c r="AF48" s="30">
        <f>IFERROR((VLOOKUP($H48,'Programa Drench'!$B$6:$AA$182,MATCH(AF$2,'Programa Drench'!$B$5:$AA$5,0),FALSE)),0)</f>
        <v>0</v>
      </c>
      <c r="AG48" s="36">
        <f>IFERROR((VLOOKUP($H48,'Programa Drench'!$B$6:$AA$182,MATCH(AG$2,'Programa Drench'!$B$5:$AA$5,0),FALSE)*AH48),0)</f>
        <v>0</v>
      </c>
      <c r="AH48" s="36">
        <f>IFERROR(ROUND((VLOOKUP($H48,'Programa Drench'!$B$6:$AA$182,MATCH(AH$2,'Programa Drench'!$B$5:$AA$5,0),FALSE)*$I48),-1),0)</f>
        <v>0</v>
      </c>
      <c r="AI48" s="89">
        <f>IFERROR((VLOOKUP($H48,'Programa Drench'!$B$6:$AA$182,MATCH(AI$2,'Programa Drench'!$B$5:$AA$5,0),FALSE)),0)</f>
        <v>0</v>
      </c>
    </row>
    <row r="49" spans="1:35" ht="15" hidden="1" customHeight="1" x14ac:dyDescent="0.2">
      <c r="A49" s="14">
        <f t="shared" si="16"/>
        <v>2572</v>
      </c>
      <c r="B49" s="77"/>
      <c r="C49" s="54"/>
      <c r="D49" s="54"/>
      <c r="E49" s="54"/>
      <c r="F49" s="54"/>
      <c r="G49" s="14" t="str">
        <f t="shared" si="1"/>
        <v/>
      </c>
      <c r="H49" s="28" t="str">
        <f t="shared" si="9"/>
        <v xml:space="preserve">2572  </v>
      </c>
      <c r="I49" s="262" t="e">
        <f>IF(D49="MM1",VLOOKUP($B49,'Inf Bloques'!$A$1:$K$453,11,FALSE)*1,VLOOKUP($B49,'Inf Bloques'!$A$1:$K$453,11,FALSE))</f>
        <v>#N/A</v>
      </c>
      <c r="J49" s="3" t="e">
        <f t="shared" ref="J49:J53" si="17">I49/9</f>
        <v>#N/A</v>
      </c>
      <c r="K49" s="89">
        <f>IFERROR(ROUND(IF($D49="SSJ",(VLOOKUP($H49,'Programa Drench'!$B$6:$AA$182,MATCH(K$2,'Programa Drench'!$B$5:$AA$5,0),FALSE)),VLOOKUP($H49,'Programa Drench'!$B$6:$AA$182,MATCH(K$2,'Programa Drench'!$B$5:$AA$5,0),FALSE)),1),0)</f>
        <v>0</v>
      </c>
      <c r="L49" s="30">
        <f>IFERROR((VLOOKUP($H49,'Programa Drench'!$B$6:$AA$182,MATCH(L$2,'Programa Drench'!$B$5:$AA$5,0),FALSE)),0)</f>
        <v>0</v>
      </c>
      <c r="M49" s="36">
        <f>IFERROR((VLOOKUP($H49,'Programa Drench'!$B$6:$AA$182,MATCH(M$2,'Programa Drench'!$B$5:$AA$5,0),FALSE)*N49),0)</f>
        <v>0</v>
      </c>
      <c r="N49" s="36">
        <f t="shared" ref="N49:N53" si="18">IFERROR(ROUND((K49*$I49),-1),0)</f>
        <v>0</v>
      </c>
      <c r="O49" s="89">
        <f>IFERROR(ROUND(IF($D49="SSJ",(VLOOKUP($H49,'Programa Drench'!$B$6:$AA$182,MATCH(O$2,'Programa Drench'!$B$5:$AA$5,0),FALSE)),VLOOKUP($H49,'Programa Drench'!$B$6:$AA$182,MATCH(O$2,'Programa Drench'!$B$5:$AA$5,0),FALSE)),1),0)</f>
        <v>0</v>
      </c>
      <c r="P49" s="30">
        <f>IFERROR((VLOOKUP($H49,'Programa Drench'!$B$6:$AA$182,MATCH(P$2,'Programa Drench'!$B$5:$AA$5,0),FALSE)),0)</f>
        <v>0</v>
      </c>
      <c r="Q49" s="36">
        <f>IFERROR((VLOOKUP($H49,'Programa Drench'!$B$6:$AA$182,MATCH(Q$2,'Programa Drench'!$B$5:$AA$5,0),FALSE)*R49),0)</f>
        <v>0</v>
      </c>
      <c r="R49" s="36">
        <f t="shared" ref="R49:R53" si="19">IFERROR(ROUND((O49*$I49),-1),0)</f>
        <v>0</v>
      </c>
      <c r="S49" s="89">
        <f>IFERROR(ROUND(IF($D49="SSJ",(VLOOKUP($H49,'Programa Drench'!$B$6:$AA$182,MATCH(S$2,'Programa Drench'!$B$5:$AA$5,0),FALSE)),VLOOKUP($H49,'Programa Drench'!$B$6:$AA$182,MATCH(S$2,'Programa Drench'!$B$5:$AA$5,0),FALSE)),1),0)</f>
        <v>0</v>
      </c>
      <c r="T49" s="30">
        <f>IFERROR((VLOOKUP($H49,'Programa Drench'!$B$6:$AA$182,MATCH(T$2,'Programa Drench'!$B$5:$AA$5,0),FALSE)),0)</f>
        <v>0</v>
      </c>
      <c r="U49" s="36">
        <f>IFERROR((VLOOKUP($H49,'Programa Drench'!$B$6:$AA$182,MATCH(U$2,'Programa Drench'!$B$5:$AA$5,0),FALSE)*V49),0)</f>
        <v>0</v>
      </c>
      <c r="V49" s="36">
        <f t="shared" ref="V49:V53" si="20">IFERROR(ROUND((S49*$I49),-1),0)</f>
        <v>0</v>
      </c>
      <c r="W49" s="89">
        <f>IFERROR(ROUND(IF($D49="SSJ",(VLOOKUP($H49,'Programa Drench'!$B$6:$AA$182,MATCH(W$2,'Programa Drench'!$B$5:$AA$5,0),FALSE)),VLOOKUP($H49,'Programa Drench'!$B$6:$AA$182,MATCH(W$2,'Programa Drench'!$B$5:$AA$5,0),FALSE)),1),0)</f>
        <v>0</v>
      </c>
      <c r="X49" s="30">
        <f>IFERROR((VLOOKUP($H49,'Programa Drench'!$B$6:$AA$182,MATCH(X$2,'Programa Drench'!$B$5:$AA$5,0),FALSE)),0)</f>
        <v>0</v>
      </c>
      <c r="Y49" s="36">
        <f>IFERROR((VLOOKUP($H49,'Programa Drench'!$B$6:$AA$182,MATCH(Y$2,'Programa Drench'!$B$5:$AA$5,0),FALSE)*Z49),0)</f>
        <v>0</v>
      </c>
      <c r="Z49" s="36">
        <f t="shared" ref="Z49:Z53" si="21">IFERROR(ROUND((W49*$I49),-1),0)</f>
        <v>0</v>
      </c>
      <c r="AA49" s="89">
        <f>IFERROR(ROUND(IF($D49="SSJ",(VLOOKUP($H49,'Programa Drench'!$B$6:$AA$182,MATCH(AA$2,'Programa Drench'!$B$5:$AA$5,0),FALSE)),VLOOKUP($H49,'Programa Drench'!$B$6:$AA$182,MATCH(AA$2,'Programa Drench'!$B$5:$AA$5,0),FALSE)),1),0)</f>
        <v>0</v>
      </c>
      <c r="AB49" s="30">
        <f>IFERROR((VLOOKUP($H49,'Programa Drench'!$B$6:$AA$182,MATCH(AB$2,'Programa Drench'!$B$5:$AA$5,0),FALSE)),0)</f>
        <v>0</v>
      </c>
      <c r="AC49" s="83">
        <f>IFERROR((VLOOKUP($H49,'Programa Drench'!$B$6:$AA$182,MATCH(AC$2,'Programa Drench'!$B$5:$AA$5,0),FALSE)*$I49),0)</f>
        <v>0</v>
      </c>
      <c r="AD49" s="36">
        <f t="shared" ref="AD49:AD53" si="22">IFERROR(ROUND((AA49*$I49),-1),0)</f>
        <v>0</v>
      </c>
      <c r="AE49" s="36">
        <f>IFERROR(ROUND((VLOOKUP($H49,'Programa Drench'!$B$6:$AA$182,MATCH(AE$2,'Programa Drench'!$B$5:$AA$5,0),FALSE)),-1),0)</f>
        <v>0</v>
      </c>
      <c r="AF49" s="30">
        <f>IFERROR((VLOOKUP($H49,'Programa Drench'!$B$6:$AA$182,MATCH(AF$2,'Programa Drench'!$B$5:$AA$5,0),FALSE)),0)</f>
        <v>0</v>
      </c>
      <c r="AG49" s="36">
        <f>IFERROR((VLOOKUP($H49,'Programa Drench'!$B$6:$AA$182,MATCH(AG$2,'Programa Drench'!$B$5:$AA$5,0),FALSE)*AH49),0)</f>
        <v>0</v>
      </c>
      <c r="AH49" s="36">
        <f>IFERROR(ROUND((VLOOKUP($H49,'Programa Drench'!$B$6:$AA$182,MATCH(AH$2,'Programa Drench'!$B$5:$AA$5,0),FALSE)*$I49),-1),0)</f>
        <v>0</v>
      </c>
      <c r="AI49" s="89">
        <f>IFERROR((VLOOKUP($H49,'Programa Drench'!$B$6:$AA$182,MATCH(AI$2,'Programa Drench'!$B$5:$AA$5,0),FALSE)),0)</f>
        <v>0</v>
      </c>
    </row>
    <row r="50" spans="1:35" ht="15" hidden="1" customHeight="1" x14ac:dyDescent="0.2">
      <c r="A50" s="14">
        <f t="shared" si="16"/>
        <v>2572</v>
      </c>
      <c r="B50" s="77"/>
      <c r="C50" s="54"/>
      <c r="D50" s="54"/>
      <c r="E50" s="54"/>
      <c r="F50" s="54"/>
      <c r="G50" s="14" t="str">
        <f t="shared" si="1"/>
        <v/>
      </c>
      <c r="H50" s="28" t="str">
        <f t="shared" si="9"/>
        <v xml:space="preserve">2572  </v>
      </c>
      <c r="I50" s="262" t="e">
        <f>IF(D50="MM1",VLOOKUP($B50,'Inf Bloques'!$A$1:$K$453,11,FALSE)*1,VLOOKUP($B50,'Inf Bloques'!$A$1:$K$453,11,FALSE))</f>
        <v>#N/A</v>
      </c>
      <c r="J50" s="3" t="e">
        <f t="shared" si="17"/>
        <v>#N/A</v>
      </c>
      <c r="K50" s="89">
        <f>IFERROR(ROUND(IF($D50="SSJ",(VLOOKUP($H50,'Programa Drench'!$B$6:$AA$182,MATCH(K$2,'Programa Drench'!$B$5:$AA$5,0),FALSE)),VLOOKUP($H50,'Programa Drench'!$B$6:$AA$182,MATCH(K$2,'Programa Drench'!$B$5:$AA$5,0),FALSE)),1),0)</f>
        <v>0</v>
      </c>
      <c r="L50" s="30">
        <f>IFERROR((VLOOKUP($H50,'Programa Drench'!$B$6:$AA$182,MATCH(L$2,'Programa Drench'!$B$5:$AA$5,0),FALSE)),0)</f>
        <v>0</v>
      </c>
      <c r="M50" s="36">
        <f>IFERROR((VLOOKUP($H50,'Programa Drench'!$B$6:$AA$182,MATCH(M$2,'Programa Drench'!$B$5:$AA$5,0),FALSE)*N50),0)</f>
        <v>0</v>
      </c>
      <c r="N50" s="36">
        <f t="shared" si="18"/>
        <v>0</v>
      </c>
      <c r="O50" s="89">
        <f>IFERROR(ROUND(IF($D50="SSJ",(VLOOKUP($H50,'Programa Drench'!$B$6:$AA$182,MATCH(O$2,'Programa Drench'!$B$5:$AA$5,0),FALSE)),VLOOKUP($H50,'Programa Drench'!$B$6:$AA$182,MATCH(O$2,'Programa Drench'!$B$5:$AA$5,0),FALSE)),1),0)</f>
        <v>0</v>
      </c>
      <c r="P50" s="30">
        <f>IFERROR((VLOOKUP($H50,'Programa Drench'!$B$6:$AA$182,MATCH(P$2,'Programa Drench'!$B$5:$AA$5,0),FALSE)),0)</f>
        <v>0</v>
      </c>
      <c r="Q50" s="36">
        <f>IFERROR((VLOOKUP($H50,'Programa Drench'!$B$6:$AA$182,MATCH(Q$2,'Programa Drench'!$B$5:$AA$5,0),FALSE)*R50),0)</f>
        <v>0</v>
      </c>
      <c r="R50" s="36">
        <f t="shared" si="19"/>
        <v>0</v>
      </c>
      <c r="S50" s="89">
        <f>IFERROR(ROUND(IF($D50="SSJ",(VLOOKUP($H50,'Programa Drench'!$B$6:$AA$182,MATCH(S$2,'Programa Drench'!$B$5:$AA$5,0),FALSE)),VLOOKUP($H50,'Programa Drench'!$B$6:$AA$182,MATCH(S$2,'Programa Drench'!$B$5:$AA$5,0),FALSE)),1),0)</f>
        <v>0</v>
      </c>
      <c r="T50" s="30">
        <f>IFERROR((VLOOKUP($H50,'Programa Drench'!$B$6:$AA$182,MATCH(T$2,'Programa Drench'!$B$5:$AA$5,0),FALSE)),0)</f>
        <v>0</v>
      </c>
      <c r="U50" s="36">
        <f>IFERROR((VLOOKUP($H50,'Programa Drench'!$B$6:$AA$182,MATCH(U$2,'Programa Drench'!$B$5:$AA$5,0),FALSE)*V50),0)</f>
        <v>0</v>
      </c>
      <c r="V50" s="36">
        <f t="shared" si="20"/>
        <v>0</v>
      </c>
      <c r="W50" s="89">
        <f>IFERROR(ROUND(IF($D50="SSJ",(VLOOKUP($H50,'Programa Drench'!$B$6:$AA$182,MATCH(W$2,'Programa Drench'!$B$5:$AA$5,0),FALSE)),VLOOKUP($H50,'Programa Drench'!$B$6:$AA$182,MATCH(W$2,'Programa Drench'!$B$5:$AA$5,0),FALSE)),1),0)</f>
        <v>0</v>
      </c>
      <c r="X50" s="30">
        <f>IFERROR((VLOOKUP($H50,'Programa Drench'!$B$6:$AA$182,MATCH(X$2,'Programa Drench'!$B$5:$AA$5,0),FALSE)),0)</f>
        <v>0</v>
      </c>
      <c r="Y50" s="36">
        <f>IFERROR((VLOOKUP($H50,'Programa Drench'!$B$6:$AA$182,MATCH(Y$2,'Programa Drench'!$B$5:$AA$5,0),FALSE)*Z50),0)</f>
        <v>0</v>
      </c>
      <c r="Z50" s="36">
        <f t="shared" si="21"/>
        <v>0</v>
      </c>
      <c r="AA50" s="89">
        <f>IFERROR(ROUND(IF($D50="SSJ",(VLOOKUP($H50,'Programa Drench'!$B$6:$AA$182,MATCH(AA$2,'Programa Drench'!$B$5:$AA$5,0),FALSE)),VLOOKUP($H50,'Programa Drench'!$B$6:$AA$182,MATCH(AA$2,'Programa Drench'!$B$5:$AA$5,0),FALSE)),1),0)</f>
        <v>0</v>
      </c>
      <c r="AB50" s="30">
        <f>IFERROR((VLOOKUP($H50,'Programa Drench'!$B$6:$AA$182,MATCH(AB$2,'Programa Drench'!$B$5:$AA$5,0),FALSE)),0)</f>
        <v>0</v>
      </c>
      <c r="AC50" s="83">
        <f>IFERROR((VLOOKUP($H50,'Programa Drench'!$B$6:$AA$182,MATCH(AC$2,'Programa Drench'!$B$5:$AA$5,0),FALSE)*$I50),0)</f>
        <v>0</v>
      </c>
      <c r="AD50" s="36">
        <f t="shared" si="22"/>
        <v>0</v>
      </c>
      <c r="AE50" s="36">
        <f>IFERROR(ROUND((VLOOKUP($H50,'Programa Drench'!$B$6:$AA$182,MATCH(AE$2,'Programa Drench'!$B$5:$AA$5,0),FALSE)),-1),0)</f>
        <v>0</v>
      </c>
      <c r="AF50" s="30">
        <f>IFERROR((VLOOKUP($H50,'Programa Drench'!$B$6:$AA$182,MATCH(AF$2,'Programa Drench'!$B$5:$AA$5,0),FALSE)),0)</f>
        <v>0</v>
      </c>
      <c r="AG50" s="36">
        <f>IFERROR((VLOOKUP($H50,'Programa Drench'!$B$6:$AA$182,MATCH(AG$2,'Programa Drench'!$B$5:$AA$5,0),FALSE)*AH50),0)</f>
        <v>0</v>
      </c>
      <c r="AH50" s="36">
        <f>IFERROR(ROUND((VLOOKUP($H50,'Programa Drench'!$B$6:$AA$182,MATCH(AH$2,'Programa Drench'!$B$5:$AA$5,0),FALSE)*$I50),-1),0)</f>
        <v>0</v>
      </c>
      <c r="AI50" s="89">
        <f>IFERROR((VLOOKUP($H50,'Programa Drench'!$B$6:$AA$182,MATCH(AI$2,'Programa Drench'!$B$5:$AA$5,0),FALSE)),0)</f>
        <v>0</v>
      </c>
    </row>
    <row r="51" spans="1:35" ht="15" hidden="1" customHeight="1" x14ac:dyDescent="0.2">
      <c r="A51" s="14">
        <f t="shared" si="16"/>
        <v>2572</v>
      </c>
      <c r="B51" s="77"/>
      <c r="C51" s="54"/>
      <c r="D51" s="54"/>
      <c r="E51" s="54"/>
      <c r="F51" s="54"/>
      <c r="G51" s="14" t="str">
        <f t="shared" si="1"/>
        <v/>
      </c>
      <c r="H51" s="28" t="str">
        <f t="shared" si="9"/>
        <v xml:space="preserve">2572  </v>
      </c>
      <c r="I51" s="262" t="e">
        <f>IF(D51="MM1",VLOOKUP($B51,'Inf Bloques'!$A$1:$K$453,11,FALSE)*1,VLOOKUP($B51,'Inf Bloques'!$A$1:$K$453,11,FALSE))</f>
        <v>#N/A</v>
      </c>
      <c r="J51" s="3" t="e">
        <f t="shared" si="17"/>
        <v>#N/A</v>
      </c>
      <c r="K51" s="89">
        <f>IFERROR(ROUND(IF($D51="SSJ",(VLOOKUP($H51,'Programa Drench'!$B$6:$AA$182,MATCH(K$2,'Programa Drench'!$B$5:$AA$5,0),FALSE)),VLOOKUP($H51,'Programa Drench'!$B$6:$AA$182,MATCH(K$2,'Programa Drench'!$B$5:$AA$5,0),FALSE)),1),0)</f>
        <v>0</v>
      </c>
      <c r="L51" s="30">
        <f>IFERROR((VLOOKUP($H51,'Programa Drench'!$B$6:$AA$182,MATCH(L$2,'Programa Drench'!$B$5:$AA$5,0),FALSE)),0)</f>
        <v>0</v>
      </c>
      <c r="M51" s="36">
        <f>IFERROR((VLOOKUP($H51,'Programa Drench'!$B$6:$AA$182,MATCH(M$2,'Programa Drench'!$B$5:$AA$5,0),FALSE)*N51),0)</f>
        <v>0</v>
      </c>
      <c r="N51" s="36">
        <f t="shared" si="18"/>
        <v>0</v>
      </c>
      <c r="O51" s="89">
        <f>IFERROR(ROUND(IF($D51="SSJ",(VLOOKUP($H51,'Programa Drench'!$B$6:$AA$182,MATCH(O$2,'Programa Drench'!$B$5:$AA$5,0),FALSE)),VLOOKUP($H51,'Programa Drench'!$B$6:$AA$182,MATCH(O$2,'Programa Drench'!$B$5:$AA$5,0),FALSE)),1),0)</f>
        <v>0</v>
      </c>
      <c r="P51" s="30">
        <f>IFERROR((VLOOKUP($H51,'Programa Drench'!$B$6:$AA$182,MATCH(P$2,'Programa Drench'!$B$5:$AA$5,0),FALSE)),0)</f>
        <v>0</v>
      </c>
      <c r="Q51" s="36">
        <f>IFERROR((VLOOKUP($H51,'Programa Drench'!$B$6:$AA$182,MATCH(Q$2,'Programa Drench'!$B$5:$AA$5,0),FALSE)*R51),0)</f>
        <v>0</v>
      </c>
      <c r="R51" s="36">
        <f t="shared" si="19"/>
        <v>0</v>
      </c>
      <c r="S51" s="89">
        <f>IFERROR(ROUND(IF($D51="SSJ",(VLOOKUP($H51,'Programa Drench'!$B$6:$AA$182,MATCH(S$2,'Programa Drench'!$B$5:$AA$5,0),FALSE)),VLOOKUP($H51,'Programa Drench'!$B$6:$AA$182,MATCH(S$2,'Programa Drench'!$B$5:$AA$5,0),FALSE)),1),0)</f>
        <v>0</v>
      </c>
      <c r="T51" s="30">
        <f>IFERROR((VLOOKUP($H51,'Programa Drench'!$B$6:$AA$182,MATCH(T$2,'Programa Drench'!$B$5:$AA$5,0),FALSE)),0)</f>
        <v>0</v>
      </c>
      <c r="U51" s="36">
        <f>IFERROR((VLOOKUP($H51,'Programa Drench'!$B$6:$AA$182,MATCH(U$2,'Programa Drench'!$B$5:$AA$5,0),FALSE)*V51),0)</f>
        <v>0</v>
      </c>
      <c r="V51" s="36">
        <f t="shared" si="20"/>
        <v>0</v>
      </c>
      <c r="W51" s="89">
        <f>IFERROR(ROUND(IF($D51="SSJ",(VLOOKUP($H51,'Programa Drench'!$B$6:$AA$182,MATCH(W$2,'Programa Drench'!$B$5:$AA$5,0),FALSE)),VLOOKUP($H51,'Programa Drench'!$B$6:$AA$182,MATCH(W$2,'Programa Drench'!$B$5:$AA$5,0),FALSE)),1),0)</f>
        <v>0</v>
      </c>
      <c r="X51" s="30">
        <f>IFERROR((VLOOKUP($H51,'Programa Drench'!$B$6:$AA$182,MATCH(X$2,'Programa Drench'!$B$5:$AA$5,0),FALSE)),0)</f>
        <v>0</v>
      </c>
      <c r="Y51" s="36">
        <f>IFERROR((VLOOKUP($H51,'Programa Drench'!$B$6:$AA$182,MATCH(Y$2,'Programa Drench'!$B$5:$AA$5,0),FALSE)*Z51),0)</f>
        <v>0</v>
      </c>
      <c r="Z51" s="36">
        <f t="shared" si="21"/>
        <v>0</v>
      </c>
      <c r="AA51" s="89">
        <f>IFERROR(ROUND(IF($D51="SSJ",(VLOOKUP($H51,'Programa Drench'!$B$6:$AA$182,MATCH(AA$2,'Programa Drench'!$B$5:$AA$5,0),FALSE)),VLOOKUP($H51,'Programa Drench'!$B$6:$AA$182,MATCH(AA$2,'Programa Drench'!$B$5:$AA$5,0),FALSE)),1),0)</f>
        <v>0</v>
      </c>
      <c r="AB51" s="30">
        <f>IFERROR((VLOOKUP($H51,'Programa Drench'!$B$6:$AA$182,MATCH(AB$2,'Programa Drench'!$B$5:$AA$5,0),FALSE)),0)</f>
        <v>0</v>
      </c>
      <c r="AC51" s="83">
        <f>IFERROR((VLOOKUP($H51,'Programa Drench'!$B$6:$AA$182,MATCH(AC$2,'Programa Drench'!$B$5:$AA$5,0),FALSE)*$I51),0)</f>
        <v>0</v>
      </c>
      <c r="AD51" s="36">
        <f t="shared" si="22"/>
        <v>0</v>
      </c>
      <c r="AE51" s="36">
        <f>IFERROR(ROUND((VLOOKUP($H51,'Programa Drench'!$B$6:$AA$182,MATCH(AE$2,'Programa Drench'!$B$5:$AA$5,0),FALSE)),-1),0)</f>
        <v>0</v>
      </c>
      <c r="AF51" s="30">
        <f>IFERROR((VLOOKUP($H51,'Programa Drench'!$B$6:$AA$182,MATCH(AF$2,'Programa Drench'!$B$5:$AA$5,0),FALSE)),0)</f>
        <v>0</v>
      </c>
      <c r="AG51" s="36">
        <f>IFERROR((VLOOKUP($H51,'Programa Drench'!$B$6:$AA$182,MATCH(AG$2,'Programa Drench'!$B$5:$AA$5,0),FALSE)*AH51),0)</f>
        <v>0</v>
      </c>
      <c r="AH51" s="36">
        <f>IFERROR(ROUND((VLOOKUP($H51,'Programa Drench'!$B$6:$AA$182,MATCH(AH$2,'Programa Drench'!$B$5:$AA$5,0),FALSE)*$I51),-1),0)</f>
        <v>0</v>
      </c>
      <c r="AI51" s="89">
        <f>IFERROR((VLOOKUP($H51,'Programa Drench'!$B$6:$AA$182,MATCH(AI$2,'Programa Drench'!$B$5:$AA$5,0),FALSE)),0)</f>
        <v>0</v>
      </c>
    </row>
    <row r="52" spans="1:35" ht="15" hidden="1" customHeight="1" x14ac:dyDescent="0.2">
      <c r="A52" s="14">
        <f t="shared" si="16"/>
        <v>2572</v>
      </c>
      <c r="B52" s="77"/>
      <c r="C52" s="54"/>
      <c r="D52" s="54"/>
      <c r="E52" s="54"/>
      <c r="F52" s="54"/>
      <c r="G52" s="53" t="str">
        <f t="shared" si="1"/>
        <v/>
      </c>
      <c r="H52" s="55" t="str">
        <f t="shared" si="9"/>
        <v xml:space="preserve">2572  </v>
      </c>
      <c r="I52" s="262" t="e">
        <f>IF(D52="MM1",VLOOKUP($B52,'Inf Bloques'!$A$1:$K$453,11,FALSE)*1,VLOOKUP($B52,'Inf Bloques'!$A$1:$K$453,11,FALSE))</f>
        <v>#N/A</v>
      </c>
      <c r="J52" s="3" t="e">
        <f t="shared" si="17"/>
        <v>#N/A</v>
      </c>
      <c r="K52" s="89">
        <f>IFERROR(ROUND(IF($D52="SSJ",(VLOOKUP($H52,'Programa Drench'!$B$6:$AA$182,MATCH(K$2,'Programa Drench'!$B$5:$AA$5,0),FALSE)),VLOOKUP($H52,'Programa Drench'!$B$6:$AA$182,MATCH(K$2,'Programa Drench'!$B$5:$AA$5,0),FALSE)),1),0)</f>
        <v>0</v>
      </c>
      <c r="L52" s="30">
        <f>IFERROR((VLOOKUP($H52,'Programa Drench'!$B$6:$AA$182,MATCH(L$2,'Programa Drench'!$B$5:$AA$5,0),FALSE)),0)</f>
        <v>0</v>
      </c>
      <c r="M52" s="36">
        <f>IFERROR((VLOOKUP($H52,'Programa Drench'!$B$6:$AA$182,MATCH(M$2,'Programa Drench'!$B$5:$AA$5,0),FALSE)*N52),0)</f>
        <v>0</v>
      </c>
      <c r="N52" s="36">
        <f t="shared" si="18"/>
        <v>0</v>
      </c>
      <c r="O52" s="89">
        <f>IFERROR(ROUND(IF($D52="SSJ",(VLOOKUP($H52,'Programa Drench'!$B$6:$AA$182,MATCH(O$2,'Programa Drench'!$B$5:$AA$5,0),FALSE)),VLOOKUP($H52,'Programa Drench'!$B$6:$AA$182,MATCH(O$2,'Programa Drench'!$B$5:$AA$5,0),FALSE)),1),0)</f>
        <v>0</v>
      </c>
      <c r="P52" s="30">
        <f>IFERROR((VLOOKUP($H52,'Programa Drench'!$B$6:$AA$182,MATCH(P$2,'Programa Drench'!$B$5:$AA$5,0),FALSE)),0)</f>
        <v>0</v>
      </c>
      <c r="Q52" s="36">
        <f>IFERROR((VLOOKUP($H52,'Programa Drench'!$B$6:$AA$182,MATCH(Q$2,'Programa Drench'!$B$5:$AA$5,0),FALSE)*R52),0)</f>
        <v>0</v>
      </c>
      <c r="R52" s="36">
        <f t="shared" si="19"/>
        <v>0</v>
      </c>
      <c r="S52" s="89">
        <f>IFERROR(ROUND(IF($D52="SSJ",(VLOOKUP($H52,'Programa Drench'!$B$6:$AA$182,MATCH(S$2,'Programa Drench'!$B$5:$AA$5,0),FALSE)),VLOOKUP($H52,'Programa Drench'!$B$6:$AA$182,MATCH(S$2,'Programa Drench'!$B$5:$AA$5,0),FALSE)),1),0)</f>
        <v>0</v>
      </c>
      <c r="T52" s="30">
        <f>IFERROR((VLOOKUP($H52,'Programa Drench'!$B$6:$AA$182,MATCH(T$2,'Programa Drench'!$B$5:$AA$5,0),FALSE)),0)</f>
        <v>0</v>
      </c>
      <c r="U52" s="36">
        <f>IFERROR((VLOOKUP($H52,'Programa Drench'!$B$6:$AA$182,MATCH(U$2,'Programa Drench'!$B$5:$AA$5,0),FALSE)*V52),0)</f>
        <v>0</v>
      </c>
      <c r="V52" s="36">
        <f t="shared" si="20"/>
        <v>0</v>
      </c>
      <c r="W52" s="89">
        <f>IFERROR(ROUND(IF($D52="SSJ",(VLOOKUP($H52,'Programa Drench'!$B$6:$AA$182,MATCH(W$2,'Programa Drench'!$B$5:$AA$5,0),FALSE)),VLOOKUP($H52,'Programa Drench'!$B$6:$AA$182,MATCH(W$2,'Programa Drench'!$B$5:$AA$5,0),FALSE)),1),0)</f>
        <v>0</v>
      </c>
      <c r="X52" s="30">
        <f>IFERROR((VLOOKUP($H52,'Programa Drench'!$B$6:$AA$182,MATCH(X$2,'Programa Drench'!$B$5:$AA$5,0),FALSE)),0)</f>
        <v>0</v>
      </c>
      <c r="Y52" s="36">
        <f>IFERROR((VLOOKUP($H52,'Programa Drench'!$B$6:$AA$182,MATCH(Y$2,'Programa Drench'!$B$5:$AA$5,0),FALSE)*Z52),0)</f>
        <v>0</v>
      </c>
      <c r="Z52" s="36">
        <f t="shared" si="21"/>
        <v>0</v>
      </c>
      <c r="AA52" s="89">
        <f>IFERROR(ROUND(IF($D52="SSJ",(VLOOKUP($H52,'Programa Drench'!$B$6:$AA$182,MATCH(AA$2,'Programa Drench'!$B$5:$AA$5,0),FALSE)),VLOOKUP($H52,'Programa Drench'!$B$6:$AA$182,MATCH(AA$2,'Programa Drench'!$B$5:$AA$5,0),FALSE)),1),0)</f>
        <v>0</v>
      </c>
      <c r="AB52" s="30">
        <f>IFERROR((VLOOKUP($H52,'Programa Drench'!$B$6:$AA$182,MATCH(AB$2,'Programa Drench'!$B$5:$AA$5,0),FALSE)),0)</f>
        <v>0</v>
      </c>
      <c r="AC52" s="83">
        <f>IFERROR((VLOOKUP($H52,'Programa Drench'!$B$6:$AA$182,MATCH(AC$2,'Programa Drench'!$B$5:$AA$5,0),FALSE)*$I52),0)</f>
        <v>0</v>
      </c>
      <c r="AD52" s="36">
        <f t="shared" si="22"/>
        <v>0</v>
      </c>
      <c r="AE52" s="36">
        <f>IFERROR(ROUND((VLOOKUP($H52,'Programa Drench'!$B$6:$AA$182,MATCH(AE$2,'Programa Drench'!$B$5:$AA$5,0),FALSE)),-1),0)</f>
        <v>0</v>
      </c>
      <c r="AF52" s="30">
        <f>IFERROR((VLOOKUP($H52,'Programa Drench'!$B$6:$AA$182,MATCH(AF$2,'Programa Drench'!$B$5:$AA$5,0),FALSE)),0)</f>
        <v>0</v>
      </c>
      <c r="AG52" s="36">
        <f>IFERROR((VLOOKUP($H52,'Programa Drench'!$B$6:$AA$182,MATCH(AG$2,'Programa Drench'!$B$5:$AA$5,0),FALSE)*AH52),0)</f>
        <v>0</v>
      </c>
      <c r="AH52" s="36">
        <f>IFERROR(ROUND((VLOOKUP($H52,'Programa Drench'!$B$6:$AA$182,MATCH(AH$2,'Programa Drench'!$B$5:$AA$5,0),FALSE)*$I52),-1),0)</f>
        <v>0</v>
      </c>
      <c r="AI52" s="89">
        <f>IFERROR((VLOOKUP($H52,'Programa Drench'!$B$6:$AA$182,MATCH(AI$2,'Programa Drench'!$B$5:$AA$5,0),FALSE)),0)</f>
        <v>0</v>
      </c>
    </row>
    <row r="53" spans="1:35" ht="15" hidden="1" customHeight="1" x14ac:dyDescent="0.2">
      <c r="A53" s="14">
        <f t="shared" si="16"/>
        <v>2572</v>
      </c>
      <c r="B53" s="77"/>
      <c r="C53" s="54"/>
      <c r="D53" s="54"/>
      <c r="E53" s="54"/>
      <c r="F53" s="54"/>
      <c r="G53" s="53" t="str">
        <f t="shared" si="1"/>
        <v/>
      </c>
      <c r="H53" s="55" t="str">
        <f t="shared" si="9"/>
        <v xml:space="preserve">2572  </v>
      </c>
      <c r="I53" s="262" t="e">
        <f>IF(D53="MM1",VLOOKUP($B53,'Inf Bloques'!$A$1:$K$453,11,FALSE)*1,VLOOKUP($B53,'Inf Bloques'!$A$1:$K$453,11,FALSE))</f>
        <v>#N/A</v>
      </c>
      <c r="J53" s="3" t="e">
        <f t="shared" si="17"/>
        <v>#N/A</v>
      </c>
      <c r="K53" s="89">
        <f>IFERROR(ROUND(IF($D53="SSJ",(VLOOKUP($H53,'Programa Drench'!$B$6:$AA$182,MATCH(K$2,'Programa Drench'!$B$5:$AA$5,0),FALSE)),VLOOKUP($H53,'Programa Drench'!$B$6:$AA$182,MATCH(K$2,'Programa Drench'!$B$5:$AA$5,0),FALSE)),1),0)</f>
        <v>0</v>
      </c>
      <c r="L53" s="30">
        <f>IFERROR((VLOOKUP($H53,'Programa Drench'!$B$6:$AA$182,MATCH(L$2,'Programa Drench'!$B$5:$AA$5,0),FALSE)),0)</f>
        <v>0</v>
      </c>
      <c r="M53" s="36">
        <f>IFERROR((VLOOKUP($H53,'Programa Drench'!$B$6:$AA$182,MATCH(M$2,'Programa Drench'!$B$5:$AA$5,0),FALSE)*N53),0)</f>
        <v>0</v>
      </c>
      <c r="N53" s="36">
        <f t="shared" si="18"/>
        <v>0</v>
      </c>
      <c r="O53" s="89">
        <f>IFERROR(ROUND(IF($D53="SSJ",(VLOOKUP($H53,'Programa Drench'!$B$6:$AA$182,MATCH(O$2,'Programa Drench'!$B$5:$AA$5,0),FALSE)),VLOOKUP($H53,'Programa Drench'!$B$6:$AA$182,MATCH(O$2,'Programa Drench'!$B$5:$AA$5,0),FALSE)),1),0)</f>
        <v>0</v>
      </c>
      <c r="P53" s="30">
        <f>IFERROR((VLOOKUP($H53,'Programa Drench'!$B$6:$AA$182,MATCH(P$2,'Programa Drench'!$B$5:$AA$5,0),FALSE)),0)</f>
        <v>0</v>
      </c>
      <c r="Q53" s="36">
        <f>IFERROR((VLOOKUP($H53,'Programa Drench'!$B$6:$AA$182,MATCH(Q$2,'Programa Drench'!$B$5:$AA$5,0),FALSE)*R53),0)</f>
        <v>0</v>
      </c>
      <c r="R53" s="36">
        <f t="shared" si="19"/>
        <v>0</v>
      </c>
      <c r="S53" s="89">
        <f>IFERROR(ROUND(IF($D53="SSJ",(VLOOKUP($H53,'Programa Drench'!$B$6:$AA$182,MATCH(S$2,'Programa Drench'!$B$5:$AA$5,0),FALSE)),VLOOKUP($H53,'Programa Drench'!$B$6:$AA$182,MATCH(S$2,'Programa Drench'!$B$5:$AA$5,0),FALSE)),1),0)</f>
        <v>0</v>
      </c>
      <c r="T53" s="30">
        <f>IFERROR((VLOOKUP($H53,'Programa Drench'!$B$6:$AA$182,MATCH(T$2,'Programa Drench'!$B$5:$AA$5,0),FALSE)),0)</f>
        <v>0</v>
      </c>
      <c r="U53" s="36">
        <f>IFERROR((VLOOKUP($H53,'Programa Drench'!$B$6:$AA$182,MATCH(U$2,'Programa Drench'!$B$5:$AA$5,0),FALSE)*V53),0)</f>
        <v>0</v>
      </c>
      <c r="V53" s="36">
        <f t="shared" si="20"/>
        <v>0</v>
      </c>
      <c r="W53" s="89">
        <f>IFERROR(ROUND(IF($D53="SSJ",(VLOOKUP($H53,'Programa Drench'!$B$6:$AA$182,MATCH(W$2,'Programa Drench'!$B$5:$AA$5,0),FALSE)),VLOOKUP($H53,'Programa Drench'!$B$6:$AA$182,MATCH(W$2,'Programa Drench'!$B$5:$AA$5,0),FALSE)),1),0)</f>
        <v>0</v>
      </c>
      <c r="X53" s="30">
        <f>IFERROR((VLOOKUP($H53,'Programa Drench'!$B$6:$AA$182,MATCH(X$2,'Programa Drench'!$B$5:$AA$5,0),FALSE)),0)</f>
        <v>0</v>
      </c>
      <c r="Y53" s="36">
        <f>IFERROR((VLOOKUP($H53,'Programa Drench'!$B$6:$AA$182,MATCH(Y$2,'Programa Drench'!$B$5:$AA$5,0),FALSE)*Z53),0)</f>
        <v>0</v>
      </c>
      <c r="Z53" s="36">
        <f t="shared" si="21"/>
        <v>0</v>
      </c>
      <c r="AA53" s="89">
        <f>IFERROR(ROUND(IF($D53="SSJ",(VLOOKUP($H53,'Programa Drench'!$B$6:$AA$182,MATCH(AA$2,'Programa Drench'!$B$5:$AA$5,0),FALSE)),VLOOKUP($H53,'Programa Drench'!$B$6:$AA$182,MATCH(AA$2,'Programa Drench'!$B$5:$AA$5,0),FALSE)),1),0)</f>
        <v>0</v>
      </c>
      <c r="AB53" s="30">
        <f>IFERROR((VLOOKUP($H53,'Programa Drench'!$B$6:$AA$182,MATCH(AB$2,'Programa Drench'!$B$5:$AA$5,0),FALSE)),0)</f>
        <v>0</v>
      </c>
      <c r="AC53" s="83">
        <f>IFERROR((VLOOKUP($H53,'Programa Drench'!$B$6:$AA$182,MATCH(AC$2,'Programa Drench'!$B$5:$AA$5,0),FALSE)*$I53),0)</f>
        <v>0</v>
      </c>
      <c r="AD53" s="36">
        <f t="shared" si="22"/>
        <v>0</v>
      </c>
      <c r="AE53" s="36">
        <f>IFERROR(ROUND((VLOOKUP($H53,'Programa Drench'!$B$6:$AA$182,MATCH(AE$2,'Programa Drench'!$B$5:$AA$5,0),FALSE)),-1),0)</f>
        <v>0</v>
      </c>
      <c r="AF53" s="30">
        <f>IFERROR((VLOOKUP($H53,'Programa Drench'!$B$6:$AA$182,MATCH(AF$2,'Programa Drench'!$B$5:$AA$5,0),FALSE)),0)</f>
        <v>0</v>
      </c>
      <c r="AG53" s="36">
        <f>IFERROR((VLOOKUP($H53,'Programa Drench'!$B$6:$AA$182,MATCH(AG$2,'Programa Drench'!$B$5:$AA$5,0),FALSE)*AH53),0)</f>
        <v>0</v>
      </c>
      <c r="AH53" s="36">
        <f>IFERROR(ROUND((VLOOKUP($H53,'Programa Drench'!$B$6:$AA$182,MATCH(AH$2,'Programa Drench'!$B$5:$AA$5,0),FALSE)*$I53),-1),0)</f>
        <v>0</v>
      </c>
      <c r="AI53" s="89">
        <f>IFERROR((VLOOKUP($H53,'Programa Drench'!$B$6:$AA$182,MATCH(AI$2,'Programa Drench'!$B$5:$AA$5,0),FALSE)),0)</f>
        <v>0</v>
      </c>
    </row>
    <row r="54" spans="1:35" ht="15" hidden="1" customHeight="1" x14ac:dyDescent="0.2">
      <c r="A54" s="14">
        <f t="shared" si="16"/>
        <v>2572</v>
      </c>
      <c r="B54" s="77"/>
      <c r="C54" s="54"/>
      <c r="D54" s="54"/>
      <c r="E54" s="54"/>
      <c r="F54" s="54"/>
      <c r="G54" s="53" t="str">
        <f t="shared" si="1"/>
        <v/>
      </c>
      <c r="H54" s="55" t="str">
        <f t="shared" si="9"/>
        <v xml:space="preserve">2572  </v>
      </c>
      <c r="I54" s="262" t="e">
        <f>IF(D54="MM1",VLOOKUP($B54,'Inf Bloques'!$A$1:$K$453,11,FALSE)*1,VLOOKUP($B54,'Inf Bloques'!$A$1:$K$453,11,FALSE))</f>
        <v>#N/A</v>
      </c>
      <c r="J54" s="3" t="e">
        <f t="shared" ref="J54:J55" si="23">I54/9</f>
        <v>#N/A</v>
      </c>
      <c r="K54" s="89">
        <f>IFERROR(ROUND(IF($D54="SSJ",(VLOOKUP($H54,'Programa Drench'!$B$6:$AA$182,MATCH(K$2,'Programa Drench'!$B$5:$AA$5,0),FALSE)),VLOOKUP($H54,'Programa Drench'!$B$6:$AA$182,MATCH(K$2,'Programa Drench'!$B$5:$AA$5,0),FALSE)),1),0)</f>
        <v>0</v>
      </c>
      <c r="L54" s="30">
        <f>IFERROR((VLOOKUP($H54,'Programa Drench'!$B$6:$AA$182,MATCH(L$2,'Programa Drench'!$B$5:$AA$5,0),FALSE)),0)</f>
        <v>0</v>
      </c>
      <c r="M54" s="36">
        <f>IFERROR((VLOOKUP($H54,'Programa Drench'!$B$6:$AA$182,MATCH(M$2,'Programa Drench'!$B$5:$AA$5,0),FALSE)*N54),0)</f>
        <v>0</v>
      </c>
      <c r="N54" s="36">
        <f t="shared" ref="N54:N55" si="24">IFERROR(ROUND((K54*$I54),-1),0)</f>
        <v>0</v>
      </c>
      <c r="O54" s="89">
        <f>IFERROR(ROUND(IF($D54="SSJ",(VLOOKUP($H54,'Programa Drench'!$B$6:$AA$182,MATCH(O$2,'Programa Drench'!$B$5:$AA$5,0),FALSE)),VLOOKUP($H54,'Programa Drench'!$B$6:$AA$182,MATCH(O$2,'Programa Drench'!$B$5:$AA$5,0),FALSE)),1),0)</f>
        <v>0</v>
      </c>
      <c r="P54" s="30">
        <f>IFERROR((VLOOKUP($H54,'Programa Drench'!$B$6:$AA$182,MATCH(P$2,'Programa Drench'!$B$5:$AA$5,0),FALSE)),0)</f>
        <v>0</v>
      </c>
      <c r="Q54" s="36">
        <f>IFERROR((VLOOKUP($H54,'Programa Drench'!$B$6:$AA$182,MATCH(Q$2,'Programa Drench'!$B$5:$AA$5,0),FALSE)*R54),0)</f>
        <v>0</v>
      </c>
      <c r="R54" s="36">
        <f t="shared" ref="R54:R55" si="25">IFERROR(ROUND((O54*$I54),-1),0)</f>
        <v>0</v>
      </c>
      <c r="S54" s="89">
        <f>IFERROR(ROUND(IF($D54="SSJ",(VLOOKUP($H54,'Programa Drench'!$B$6:$AA$182,MATCH(S$2,'Programa Drench'!$B$5:$AA$5,0),FALSE)),VLOOKUP($H54,'Programa Drench'!$B$6:$AA$182,MATCH(S$2,'Programa Drench'!$B$5:$AA$5,0),FALSE)),1),0)</f>
        <v>0</v>
      </c>
      <c r="T54" s="30">
        <f>IFERROR((VLOOKUP($H54,'Programa Drench'!$B$6:$AA$182,MATCH(T$2,'Programa Drench'!$B$5:$AA$5,0),FALSE)),0)</f>
        <v>0</v>
      </c>
      <c r="U54" s="36">
        <f>IFERROR((VLOOKUP($H54,'Programa Drench'!$B$6:$AA$182,MATCH(U$2,'Programa Drench'!$B$5:$AA$5,0),FALSE)*V54),0)</f>
        <v>0</v>
      </c>
      <c r="V54" s="36">
        <f t="shared" ref="V54:V55" si="26">IFERROR(ROUND((S54*$I54),-1),0)</f>
        <v>0</v>
      </c>
      <c r="W54" s="89">
        <f>IFERROR(ROUND(IF($D54="SSJ",(VLOOKUP($H54,'Programa Drench'!$B$6:$AA$182,MATCH(W$2,'Programa Drench'!$B$5:$AA$5,0),FALSE)),VLOOKUP($H54,'Programa Drench'!$B$6:$AA$182,MATCH(W$2,'Programa Drench'!$B$5:$AA$5,0),FALSE)),1),0)</f>
        <v>0</v>
      </c>
      <c r="X54" s="30">
        <f>IFERROR((VLOOKUP($H54,'Programa Drench'!$B$6:$AA$182,MATCH(X$2,'Programa Drench'!$B$5:$AA$5,0),FALSE)),0)</f>
        <v>0</v>
      </c>
      <c r="Y54" s="36">
        <f>IFERROR((VLOOKUP($H54,'Programa Drench'!$B$6:$AA$182,MATCH(Y$2,'Programa Drench'!$B$5:$AA$5,0),FALSE)*Z54),0)</f>
        <v>0</v>
      </c>
      <c r="Z54" s="36">
        <f t="shared" ref="Z54:Z55" si="27">IFERROR(ROUND((W54*$I54),-1),0)</f>
        <v>0</v>
      </c>
      <c r="AA54" s="89">
        <f>IFERROR(ROUND(IF($D54="SSJ",(VLOOKUP($H54,'Programa Drench'!$B$6:$AA$182,MATCH(AA$2,'Programa Drench'!$B$5:$AA$5,0),FALSE)),VLOOKUP($H54,'Programa Drench'!$B$6:$AA$182,MATCH(AA$2,'Programa Drench'!$B$5:$AA$5,0),FALSE)),1),0)</f>
        <v>0</v>
      </c>
      <c r="AB54" s="30">
        <f>IFERROR((VLOOKUP($H54,'Programa Drench'!$B$6:$AA$182,MATCH(AB$2,'Programa Drench'!$B$5:$AA$5,0),FALSE)),0)</f>
        <v>0</v>
      </c>
      <c r="AC54" s="83">
        <f>IFERROR((VLOOKUP($H54,'Programa Drench'!$B$6:$AA$182,MATCH(AC$2,'Programa Drench'!$B$5:$AA$5,0),FALSE)*$I54),0)</f>
        <v>0</v>
      </c>
      <c r="AD54" s="36">
        <f t="shared" ref="AD54:AD55" si="28">IFERROR(ROUND((AA54*$I54),-1),0)</f>
        <v>0</v>
      </c>
      <c r="AE54" s="36">
        <f>IFERROR(ROUND((VLOOKUP($H54,'Programa Drench'!$B$6:$AA$182,MATCH(AE$2,'Programa Drench'!$B$5:$AA$5,0),FALSE)),-1),0)</f>
        <v>0</v>
      </c>
      <c r="AF54" s="30">
        <f>IFERROR((VLOOKUP($H54,'Programa Drench'!$B$6:$AA$182,MATCH(AF$2,'Programa Drench'!$B$5:$AA$5,0),FALSE)),0)</f>
        <v>0</v>
      </c>
      <c r="AG54" s="36">
        <f>IFERROR((VLOOKUP($H54,'Programa Drench'!$B$6:$AA$182,MATCH(AG$2,'Programa Drench'!$B$5:$AA$5,0),FALSE)*AH54),0)</f>
        <v>0</v>
      </c>
      <c r="AH54" s="36">
        <f>IFERROR(ROUND((VLOOKUP($H54,'Programa Drench'!$B$6:$AA$182,MATCH(AH$2,'Programa Drench'!$B$5:$AA$5,0),FALSE)*$I54),-1),0)</f>
        <v>0</v>
      </c>
      <c r="AI54" s="89">
        <f>IFERROR((VLOOKUP($H54,'Programa Drench'!$B$6:$AA$182,MATCH(AI$2,'Programa Drench'!$B$5:$AA$5,0),FALSE)),0)</f>
        <v>0</v>
      </c>
    </row>
    <row r="55" spans="1:35" ht="15" hidden="1" customHeight="1" x14ac:dyDescent="0.2">
      <c r="A55" s="14">
        <f t="shared" si="16"/>
        <v>2572</v>
      </c>
      <c r="B55" s="77"/>
      <c r="C55" s="54"/>
      <c r="D55" s="54"/>
      <c r="E55" s="54"/>
      <c r="F55" s="54"/>
      <c r="G55" s="53" t="str">
        <f t="shared" si="1"/>
        <v/>
      </c>
      <c r="H55" s="55" t="str">
        <f t="shared" si="9"/>
        <v xml:space="preserve">2572  </v>
      </c>
      <c r="I55" s="262" t="e">
        <f>IF(D55="MM1",VLOOKUP($B55,'Inf Bloques'!$A$1:$K$453,11,FALSE)*1,VLOOKUP($B55,'Inf Bloques'!$A$1:$K$453,11,FALSE))</f>
        <v>#N/A</v>
      </c>
      <c r="J55" s="3" t="e">
        <f t="shared" si="23"/>
        <v>#N/A</v>
      </c>
      <c r="K55" s="89">
        <f>IFERROR(ROUND(IF($D55="SSJ",(VLOOKUP($H55,'Programa Drench'!$B$6:$AA$182,MATCH(K$2,'Programa Drench'!$B$5:$AA$5,0),FALSE)),VLOOKUP($H55,'Programa Drench'!$B$6:$AA$182,MATCH(K$2,'Programa Drench'!$B$5:$AA$5,0),FALSE)),1),0)</f>
        <v>0</v>
      </c>
      <c r="L55" s="30">
        <f>IFERROR((VLOOKUP($H55,'Programa Drench'!$B$6:$AA$182,MATCH(L$2,'Programa Drench'!$B$5:$AA$5,0),FALSE)),0)</f>
        <v>0</v>
      </c>
      <c r="M55" s="36">
        <f>IFERROR((VLOOKUP($H55,'Programa Drench'!$B$6:$AA$182,MATCH(M$2,'Programa Drench'!$B$5:$AA$5,0),FALSE)*N55),0)</f>
        <v>0</v>
      </c>
      <c r="N55" s="36">
        <f t="shared" si="24"/>
        <v>0</v>
      </c>
      <c r="O55" s="89">
        <f>IFERROR(ROUND(IF($D55="SSJ",(VLOOKUP($H55,'Programa Drench'!$B$6:$AA$182,MATCH(O$2,'Programa Drench'!$B$5:$AA$5,0),FALSE)),VLOOKUP($H55,'Programa Drench'!$B$6:$AA$182,MATCH(O$2,'Programa Drench'!$B$5:$AA$5,0),FALSE)),1),0)</f>
        <v>0</v>
      </c>
      <c r="P55" s="30">
        <f>IFERROR((VLOOKUP($H55,'Programa Drench'!$B$6:$AA$182,MATCH(P$2,'Programa Drench'!$B$5:$AA$5,0),FALSE)),0)</f>
        <v>0</v>
      </c>
      <c r="Q55" s="36">
        <f>IFERROR((VLOOKUP($H55,'Programa Drench'!$B$6:$AA$182,MATCH(Q$2,'Programa Drench'!$B$5:$AA$5,0),FALSE)*R55),0)</f>
        <v>0</v>
      </c>
      <c r="R55" s="36">
        <f t="shared" si="25"/>
        <v>0</v>
      </c>
      <c r="S55" s="89">
        <f>IFERROR(ROUND(IF($D55="SSJ",(VLOOKUP($H55,'Programa Drench'!$B$6:$AA$182,MATCH(S$2,'Programa Drench'!$B$5:$AA$5,0),FALSE)),VLOOKUP($H55,'Programa Drench'!$B$6:$AA$182,MATCH(S$2,'Programa Drench'!$B$5:$AA$5,0),FALSE)),1),0)</f>
        <v>0</v>
      </c>
      <c r="T55" s="30">
        <f>IFERROR((VLOOKUP($H55,'Programa Drench'!$B$6:$AA$182,MATCH(T$2,'Programa Drench'!$B$5:$AA$5,0),FALSE)),0)</f>
        <v>0</v>
      </c>
      <c r="U55" s="36">
        <f>IFERROR((VLOOKUP($H55,'Programa Drench'!$B$6:$AA$182,MATCH(U$2,'Programa Drench'!$B$5:$AA$5,0),FALSE)*V55),0)</f>
        <v>0</v>
      </c>
      <c r="V55" s="36">
        <f t="shared" si="26"/>
        <v>0</v>
      </c>
      <c r="W55" s="89">
        <f>IFERROR(ROUND(IF($D55="SSJ",(VLOOKUP($H55,'Programa Drench'!$B$6:$AA$182,MATCH(W$2,'Programa Drench'!$B$5:$AA$5,0),FALSE)),VLOOKUP($H55,'Programa Drench'!$B$6:$AA$182,MATCH(W$2,'Programa Drench'!$B$5:$AA$5,0),FALSE)),1),0)</f>
        <v>0</v>
      </c>
      <c r="X55" s="30">
        <f>IFERROR((VLOOKUP($H55,'Programa Drench'!$B$6:$AA$182,MATCH(X$2,'Programa Drench'!$B$5:$AA$5,0),FALSE)),0)</f>
        <v>0</v>
      </c>
      <c r="Y55" s="36">
        <f>IFERROR((VLOOKUP($H55,'Programa Drench'!$B$6:$AA$182,MATCH(Y$2,'Programa Drench'!$B$5:$AA$5,0),FALSE)*Z55),0)</f>
        <v>0</v>
      </c>
      <c r="Z55" s="36">
        <f t="shared" si="27"/>
        <v>0</v>
      </c>
      <c r="AA55" s="89">
        <f>IFERROR(ROUND(IF($D55="SSJ",(VLOOKUP($H55,'Programa Drench'!$B$6:$AA$182,MATCH(AA$2,'Programa Drench'!$B$5:$AA$5,0),FALSE)),VLOOKUP($H55,'Programa Drench'!$B$6:$AA$182,MATCH(AA$2,'Programa Drench'!$B$5:$AA$5,0),FALSE)),1),0)</f>
        <v>0</v>
      </c>
      <c r="AB55" s="30">
        <f>IFERROR((VLOOKUP($H55,'Programa Drench'!$B$6:$AA$182,MATCH(AB$2,'Programa Drench'!$B$5:$AA$5,0),FALSE)),0)</f>
        <v>0</v>
      </c>
      <c r="AC55" s="83">
        <f>IFERROR((VLOOKUP($H55,'Programa Drench'!$B$6:$AA$182,MATCH(AC$2,'Programa Drench'!$B$5:$AA$5,0),FALSE)*$I55),0)</f>
        <v>0</v>
      </c>
      <c r="AD55" s="36">
        <f t="shared" si="28"/>
        <v>0</v>
      </c>
      <c r="AE55" s="36">
        <f>IFERROR(ROUND((VLOOKUP($H55,'Programa Drench'!$B$6:$AA$182,MATCH(AE$2,'Programa Drench'!$B$5:$AA$5,0),FALSE)),-1),0)</f>
        <v>0</v>
      </c>
      <c r="AF55" s="30">
        <f>IFERROR((VLOOKUP($H55,'Programa Drench'!$B$6:$AA$182,MATCH(AF$2,'Programa Drench'!$B$5:$AA$5,0),FALSE)),0)</f>
        <v>0</v>
      </c>
      <c r="AG55" s="36">
        <f>IFERROR((VLOOKUP($H55,'Programa Drench'!$B$6:$AA$182,MATCH(AG$2,'Programa Drench'!$B$5:$AA$5,0),FALSE)*AH55),0)</f>
        <v>0</v>
      </c>
      <c r="AH55" s="36">
        <f>IFERROR(ROUND((VLOOKUP($H55,'Programa Drench'!$B$6:$AA$182,MATCH(AH$2,'Programa Drench'!$B$5:$AA$5,0),FALSE)*$I55),-1),0)</f>
        <v>0</v>
      </c>
      <c r="AI55" s="89">
        <f>IFERROR((VLOOKUP($H55,'Programa Drench'!$B$6:$AA$182,MATCH(AI$2,'Programa Drench'!$B$5:$AA$5,0),FALSE)),0)</f>
        <v>0</v>
      </c>
    </row>
    <row r="56" spans="1:35" ht="15" hidden="1" customHeight="1" x14ac:dyDescent="0.2">
      <c r="A56" s="14">
        <f t="shared" si="16"/>
        <v>2572</v>
      </c>
      <c r="B56" s="77"/>
      <c r="C56" s="54"/>
      <c r="D56" s="54"/>
      <c r="E56" s="54"/>
      <c r="F56" s="54"/>
      <c r="G56" s="53" t="str">
        <f t="shared" ref="G56:G65" si="29">MID(E56,1,1)</f>
        <v/>
      </c>
      <c r="H56" s="55" t="str">
        <f t="shared" si="9"/>
        <v xml:space="preserve">2572  </v>
      </c>
      <c r="I56" s="262" t="e">
        <f>IF(D56="MM1",VLOOKUP($B56,'Inf Bloques'!$A$1:$K$453,11,FALSE)*1,VLOOKUP($B56,'Inf Bloques'!$A$1:$K$453,11,FALSE))</f>
        <v>#N/A</v>
      </c>
      <c r="J56" s="3" t="e">
        <f t="shared" ref="J56:J58" si="30">I56/9</f>
        <v>#N/A</v>
      </c>
      <c r="K56" s="89">
        <f>IFERROR(ROUND(IF($D56="SSJ",(VLOOKUP($H56,'Programa Drench'!$B$6:$AA$182,MATCH(K$2,'Programa Drench'!$B$5:$AA$5,0),FALSE)),VLOOKUP($H56,'Programa Drench'!$B$6:$AA$182,MATCH(K$2,'Programa Drench'!$B$5:$AA$5,0),FALSE)),1),0)</f>
        <v>0</v>
      </c>
      <c r="L56" s="30">
        <f>IFERROR((VLOOKUP($H56,'Programa Drench'!$B$6:$AA$182,MATCH(L$2,'Programa Drench'!$B$5:$AA$5,0),FALSE)),0)</f>
        <v>0</v>
      </c>
      <c r="M56" s="36">
        <f>IFERROR((VLOOKUP($H56,'Programa Drench'!$B$6:$AA$182,MATCH(M$2,'Programa Drench'!$B$5:$AA$5,0),FALSE)*N56),0)</f>
        <v>0</v>
      </c>
      <c r="N56" s="36">
        <f t="shared" ref="N56:N58" si="31">IFERROR(ROUND((K56*$I56),-1),0)</f>
        <v>0</v>
      </c>
      <c r="O56" s="89">
        <f>IFERROR(ROUND(IF($D56="SSJ",(VLOOKUP($H56,'Programa Drench'!$B$6:$AA$182,MATCH(O$2,'Programa Drench'!$B$5:$AA$5,0),FALSE)),VLOOKUP($H56,'Programa Drench'!$B$6:$AA$182,MATCH(O$2,'Programa Drench'!$B$5:$AA$5,0),FALSE)),1),0)</f>
        <v>0</v>
      </c>
      <c r="P56" s="30">
        <f>IFERROR((VLOOKUP($H56,'Programa Drench'!$B$6:$AA$182,MATCH(P$2,'Programa Drench'!$B$5:$AA$5,0),FALSE)),0)</f>
        <v>0</v>
      </c>
      <c r="Q56" s="36">
        <f>IFERROR((VLOOKUP($H56,'Programa Drench'!$B$6:$AA$182,MATCH(Q$2,'Programa Drench'!$B$5:$AA$5,0),FALSE)*R56),0)</f>
        <v>0</v>
      </c>
      <c r="R56" s="36">
        <f t="shared" ref="R56:R58" si="32">IFERROR(ROUND((O56*$I56),-1),0)</f>
        <v>0</v>
      </c>
      <c r="S56" s="89">
        <f>IFERROR(ROUND(IF($D56="SSJ",(VLOOKUP($H56,'Programa Drench'!$B$6:$AA$182,MATCH(S$2,'Programa Drench'!$B$5:$AA$5,0),FALSE)),VLOOKUP($H56,'Programa Drench'!$B$6:$AA$182,MATCH(S$2,'Programa Drench'!$B$5:$AA$5,0),FALSE)),1),0)</f>
        <v>0</v>
      </c>
      <c r="T56" s="30">
        <f>IFERROR((VLOOKUP($H56,'Programa Drench'!$B$6:$AA$182,MATCH(T$2,'Programa Drench'!$B$5:$AA$5,0),FALSE)),0)</f>
        <v>0</v>
      </c>
      <c r="U56" s="36">
        <f>IFERROR((VLOOKUP($H56,'Programa Drench'!$B$6:$AA$182,MATCH(U$2,'Programa Drench'!$B$5:$AA$5,0),FALSE)*V56),0)</f>
        <v>0</v>
      </c>
      <c r="V56" s="36">
        <f t="shared" ref="V56:V58" si="33">IFERROR(ROUND((S56*$I56),-1),0)</f>
        <v>0</v>
      </c>
      <c r="W56" s="89">
        <f>IFERROR(ROUND(IF($D56="SSJ",(VLOOKUP($H56,'Programa Drench'!$B$6:$AA$182,MATCH(W$2,'Programa Drench'!$B$5:$AA$5,0),FALSE)),VLOOKUP($H56,'Programa Drench'!$B$6:$AA$182,MATCH(W$2,'Programa Drench'!$B$5:$AA$5,0),FALSE)),1),0)</f>
        <v>0</v>
      </c>
      <c r="X56" s="30">
        <f>IFERROR((VLOOKUP($H56,'Programa Drench'!$B$6:$AA$182,MATCH(X$2,'Programa Drench'!$B$5:$AA$5,0),FALSE)),0)</f>
        <v>0</v>
      </c>
      <c r="Y56" s="36">
        <f>IFERROR((VLOOKUP($H56,'Programa Drench'!$B$6:$AA$182,MATCH(Y$2,'Programa Drench'!$B$5:$AA$5,0),FALSE)*Z56),0)</f>
        <v>0</v>
      </c>
      <c r="Z56" s="36">
        <f t="shared" ref="Z56:Z58" si="34">IFERROR(ROUND((W56*$I56),-1),0)</f>
        <v>0</v>
      </c>
      <c r="AA56" s="89">
        <f>IFERROR(ROUND(IF($D56="SSJ",(VLOOKUP($H56,'Programa Drench'!$B$6:$AA$182,MATCH(AA$2,'Programa Drench'!$B$5:$AA$5,0),FALSE)),VLOOKUP($H56,'Programa Drench'!$B$6:$AA$182,MATCH(AA$2,'Programa Drench'!$B$5:$AA$5,0),FALSE)),1),0)</f>
        <v>0</v>
      </c>
      <c r="AB56" s="30">
        <f>IFERROR((VLOOKUP($H56,'Programa Drench'!$B$6:$AA$182,MATCH(AB$2,'Programa Drench'!$B$5:$AA$5,0),FALSE)),0)</f>
        <v>0</v>
      </c>
      <c r="AC56" s="83">
        <f>IFERROR((VLOOKUP($H56,'Programa Drench'!$B$6:$AA$182,MATCH(AC$2,'Programa Drench'!$B$5:$AA$5,0),FALSE)*$I56),0)</f>
        <v>0</v>
      </c>
      <c r="AD56" s="36">
        <f t="shared" ref="AD56:AD58" si="35">IFERROR(ROUND((AA56*$I56),-1),0)</f>
        <v>0</v>
      </c>
      <c r="AE56" s="36">
        <f>IFERROR(ROUND((VLOOKUP($H56,'Programa Drench'!$B$6:$AA$182,MATCH(AE$2,'Programa Drench'!$B$5:$AA$5,0),FALSE)),-1),0)</f>
        <v>0</v>
      </c>
      <c r="AF56" s="30">
        <f>IFERROR((VLOOKUP($H56,'Programa Drench'!$B$6:$AA$182,MATCH(AF$2,'Programa Drench'!$B$5:$AA$5,0),FALSE)),0)</f>
        <v>0</v>
      </c>
      <c r="AG56" s="36">
        <f>IFERROR((VLOOKUP($H56,'Programa Drench'!$B$6:$AA$182,MATCH(AG$2,'Programa Drench'!$B$5:$AA$5,0),FALSE)*AH56),0)</f>
        <v>0</v>
      </c>
      <c r="AH56" s="36">
        <f>IFERROR(ROUND((VLOOKUP($H56,'Programa Drench'!$B$6:$AA$182,MATCH(AH$2,'Programa Drench'!$B$5:$AA$5,0),FALSE)*$I56),-1),0)</f>
        <v>0</v>
      </c>
      <c r="AI56" s="89">
        <f>IFERROR((VLOOKUP($H56,'Programa Drench'!$B$6:$AA$182,MATCH(AI$2,'Programa Drench'!$B$5:$AA$5,0),FALSE)),0)</f>
        <v>0</v>
      </c>
    </row>
    <row r="57" spans="1:35" ht="15" hidden="1" customHeight="1" x14ac:dyDescent="0.2">
      <c r="A57" s="14">
        <f t="shared" si="16"/>
        <v>2572</v>
      </c>
      <c r="B57" s="77"/>
      <c r="C57" s="54"/>
      <c r="D57" s="54"/>
      <c r="E57" s="54"/>
      <c r="F57" s="54"/>
      <c r="G57" s="53" t="str">
        <f t="shared" si="29"/>
        <v/>
      </c>
      <c r="H57" s="55" t="str">
        <f t="shared" si="9"/>
        <v xml:space="preserve">2572  </v>
      </c>
      <c r="I57" s="262" t="e">
        <f>IF(D57="MM1",VLOOKUP($B57,'Inf Bloques'!$A$1:$K$453,11,FALSE)*1,VLOOKUP($B57,'Inf Bloques'!$A$1:$K$453,11,FALSE))</f>
        <v>#N/A</v>
      </c>
      <c r="J57" s="3" t="e">
        <f t="shared" si="30"/>
        <v>#N/A</v>
      </c>
      <c r="K57" s="89">
        <f>IFERROR(ROUND(IF($D57="SSJ",(VLOOKUP($H57,'Programa Drench'!$B$6:$AA$182,MATCH(K$2,'Programa Drench'!$B$5:$AA$5,0),FALSE)),VLOOKUP($H57,'Programa Drench'!$B$6:$AA$182,MATCH(K$2,'Programa Drench'!$B$5:$AA$5,0),FALSE)),1),0)</f>
        <v>0</v>
      </c>
      <c r="L57" s="30">
        <f>IFERROR((VLOOKUP($H57,'Programa Drench'!$B$6:$AA$182,MATCH(L$2,'Programa Drench'!$B$5:$AA$5,0),FALSE)),0)</f>
        <v>0</v>
      </c>
      <c r="M57" s="36">
        <f>IFERROR((VLOOKUP($H57,'Programa Drench'!$B$6:$AA$182,MATCH(M$2,'Programa Drench'!$B$5:$AA$5,0),FALSE)*N57),0)</f>
        <v>0</v>
      </c>
      <c r="N57" s="36">
        <f t="shared" si="31"/>
        <v>0</v>
      </c>
      <c r="O57" s="89">
        <f>IFERROR(ROUND(IF($D57="SSJ",(VLOOKUP($H57,'Programa Drench'!$B$6:$AA$182,MATCH(O$2,'Programa Drench'!$B$5:$AA$5,0),FALSE)),VLOOKUP($H57,'Programa Drench'!$B$6:$AA$182,MATCH(O$2,'Programa Drench'!$B$5:$AA$5,0),FALSE)),1),0)</f>
        <v>0</v>
      </c>
      <c r="P57" s="30">
        <f>IFERROR((VLOOKUP($H57,'Programa Drench'!$B$6:$AA$182,MATCH(P$2,'Programa Drench'!$B$5:$AA$5,0),FALSE)),0)</f>
        <v>0</v>
      </c>
      <c r="Q57" s="36">
        <f>IFERROR((VLOOKUP($H57,'Programa Drench'!$B$6:$AA$182,MATCH(Q$2,'Programa Drench'!$B$5:$AA$5,0),FALSE)*R57),0)</f>
        <v>0</v>
      </c>
      <c r="R57" s="36">
        <f t="shared" si="32"/>
        <v>0</v>
      </c>
      <c r="S57" s="89">
        <f>IFERROR(ROUND(IF($D57="SSJ",(VLOOKUP($H57,'Programa Drench'!$B$6:$AA$182,MATCH(S$2,'Programa Drench'!$B$5:$AA$5,0),FALSE)),VLOOKUP($H57,'Programa Drench'!$B$6:$AA$182,MATCH(S$2,'Programa Drench'!$B$5:$AA$5,0),FALSE)),1),0)</f>
        <v>0</v>
      </c>
      <c r="T57" s="30">
        <f>IFERROR((VLOOKUP($H57,'Programa Drench'!$B$6:$AA$182,MATCH(T$2,'Programa Drench'!$B$5:$AA$5,0),FALSE)),0)</f>
        <v>0</v>
      </c>
      <c r="U57" s="36">
        <f>IFERROR((VLOOKUP($H57,'Programa Drench'!$B$6:$AA$182,MATCH(U$2,'Programa Drench'!$B$5:$AA$5,0),FALSE)*V57),0)</f>
        <v>0</v>
      </c>
      <c r="V57" s="36">
        <f t="shared" si="33"/>
        <v>0</v>
      </c>
      <c r="W57" s="89">
        <f>IFERROR(ROUND(IF($D57="SSJ",(VLOOKUP($H57,'Programa Drench'!$B$6:$AA$182,MATCH(W$2,'Programa Drench'!$B$5:$AA$5,0),FALSE)),VLOOKUP($H57,'Programa Drench'!$B$6:$AA$182,MATCH(W$2,'Programa Drench'!$B$5:$AA$5,0),FALSE)),1),0)</f>
        <v>0</v>
      </c>
      <c r="X57" s="30">
        <f>IFERROR((VLOOKUP($H57,'Programa Drench'!$B$6:$AA$182,MATCH(X$2,'Programa Drench'!$B$5:$AA$5,0),FALSE)),0)</f>
        <v>0</v>
      </c>
      <c r="Y57" s="36">
        <f>IFERROR((VLOOKUP($H57,'Programa Drench'!$B$6:$AA$182,MATCH(Y$2,'Programa Drench'!$B$5:$AA$5,0),FALSE)*Z57),0)</f>
        <v>0</v>
      </c>
      <c r="Z57" s="36">
        <f t="shared" si="34"/>
        <v>0</v>
      </c>
      <c r="AA57" s="89">
        <f>IFERROR(ROUND(IF($D57="SSJ",(VLOOKUP($H57,'Programa Drench'!$B$6:$AA$182,MATCH(AA$2,'Programa Drench'!$B$5:$AA$5,0),FALSE)),VLOOKUP($H57,'Programa Drench'!$B$6:$AA$182,MATCH(AA$2,'Programa Drench'!$B$5:$AA$5,0),FALSE)),1),0)</f>
        <v>0</v>
      </c>
      <c r="AB57" s="30">
        <f>IFERROR((VLOOKUP($H57,'Programa Drench'!$B$6:$AA$182,MATCH(AB$2,'Programa Drench'!$B$5:$AA$5,0),FALSE)),0)</f>
        <v>0</v>
      </c>
      <c r="AC57" s="83">
        <f>IFERROR((VLOOKUP($H57,'Programa Drench'!$B$6:$AA$182,MATCH(AC$2,'Programa Drench'!$B$5:$AA$5,0),FALSE)*$I57),0)</f>
        <v>0</v>
      </c>
      <c r="AD57" s="36">
        <f t="shared" si="35"/>
        <v>0</v>
      </c>
      <c r="AE57" s="36">
        <f>IFERROR(ROUND((VLOOKUP($H57,'Programa Drench'!$B$6:$AA$182,MATCH(AE$2,'Programa Drench'!$B$5:$AA$5,0),FALSE)),-1),0)</f>
        <v>0</v>
      </c>
      <c r="AF57" s="30">
        <f>IFERROR((VLOOKUP($H57,'Programa Drench'!$B$6:$AA$182,MATCH(AF$2,'Programa Drench'!$B$5:$AA$5,0),FALSE)),0)</f>
        <v>0</v>
      </c>
      <c r="AG57" s="36">
        <f>IFERROR((VLOOKUP($H57,'Programa Drench'!$B$6:$AA$182,MATCH(AG$2,'Programa Drench'!$B$5:$AA$5,0),FALSE)*AH57),0)</f>
        <v>0</v>
      </c>
      <c r="AH57" s="36">
        <f>IFERROR(ROUND((VLOOKUP($H57,'Programa Drench'!$B$6:$AA$182,MATCH(AH$2,'Programa Drench'!$B$5:$AA$5,0),FALSE)*$I57),-1),0)</f>
        <v>0</v>
      </c>
      <c r="AI57" s="89">
        <f>IFERROR((VLOOKUP($H57,'Programa Drench'!$B$6:$AA$182,MATCH(AI$2,'Programa Drench'!$B$5:$AA$5,0),FALSE)),0)</f>
        <v>0</v>
      </c>
    </row>
    <row r="58" spans="1:35" ht="15" hidden="1" customHeight="1" x14ac:dyDescent="0.2">
      <c r="A58" s="14">
        <f t="shared" si="16"/>
        <v>2572</v>
      </c>
      <c r="B58" s="77"/>
      <c r="C58" s="54"/>
      <c r="D58" s="54"/>
      <c r="E58" s="54"/>
      <c r="F58" s="54"/>
      <c r="G58" s="53" t="str">
        <f t="shared" si="29"/>
        <v/>
      </c>
      <c r="H58" s="55" t="str">
        <f t="shared" si="9"/>
        <v xml:space="preserve">2572  </v>
      </c>
      <c r="I58" s="262" t="e">
        <f>IF(D58="MM1",VLOOKUP($B58,'Inf Bloques'!$A$1:$K$453,11,FALSE)*1,VLOOKUP($B58,'Inf Bloques'!$A$1:$K$453,11,FALSE))</f>
        <v>#N/A</v>
      </c>
      <c r="J58" s="3" t="e">
        <f t="shared" si="30"/>
        <v>#N/A</v>
      </c>
      <c r="K58" s="89">
        <f>IFERROR(ROUND(IF($D58="SSJ",(VLOOKUP($H58,'Programa Drench'!$B$6:$AA$182,MATCH(K$2,'Programa Drench'!$B$5:$AA$5,0),FALSE)),VLOOKUP($H58,'Programa Drench'!$B$6:$AA$182,MATCH(K$2,'Programa Drench'!$B$5:$AA$5,0),FALSE)),1),0)</f>
        <v>0</v>
      </c>
      <c r="L58" s="30">
        <f>IFERROR((VLOOKUP($H58,'Programa Drench'!$B$6:$AA$182,MATCH(L$2,'Programa Drench'!$B$5:$AA$5,0),FALSE)),0)</f>
        <v>0</v>
      </c>
      <c r="M58" s="36">
        <f>IFERROR((VLOOKUP($H58,'Programa Drench'!$B$6:$AA$182,MATCH(M$2,'Programa Drench'!$B$5:$AA$5,0),FALSE)*N58),0)</f>
        <v>0</v>
      </c>
      <c r="N58" s="36">
        <f t="shared" si="31"/>
        <v>0</v>
      </c>
      <c r="O58" s="89">
        <f>IFERROR(ROUND(IF($D58="SSJ",(VLOOKUP($H58,'Programa Drench'!$B$6:$AA$182,MATCH(O$2,'Programa Drench'!$B$5:$AA$5,0),FALSE)),VLOOKUP($H58,'Programa Drench'!$B$6:$AA$182,MATCH(O$2,'Programa Drench'!$B$5:$AA$5,0),FALSE)),1),0)</f>
        <v>0</v>
      </c>
      <c r="P58" s="30">
        <f>IFERROR((VLOOKUP($H58,'Programa Drench'!$B$6:$AA$182,MATCH(P$2,'Programa Drench'!$B$5:$AA$5,0),FALSE)),0)</f>
        <v>0</v>
      </c>
      <c r="Q58" s="36">
        <f>IFERROR((VLOOKUP($H58,'Programa Drench'!$B$6:$AA$182,MATCH(Q$2,'Programa Drench'!$B$5:$AA$5,0),FALSE)*R58),0)</f>
        <v>0</v>
      </c>
      <c r="R58" s="36">
        <f t="shared" si="32"/>
        <v>0</v>
      </c>
      <c r="S58" s="89">
        <f>IFERROR(ROUND(IF($D58="SSJ",(VLOOKUP($H58,'Programa Drench'!$B$6:$AA$182,MATCH(S$2,'Programa Drench'!$B$5:$AA$5,0),FALSE)),VLOOKUP($H58,'Programa Drench'!$B$6:$AA$182,MATCH(S$2,'Programa Drench'!$B$5:$AA$5,0),FALSE)),1),0)</f>
        <v>0</v>
      </c>
      <c r="T58" s="30">
        <f>IFERROR((VLOOKUP($H58,'Programa Drench'!$B$6:$AA$182,MATCH(T$2,'Programa Drench'!$B$5:$AA$5,0),FALSE)),0)</f>
        <v>0</v>
      </c>
      <c r="U58" s="36">
        <f>IFERROR((VLOOKUP($H58,'Programa Drench'!$B$6:$AA$182,MATCH(U$2,'Programa Drench'!$B$5:$AA$5,0),FALSE)*V58),0)</f>
        <v>0</v>
      </c>
      <c r="V58" s="36">
        <f t="shared" si="33"/>
        <v>0</v>
      </c>
      <c r="W58" s="89">
        <f>IFERROR(ROUND(IF($D58="SSJ",(VLOOKUP($H58,'Programa Drench'!$B$6:$AA$182,MATCH(W$2,'Programa Drench'!$B$5:$AA$5,0),FALSE)),VLOOKUP($H58,'Programa Drench'!$B$6:$AA$182,MATCH(W$2,'Programa Drench'!$B$5:$AA$5,0),FALSE)),1),0)</f>
        <v>0</v>
      </c>
      <c r="X58" s="30">
        <f>IFERROR((VLOOKUP($H58,'Programa Drench'!$B$6:$AA$182,MATCH(X$2,'Programa Drench'!$B$5:$AA$5,0),FALSE)),0)</f>
        <v>0</v>
      </c>
      <c r="Y58" s="36">
        <f>IFERROR((VLOOKUP($H58,'Programa Drench'!$B$6:$AA$182,MATCH(Y$2,'Programa Drench'!$B$5:$AA$5,0),FALSE)*Z58),0)</f>
        <v>0</v>
      </c>
      <c r="Z58" s="36">
        <f t="shared" si="34"/>
        <v>0</v>
      </c>
      <c r="AA58" s="89">
        <f>IFERROR(ROUND(IF($D58="SSJ",(VLOOKUP($H58,'Programa Drench'!$B$6:$AA$182,MATCH(AA$2,'Programa Drench'!$B$5:$AA$5,0),FALSE)),VLOOKUP($H58,'Programa Drench'!$B$6:$AA$182,MATCH(AA$2,'Programa Drench'!$B$5:$AA$5,0),FALSE)),1),0)</f>
        <v>0</v>
      </c>
      <c r="AB58" s="30">
        <f>IFERROR((VLOOKUP($H58,'Programa Drench'!$B$6:$AA$182,MATCH(AB$2,'Programa Drench'!$B$5:$AA$5,0),FALSE)),0)</f>
        <v>0</v>
      </c>
      <c r="AC58" s="83">
        <f>IFERROR((VLOOKUP($H58,'Programa Drench'!$B$6:$AA$182,MATCH(AC$2,'Programa Drench'!$B$5:$AA$5,0),FALSE)*$I58),0)</f>
        <v>0</v>
      </c>
      <c r="AD58" s="36">
        <f t="shared" si="35"/>
        <v>0</v>
      </c>
      <c r="AE58" s="36">
        <f>IFERROR(ROUND((VLOOKUP($H58,'Programa Drench'!$B$6:$AA$182,MATCH(AE$2,'Programa Drench'!$B$5:$AA$5,0),FALSE)),-1),0)</f>
        <v>0</v>
      </c>
      <c r="AF58" s="30">
        <f>IFERROR((VLOOKUP($H58,'Programa Drench'!$B$6:$AA$182,MATCH(AF$2,'Programa Drench'!$B$5:$AA$5,0),FALSE)),0)</f>
        <v>0</v>
      </c>
      <c r="AG58" s="36">
        <f>IFERROR((VLOOKUP($H58,'Programa Drench'!$B$6:$AA$182,MATCH(AG$2,'Programa Drench'!$B$5:$AA$5,0),FALSE)*AH58),0)</f>
        <v>0</v>
      </c>
      <c r="AH58" s="36">
        <f>IFERROR(ROUND((VLOOKUP($H58,'Programa Drench'!$B$6:$AA$182,MATCH(AH$2,'Programa Drench'!$B$5:$AA$5,0),FALSE)*$I58),-1),0)</f>
        <v>0</v>
      </c>
      <c r="AI58" s="89">
        <f>IFERROR((VLOOKUP($H58,'Programa Drench'!$B$6:$AA$182,MATCH(AI$2,'Programa Drench'!$B$5:$AA$5,0),FALSE)),0)</f>
        <v>0</v>
      </c>
    </row>
    <row r="59" spans="1:35" ht="15" hidden="1" customHeight="1" x14ac:dyDescent="0.2">
      <c r="A59" s="14">
        <f t="shared" si="16"/>
        <v>2572</v>
      </c>
      <c r="B59" s="77"/>
      <c r="C59" s="54"/>
      <c r="D59" s="54"/>
      <c r="E59" s="54"/>
      <c r="F59" s="54"/>
      <c r="G59" s="53" t="str">
        <f t="shared" si="29"/>
        <v/>
      </c>
      <c r="H59" s="55" t="str">
        <f t="shared" si="9"/>
        <v xml:space="preserve">2572  </v>
      </c>
      <c r="I59" s="262" t="e">
        <f>IF(D59="MM1",VLOOKUP($B59,'Inf Bloques'!$A$1:$K$453,11,FALSE)*1,VLOOKUP($B59,'Inf Bloques'!$A$1:$K$453,11,FALSE))</f>
        <v>#N/A</v>
      </c>
      <c r="J59" s="3" t="e">
        <f t="shared" ref="J59:J62" si="36">I59/9</f>
        <v>#N/A</v>
      </c>
      <c r="K59" s="89">
        <f>IFERROR(ROUND(IF($D59="SSJ",(VLOOKUP($H59,'Programa Drench'!$B$6:$AA$182,MATCH(K$2,'Programa Drench'!$B$5:$AA$5,0),FALSE)),VLOOKUP($H59,'Programa Drench'!$B$6:$AA$182,MATCH(K$2,'Programa Drench'!$B$5:$AA$5,0),FALSE)),1),0)</f>
        <v>0</v>
      </c>
      <c r="L59" s="30">
        <f>IFERROR((VLOOKUP($H59,'Programa Drench'!$B$6:$AA$182,MATCH(L$2,'Programa Drench'!$B$5:$AA$5,0),FALSE)),0)</f>
        <v>0</v>
      </c>
      <c r="M59" s="36">
        <f>IFERROR((VLOOKUP($H59,'Programa Drench'!$B$6:$AA$182,MATCH(M$2,'Programa Drench'!$B$5:$AA$5,0),FALSE)*N59),0)</f>
        <v>0</v>
      </c>
      <c r="N59" s="36">
        <f t="shared" ref="N59:N62" si="37">IFERROR(ROUND((K59*$I59),-1),0)</f>
        <v>0</v>
      </c>
      <c r="O59" s="89">
        <f>IFERROR(ROUND(IF($D59="SSJ",(VLOOKUP($H59,'Programa Drench'!$B$6:$AA$182,MATCH(O$2,'Programa Drench'!$B$5:$AA$5,0),FALSE)),VLOOKUP($H59,'Programa Drench'!$B$6:$AA$182,MATCH(O$2,'Programa Drench'!$B$5:$AA$5,0),FALSE)),1),0)</f>
        <v>0</v>
      </c>
      <c r="P59" s="30">
        <f>IFERROR((VLOOKUP($H59,'Programa Drench'!$B$6:$AA$182,MATCH(P$2,'Programa Drench'!$B$5:$AA$5,0),FALSE)),0)</f>
        <v>0</v>
      </c>
      <c r="Q59" s="36">
        <f>IFERROR((VLOOKUP($H59,'Programa Drench'!$B$6:$AA$182,MATCH(Q$2,'Programa Drench'!$B$5:$AA$5,0),FALSE)*R59),0)</f>
        <v>0</v>
      </c>
      <c r="R59" s="36">
        <f t="shared" ref="R59:R62" si="38">IFERROR(ROUND((O59*$I59),-1),0)</f>
        <v>0</v>
      </c>
      <c r="S59" s="89">
        <f>IFERROR(ROUND(IF($D59="SSJ",(VLOOKUP($H59,'Programa Drench'!$B$6:$AA$182,MATCH(S$2,'Programa Drench'!$B$5:$AA$5,0),FALSE)),VLOOKUP($H59,'Programa Drench'!$B$6:$AA$182,MATCH(S$2,'Programa Drench'!$B$5:$AA$5,0),FALSE)),1),0)</f>
        <v>0</v>
      </c>
      <c r="T59" s="30">
        <f>IFERROR((VLOOKUP($H59,'Programa Drench'!$B$6:$AA$182,MATCH(T$2,'Programa Drench'!$B$5:$AA$5,0),FALSE)),0)</f>
        <v>0</v>
      </c>
      <c r="U59" s="36">
        <f>IFERROR((VLOOKUP($H59,'Programa Drench'!$B$6:$AA$182,MATCH(U$2,'Programa Drench'!$B$5:$AA$5,0),FALSE)*V59),0)</f>
        <v>0</v>
      </c>
      <c r="V59" s="36">
        <f t="shared" ref="V59:V62" si="39">IFERROR(ROUND((S59*$I59),-1),0)</f>
        <v>0</v>
      </c>
      <c r="W59" s="89">
        <f>IFERROR(ROUND(IF($D59="SSJ",(VLOOKUP($H59,'Programa Drench'!$B$6:$AA$182,MATCH(W$2,'Programa Drench'!$B$5:$AA$5,0),FALSE)),VLOOKUP($H59,'Programa Drench'!$B$6:$AA$182,MATCH(W$2,'Programa Drench'!$B$5:$AA$5,0),FALSE)),1),0)</f>
        <v>0</v>
      </c>
      <c r="X59" s="30">
        <f>IFERROR((VLOOKUP($H59,'Programa Drench'!$B$6:$AA$182,MATCH(X$2,'Programa Drench'!$B$5:$AA$5,0),FALSE)),0)</f>
        <v>0</v>
      </c>
      <c r="Y59" s="36">
        <f>IFERROR((VLOOKUP($H59,'Programa Drench'!$B$6:$AA$182,MATCH(Y$2,'Programa Drench'!$B$5:$AA$5,0),FALSE)*Z59),0)</f>
        <v>0</v>
      </c>
      <c r="Z59" s="36">
        <f t="shared" ref="Z59:Z62" si="40">IFERROR(ROUND((W59*$I59),-1),0)</f>
        <v>0</v>
      </c>
      <c r="AA59" s="89">
        <f>IFERROR(ROUND(IF($D59="SSJ",(VLOOKUP($H59,'Programa Drench'!$B$6:$AA$182,MATCH(AA$2,'Programa Drench'!$B$5:$AA$5,0),FALSE)),VLOOKUP($H59,'Programa Drench'!$B$6:$AA$182,MATCH(AA$2,'Programa Drench'!$B$5:$AA$5,0),FALSE)),1),0)</f>
        <v>0</v>
      </c>
      <c r="AB59" s="30">
        <f>IFERROR((VLOOKUP($H59,'Programa Drench'!$B$6:$AA$182,MATCH(AB$2,'Programa Drench'!$B$5:$AA$5,0),FALSE)),0)</f>
        <v>0</v>
      </c>
      <c r="AC59" s="83">
        <f>IFERROR((VLOOKUP($H59,'Programa Drench'!$B$6:$AA$182,MATCH(AC$2,'Programa Drench'!$B$5:$AA$5,0),FALSE)*$I59),0)</f>
        <v>0</v>
      </c>
      <c r="AD59" s="36">
        <f t="shared" ref="AD59:AD62" si="41">IFERROR(ROUND((AA59*$I59),-1),0)</f>
        <v>0</v>
      </c>
      <c r="AE59" s="36">
        <f>IFERROR(ROUND((VLOOKUP($H59,'Programa Drench'!$B$6:$AA$182,MATCH(AE$2,'Programa Drench'!$B$5:$AA$5,0),FALSE)),-1),0)</f>
        <v>0</v>
      </c>
      <c r="AF59" s="30">
        <f>IFERROR((VLOOKUP($H59,'Programa Drench'!$B$6:$AA$182,MATCH(AF$2,'Programa Drench'!$B$5:$AA$5,0),FALSE)),0)</f>
        <v>0</v>
      </c>
      <c r="AG59" s="36">
        <f>IFERROR((VLOOKUP($H59,'Programa Drench'!$B$6:$AA$182,MATCH(AG$2,'Programa Drench'!$B$5:$AA$5,0),FALSE)*AH59),0)</f>
        <v>0</v>
      </c>
      <c r="AH59" s="36">
        <f>IFERROR(ROUND((VLOOKUP($H59,'Programa Drench'!$B$6:$AA$182,MATCH(AH$2,'Programa Drench'!$B$5:$AA$5,0),FALSE)*$I59),-1),0)</f>
        <v>0</v>
      </c>
      <c r="AI59" s="89">
        <f>IFERROR((VLOOKUP($H59,'Programa Drench'!$B$6:$AA$182,MATCH(AI$2,'Programa Drench'!$B$5:$AA$5,0),FALSE)),0)</f>
        <v>0</v>
      </c>
    </row>
    <row r="60" spans="1:35" ht="15" hidden="1" customHeight="1" x14ac:dyDescent="0.2">
      <c r="A60" s="14">
        <f t="shared" si="16"/>
        <v>2572</v>
      </c>
      <c r="B60" s="77"/>
      <c r="C60" s="54"/>
      <c r="D60" s="54"/>
      <c r="E60" s="54"/>
      <c r="F60" s="54"/>
      <c r="G60" s="53" t="str">
        <f t="shared" si="29"/>
        <v/>
      </c>
      <c r="H60" s="55" t="str">
        <f t="shared" si="9"/>
        <v xml:space="preserve">2572  </v>
      </c>
      <c r="I60" s="262" t="e">
        <f>IF(D60="MM1",VLOOKUP($B60,'Inf Bloques'!$A$1:$K$453,11,FALSE)*1,VLOOKUP($B60,'Inf Bloques'!$A$1:$K$453,11,FALSE))</f>
        <v>#N/A</v>
      </c>
      <c r="J60" s="3" t="e">
        <f t="shared" si="36"/>
        <v>#N/A</v>
      </c>
      <c r="K60" s="89">
        <f>IFERROR(ROUND(IF($D60="SSJ",(VLOOKUP($H60,'Programa Drench'!$B$6:$AA$182,MATCH(K$2,'Programa Drench'!$B$5:$AA$5,0),FALSE)),VLOOKUP($H60,'Programa Drench'!$B$6:$AA$182,MATCH(K$2,'Programa Drench'!$B$5:$AA$5,0),FALSE)),1),0)</f>
        <v>0</v>
      </c>
      <c r="L60" s="30">
        <f>IFERROR((VLOOKUP($H60,'Programa Drench'!$B$6:$AA$182,MATCH(L$2,'Programa Drench'!$B$5:$AA$5,0),FALSE)),0)</f>
        <v>0</v>
      </c>
      <c r="M60" s="36">
        <f>IFERROR((VLOOKUP($H60,'Programa Drench'!$B$6:$AA$182,MATCH(M$2,'Programa Drench'!$B$5:$AA$5,0),FALSE)*N60),0)</f>
        <v>0</v>
      </c>
      <c r="N60" s="36">
        <f t="shared" si="37"/>
        <v>0</v>
      </c>
      <c r="O60" s="89">
        <f>IFERROR(ROUND(IF($D60="SSJ",(VLOOKUP($H60,'Programa Drench'!$B$6:$AA$182,MATCH(O$2,'Programa Drench'!$B$5:$AA$5,0),FALSE)),VLOOKUP($H60,'Programa Drench'!$B$6:$AA$182,MATCH(O$2,'Programa Drench'!$B$5:$AA$5,0),FALSE)),1),0)</f>
        <v>0</v>
      </c>
      <c r="P60" s="30">
        <f>IFERROR((VLOOKUP($H60,'Programa Drench'!$B$6:$AA$182,MATCH(P$2,'Programa Drench'!$B$5:$AA$5,0),FALSE)),0)</f>
        <v>0</v>
      </c>
      <c r="Q60" s="36">
        <f>IFERROR((VLOOKUP($H60,'Programa Drench'!$B$6:$AA$182,MATCH(Q$2,'Programa Drench'!$B$5:$AA$5,0),FALSE)*R60),0)</f>
        <v>0</v>
      </c>
      <c r="R60" s="36">
        <f t="shared" si="38"/>
        <v>0</v>
      </c>
      <c r="S60" s="89">
        <f>IFERROR(ROUND(IF($D60="SSJ",(VLOOKUP($H60,'Programa Drench'!$B$6:$AA$182,MATCH(S$2,'Programa Drench'!$B$5:$AA$5,0),FALSE)),VLOOKUP($H60,'Programa Drench'!$B$6:$AA$182,MATCH(S$2,'Programa Drench'!$B$5:$AA$5,0),FALSE)),1),0)</f>
        <v>0</v>
      </c>
      <c r="T60" s="30">
        <f>IFERROR((VLOOKUP($H60,'Programa Drench'!$B$6:$AA$182,MATCH(T$2,'Programa Drench'!$B$5:$AA$5,0),FALSE)),0)</f>
        <v>0</v>
      </c>
      <c r="U60" s="36">
        <f>IFERROR((VLOOKUP($H60,'Programa Drench'!$B$6:$AA$182,MATCH(U$2,'Programa Drench'!$B$5:$AA$5,0),FALSE)*V60),0)</f>
        <v>0</v>
      </c>
      <c r="V60" s="36">
        <f t="shared" si="39"/>
        <v>0</v>
      </c>
      <c r="W60" s="89">
        <f>IFERROR(ROUND(IF($D60="SSJ",(VLOOKUP($H60,'Programa Drench'!$B$6:$AA$182,MATCH(W$2,'Programa Drench'!$B$5:$AA$5,0),FALSE)),VLOOKUP($H60,'Programa Drench'!$B$6:$AA$182,MATCH(W$2,'Programa Drench'!$B$5:$AA$5,0),FALSE)),1),0)</f>
        <v>0</v>
      </c>
      <c r="X60" s="30">
        <f>IFERROR((VLOOKUP($H60,'Programa Drench'!$B$6:$AA$182,MATCH(X$2,'Programa Drench'!$B$5:$AA$5,0),FALSE)),0)</f>
        <v>0</v>
      </c>
      <c r="Y60" s="36">
        <f>IFERROR((VLOOKUP($H60,'Programa Drench'!$B$6:$AA$182,MATCH(Y$2,'Programa Drench'!$B$5:$AA$5,0),FALSE)*Z60),0)</f>
        <v>0</v>
      </c>
      <c r="Z60" s="36">
        <f t="shared" si="40"/>
        <v>0</v>
      </c>
      <c r="AA60" s="89">
        <f>IFERROR(ROUND(IF($D60="SSJ",(VLOOKUP($H60,'Programa Drench'!$B$6:$AA$182,MATCH(AA$2,'Programa Drench'!$B$5:$AA$5,0),FALSE)),VLOOKUP($H60,'Programa Drench'!$B$6:$AA$182,MATCH(AA$2,'Programa Drench'!$B$5:$AA$5,0),FALSE)),1),0)</f>
        <v>0</v>
      </c>
      <c r="AB60" s="30">
        <f>IFERROR((VLOOKUP($H60,'Programa Drench'!$B$6:$AA$182,MATCH(AB$2,'Programa Drench'!$B$5:$AA$5,0),FALSE)),0)</f>
        <v>0</v>
      </c>
      <c r="AC60" s="83">
        <f>IFERROR((VLOOKUP($H60,'Programa Drench'!$B$6:$AA$182,MATCH(AC$2,'Programa Drench'!$B$5:$AA$5,0),FALSE)*$I60),0)</f>
        <v>0</v>
      </c>
      <c r="AD60" s="36">
        <f t="shared" si="41"/>
        <v>0</v>
      </c>
      <c r="AE60" s="36">
        <f>IFERROR(ROUND((VLOOKUP($H60,'Programa Drench'!$B$6:$AA$182,MATCH(AE$2,'Programa Drench'!$B$5:$AA$5,0),FALSE)),-1),0)</f>
        <v>0</v>
      </c>
      <c r="AF60" s="30">
        <f>IFERROR((VLOOKUP($H60,'Programa Drench'!$B$6:$AA$182,MATCH(AF$2,'Programa Drench'!$B$5:$AA$5,0),FALSE)),0)</f>
        <v>0</v>
      </c>
      <c r="AG60" s="36">
        <f>IFERROR((VLOOKUP($H60,'Programa Drench'!$B$6:$AA$182,MATCH(AG$2,'Programa Drench'!$B$5:$AA$5,0),FALSE)*AH60),0)</f>
        <v>0</v>
      </c>
      <c r="AH60" s="36">
        <f>IFERROR(ROUND((VLOOKUP($H60,'Programa Drench'!$B$6:$AA$182,MATCH(AH$2,'Programa Drench'!$B$5:$AA$5,0),FALSE)*$I60),-1),0)</f>
        <v>0</v>
      </c>
      <c r="AI60" s="89">
        <f>IFERROR((VLOOKUP($H60,'Programa Drench'!$B$6:$AA$182,MATCH(AI$2,'Programa Drench'!$B$5:$AA$5,0),FALSE)),0)</f>
        <v>0</v>
      </c>
    </row>
    <row r="61" spans="1:35" ht="15" hidden="1" customHeight="1" x14ac:dyDescent="0.2">
      <c r="A61" s="14">
        <f t="shared" si="16"/>
        <v>2572</v>
      </c>
      <c r="B61" s="77"/>
      <c r="C61" s="54"/>
      <c r="D61" s="54"/>
      <c r="E61" s="54"/>
      <c r="F61" s="54"/>
      <c r="G61" s="53" t="str">
        <f t="shared" si="29"/>
        <v/>
      </c>
      <c r="H61" s="55" t="str">
        <f t="shared" si="9"/>
        <v xml:space="preserve">2572  </v>
      </c>
      <c r="I61" s="262" t="e">
        <f>IF(D61="MM1",VLOOKUP($B61,'Inf Bloques'!$A$1:$K$453,11,FALSE)*1,VLOOKUP($B61,'Inf Bloques'!$A$1:$K$453,11,FALSE))</f>
        <v>#N/A</v>
      </c>
      <c r="J61" s="3" t="e">
        <f t="shared" si="36"/>
        <v>#N/A</v>
      </c>
      <c r="K61" s="89">
        <f>IFERROR(ROUND(IF($D61="SSJ",(VLOOKUP($H61,'Programa Drench'!$B$6:$AA$182,MATCH(K$2,'Programa Drench'!$B$5:$AA$5,0),FALSE)),VLOOKUP($H61,'Programa Drench'!$B$6:$AA$182,MATCH(K$2,'Programa Drench'!$B$5:$AA$5,0),FALSE)),1),0)</f>
        <v>0</v>
      </c>
      <c r="L61" s="30">
        <f>IFERROR((VLOOKUP($H61,'Programa Drench'!$B$6:$AA$182,MATCH(L$2,'Programa Drench'!$B$5:$AA$5,0),FALSE)),0)</f>
        <v>0</v>
      </c>
      <c r="M61" s="36">
        <f>IFERROR((VLOOKUP($H61,'Programa Drench'!$B$6:$AA$182,MATCH(M$2,'Programa Drench'!$B$5:$AA$5,0),FALSE)*N61),0)</f>
        <v>0</v>
      </c>
      <c r="N61" s="36">
        <f t="shared" si="37"/>
        <v>0</v>
      </c>
      <c r="O61" s="89">
        <f>IFERROR(ROUND(IF($D61="SSJ",(VLOOKUP($H61,'Programa Drench'!$B$6:$AA$182,MATCH(O$2,'Programa Drench'!$B$5:$AA$5,0),FALSE)),VLOOKUP($H61,'Programa Drench'!$B$6:$AA$182,MATCH(O$2,'Programa Drench'!$B$5:$AA$5,0),FALSE)),1),0)</f>
        <v>0</v>
      </c>
      <c r="P61" s="30">
        <f>IFERROR((VLOOKUP($H61,'Programa Drench'!$B$6:$AA$182,MATCH(P$2,'Programa Drench'!$B$5:$AA$5,0),FALSE)),0)</f>
        <v>0</v>
      </c>
      <c r="Q61" s="36">
        <f>IFERROR((VLOOKUP($H61,'Programa Drench'!$B$6:$AA$182,MATCH(Q$2,'Programa Drench'!$B$5:$AA$5,0),FALSE)*R61),0)</f>
        <v>0</v>
      </c>
      <c r="R61" s="36">
        <f t="shared" si="38"/>
        <v>0</v>
      </c>
      <c r="S61" s="89">
        <f>IFERROR(ROUND(IF($D61="SSJ",(VLOOKUP($H61,'Programa Drench'!$B$6:$AA$182,MATCH(S$2,'Programa Drench'!$B$5:$AA$5,0),FALSE)),VLOOKUP($H61,'Programa Drench'!$B$6:$AA$182,MATCH(S$2,'Programa Drench'!$B$5:$AA$5,0),FALSE)),1),0)</f>
        <v>0</v>
      </c>
      <c r="T61" s="30">
        <f>IFERROR((VLOOKUP($H61,'Programa Drench'!$B$6:$AA$182,MATCH(T$2,'Programa Drench'!$B$5:$AA$5,0),FALSE)),0)</f>
        <v>0</v>
      </c>
      <c r="U61" s="36">
        <f>IFERROR((VLOOKUP($H61,'Programa Drench'!$B$6:$AA$182,MATCH(U$2,'Programa Drench'!$B$5:$AA$5,0),FALSE)*V61),0)</f>
        <v>0</v>
      </c>
      <c r="V61" s="36">
        <f t="shared" si="39"/>
        <v>0</v>
      </c>
      <c r="W61" s="89">
        <f>IFERROR(ROUND(IF($D61="SSJ",(VLOOKUP($H61,'Programa Drench'!$B$6:$AA$182,MATCH(W$2,'Programa Drench'!$B$5:$AA$5,0),FALSE)),VLOOKUP($H61,'Programa Drench'!$B$6:$AA$182,MATCH(W$2,'Programa Drench'!$B$5:$AA$5,0),FALSE)),1),0)</f>
        <v>0</v>
      </c>
      <c r="X61" s="30">
        <f>IFERROR((VLOOKUP($H61,'Programa Drench'!$B$6:$AA$182,MATCH(X$2,'Programa Drench'!$B$5:$AA$5,0),FALSE)),0)</f>
        <v>0</v>
      </c>
      <c r="Y61" s="36">
        <f>IFERROR((VLOOKUP($H61,'Programa Drench'!$B$6:$AA$182,MATCH(Y$2,'Programa Drench'!$B$5:$AA$5,0),FALSE)*Z61),0)</f>
        <v>0</v>
      </c>
      <c r="Z61" s="36">
        <f t="shared" si="40"/>
        <v>0</v>
      </c>
      <c r="AA61" s="89">
        <f>IFERROR(ROUND(IF($D61="SSJ",(VLOOKUP($H61,'Programa Drench'!$B$6:$AA$182,MATCH(AA$2,'Programa Drench'!$B$5:$AA$5,0),FALSE)),VLOOKUP($H61,'Programa Drench'!$B$6:$AA$182,MATCH(AA$2,'Programa Drench'!$B$5:$AA$5,0),FALSE)),1),0)</f>
        <v>0</v>
      </c>
      <c r="AB61" s="30">
        <f>IFERROR((VLOOKUP($H61,'Programa Drench'!$B$6:$AA$182,MATCH(AB$2,'Programa Drench'!$B$5:$AA$5,0),FALSE)),0)</f>
        <v>0</v>
      </c>
      <c r="AC61" s="83">
        <f>IFERROR((VLOOKUP($H61,'Programa Drench'!$B$6:$AA$182,MATCH(AC$2,'Programa Drench'!$B$5:$AA$5,0),FALSE)*$I61),0)</f>
        <v>0</v>
      </c>
      <c r="AD61" s="36">
        <f t="shared" si="41"/>
        <v>0</v>
      </c>
      <c r="AE61" s="36">
        <f>IFERROR(ROUND((VLOOKUP($H61,'Programa Drench'!$B$6:$AA$182,MATCH(AE$2,'Programa Drench'!$B$5:$AA$5,0),FALSE)),-1),0)</f>
        <v>0</v>
      </c>
      <c r="AF61" s="30">
        <f>IFERROR((VLOOKUP($H61,'Programa Drench'!$B$6:$AA$182,MATCH(AF$2,'Programa Drench'!$B$5:$AA$5,0),FALSE)),0)</f>
        <v>0</v>
      </c>
      <c r="AG61" s="36">
        <f>IFERROR((VLOOKUP($H61,'Programa Drench'!$B$6:$AA$182,MATCH(AG$2,'Programa Drench'!$B$5:$AA$5,0),FALSE)*AH61),0)</f>
        <v>0</v>
      </c>
      <c r="AH61" s="36">
        <f>IFERROR(ROUND((VLOOKUP($H61,'Programa Drench'!$B$6:$AA$182,MATCH(AH$2,'Programa Drench'!$B$5:$AA$5,0),FALSE)*$I61),-1),0)</f>
        <v>0</v>
      </c>
      <c r="AI61" s="89">
        <f>IFERROR((VLOOKUP($H61,'Programa Drench'!$B$6:$AA$182,MATCH(AI$2,'Programa Drench'!$B$5:$AA$5,0),FALSE)),0)</f>
        <v>0</v>
      </c>
    </row>
    <row r="62" spans="1:35" ht="15" hidden="1" customHeight="1" x14ac:dyDescent="0.2">
      <c r="A62" s="14">
        <f t="shared" si="16"/>
        <v>2572</v>
      </c>
      <c r="B62" s="77"/>
      <c r="C62" s="54"/>
      <c r="D62" s="54"/>
      <c r="E62" s="54"/>
      <c r="F62" s="54"/>
      <c r="G62" s="53" t="str">
        <f t="shared" si="29"/>
        <v/>
      </c>
      <c r="H62" s="55" t="str">
        <f t="shared" si="9"/>
        <v xml:space="preserve">2572  </v>
      </c>
      <c r="I62" s="262" t="e">
        <f>IF(D62="MM1",VLOOKUP($B62,'Inf Bloques'!$A$1:$K$453,11,FALSE)*1,VLOOKUP($B62,'Inf Bloques'!$A$1:$K$453,11,FALSE))</f>
        <v>#N/A</v>
      </c>
      <c r="J62" s="3" t="e">
        <f t="shared" si="36"/>
        <v>#N/A</v>
      </c>
      <c r="K62" s="89">
        <f>IFERROR(ROUND(IF($D62="SSJ",(VLOOKUP($H62,'Programa Drench'!$B$6:$AA$182,MATCH(K$2,'Programa Drench'!$B$5:$AA$5,0),FALSE)),VLOOKUP($H62,'Programa Drench'!$B$6:$AA$182,MATCH(K$2,'Programa Drench'!$B$5:$AA$5,0),FALSE)),1),0)</f>
        <v>0</v>
      </c>
      <c r="L62" s="30">
        <f>IFERROR((VLOOKUP($H62,'Programa Drench'!$B$6:$AA$182,MATCH(L$2,'Programa Drench'!$B$5:$AA$5,0),FALSE)),0)</f>
        <v>0</v>
      </c>
      <c r="M62" s="36">
        <f>IFERROR((VLOOKUP($H62,'Programa Drench'!$B$6:$AA$182,MATCH(M$2,'Programa Drench'!$B$5:$AA$5,0),FALSE)*N62),0)</f>
        <v>0</v>
      </c>
      <c r="N62" s="36">
        <f t="shared" si="37"/>
        <v>0</v>
      </c>
      <c r="O62" s="89">
        <f>IFERROR(ROUND(IF($D62="SSJ",(VLOOKUP($H62,'Programa Drench'!$B$6:$AA$182,MATCH(O$2,'Programa Drench'!$B$5:$AA$5,0),FALSE)),VLOOKUP($H62,'Programa Drench'!$B$6:$AA$182,MATCH(O$2,'Programa Drench'!$B$5:$AA$5,0),FALSE)),1),0)</f>
        <v>0</v>
      </c>
      <c r="P62" s="30">
        <f>IFERROR((VLOOKUP($H62,'Programa Drench'!$B$6:$AA$182,MATCH(P$2,'Programa Drench'!$B$5:$AA$5,0),FALSE)),0)</f>
        <v>0</v>
      </c>
      <c r="Q62" s="36">
        <f>IFERROR((VLOOKUP($H62,'Programa Drench'!$B$6:$AA$182,MATCH(Q$2,'Programa Drench'!$B$5:$AA$5,0),FALSE)*R62),0)</f>
        <v>0</v>
      </c>
      <c r="R62" s="36">
        <f t="shared" si="38"/>
        <v>0</v>
      </c>
      <c r="S62" s="89">
        <f>IFERROR(ROUND(IF($D62="SSJ",(VLOOKUP($H62,'Programa Drench'!$B$6:$AA$182,MATCH(S$2,'Programa Drench'!$B$5:$AA$5,0),FALSE)),VLOOKUP($H62,'Programa Drench'!$B$6:$AA$182,MATCH(S$2,'Programa Drench'!$B$5:$AA$5,0),FALSE)),1),0)</f>
        <v>0</v>
      </c>
      <c r="T62" s="30">
        <f>IFERROR((VLOOKUP($H62,'Programa Drench'!$B$6:$AA$182,MATCH(T$2,'Programa Drench'!$B$5:$AA$5,0),FALSE)),0)</f>
        <v>0</v>
      </c>
      <c r="U62" s="36">
        <f>IFERROR((VLOOKUP($H62,'Programa Drench'!$B$6:$AA$182,MATCH(U$2,'Programa Drench'!$B$5:$AA$5,0),FALSE)*V62),0)</f>
        <v>0</v>
      </c>
      <c r="V62" s="36">
        <f t="shared" si="39"/>
        <v>0</v>
      </c>
      <c r="W62" s="89">
        <f>IFERROR(ROUND(IF($D62="SSJ",(VLOOKUP($H62,'Programa Drench'!$B$6:$AA$182,MATCH(W$2,'Programa Drench'!$B$5:$AA$5,0),FALSE)),VLOOKUP($H62,'Programa Drench'!$B$6:$AA$182,MATCH(W$2,'Programa Drench'!$B$5:$AA$5,0),FALSE)),1),0)</f>
        <v>0</v>
      </c>
      <c r="X62" s="30">
        <f>IFERROR((VLOOKUP($H62,'Programa Drench'!$B$6:$AA$182,MATCH(X$2,'Programa Drench'!$B$5:$AA$5,0),FALSE)),0)</f>
        <v>0</v>
      </c>
      <c r="Y62" s="36">
        <f>IFERROR((VLOOKUP($H62,'Programa Drench'!$B$6:$AA$182,MATCH(Y$2,'Programa Drench'!$B$5:$AA$5,0),FALSE)*Z62),0)</f>
        <v>0</v>
      </c>
      <c r="Z62" s="36">
        <f t="shared" si="40"/>
        <v>0</v>
      </c>
      <c r="AA62" s="89">
        <f>IFERROR(ROUND(IF($D62="SSJ",(VLOOKUP($H62,'Programa Drench'!$B$6:$AA$182,MATCH(AA$2,'Programa Drench'!$B$5:$AA$5,0),FALSE)),VLOOKUP($H62,'Programa Drench'!$B$6:$AA$182,MATCH(AA$2,'Programa Drench'!$B$5:$AA$5,0),FALSE)),1),0)</f>
        <v>0</v>
      </c>
      <c r="AB62" s="30">
        <f>IFERROR((VLOOKUP($H62,'Programa Drench'!$B$6:$AA$182,MATCH(AB$2,'Programa Drench'!$B$5:$AA$5,0),FALSE)),0)</f>
        <v>0</v>
      </c>
      <c r="AC62" s="83">
        <f>IFERROR((VLOOKUP($H62,'Programa Drench'!$B$6:$AA$182,MATCH(AC$2,'Programa Drench'!$B$5:$AA$5,0),FALSE)*$I62),0)</f>
        <v>0</v>
      </c>
      <c r="AD62" s="36">
        <f t="shared" si="41"/>
        <v>0</v>
      </c>
      <c r="AE62" s="36">
        <f>IFERROR(ROUND((VLOOKUP($H62,'Programa Drench'!$B$6:$AA$182,MATCH(AE$2,'Programa Drench'!$B$5:$AA$5,0),FALSE)),-1),0)</f>
        <v>0</v>
      </c>
      <c r="AF62" s="30">
        <f>IFERROR((VLOOKUP($H62,'Programa Drench'!$B$6:$AA$182,MATCH(AF$2,'Programa Drench'!$B$5:$AA$5,0),FALSE)),0)</f>
        <v>0</v>
      </c>
      <c r="AG62" s="36">
        <f>IFERROR((VLOOKUP($H62,'Programa Drench'!$B$6:$AA$182,MATCH(AG$2,'Programa Drench'!$B$5:$AA$5,0),FALSE)*AH62),0)</f>
        <v>0</v>
      </c>
      <c r="AH62" s="36">
        <f>IFERROR(ROUND((VLOOKUP($H62,'Programa Drench'!$B$6:$AA$182,MATCH(AH$2,'Programa Drench'!$B$5:$AA$5,0),FALSE)*$I62),-1),0)</f>
        <v>0</v>
      </c>
      <c r="AI62" s="89">
        <f>IFERROR((VLOOKUP($H62,'Programa Drench'!$B$6:$AA$182,MATCH(AI$2,'Programa Drench'!$B$5:$AA$5,0),FALSE)),0)</f>
        <v>0</v>
      </c>
    </row>
    <row r="63" spans="1:35" ht="15" hidden="1" customHeight="1" x14ac:dyDescent="0.2">
      <c r="A63" s="14">
        <f t="shared" si="16"/>
        <v>2572</v>
      </c>
      <c r="B63" s="77"/>
      <c r="C63" s="54"/>
      <c r="D63" s="54"/>
      <c r="E63" s="54"/>
      <c r="F63" s="54"/>
      <c r="G63" s="53" t="str">
        <f t="shared" si="29"/>
        <v/>
      </c>
      <c r="H63" s="55" t="str">
        <f t="shared" si="9"/>
        <v xml:space="preserve">2572  </v>
      </c>
      <c r="I63" s="262" t="e">
        <f>IF(D63="MM1",VLOOKUP($B63,'Inf Bloques'!$A$1:$K$453,11,FALSE)*1,VLOOKUP($B63,'Inf Bloques'!$A$1:$K$453,11,FALSE))</f>
        <v>#N/A</v>
      </c>
      <c r="J63" s="3" t="e">
        <f t="shared" ref="J63:J64" si="42">I63/9</f>
        <v>#N/A</v>
      </c>
      <c r="K63" s="89">
        <f>IFERROR(ROUND(IF($D63="SSJ",(VLOOKUP($H63,'Programa Drench'!$B$6:$AA$182,MATCH(K$2,'Programa Drench'!$B$5:$AA$5,0),FALSE)),VLOOKUP($H63,'Programa Drench'!$B$6:$AA$182,MATCH(K$2,'Programa Drench'!$B$5:$AA$5,0),FALSE)),1),0)</f>
        <v>0</v>
      </c>
      <c r="L63" s="30">
        <f>IFERROR((VLOOKUP($H63,'Programa Drench'!$B$6:$AA$182,MATCH(L$2,'Programa Drench'!$B$5:$AA$5,0),FALSE)),0)</f>
        <v>0</v>
      </c>
      <c r="M63" s="36">
        <f>IFERROR((VLOOKUP($H63,'Programa Drench'!$B$6:$AA$182,MATCH(M$2,'Programa Drench'!$B$5:$AA$5,0),FALSE)*N63),0)</f>
        <v>0</v>
      </c>
      <c r="N63" s="36">
        <f t="shared" ref="N63:N64" si="43">IFERROR(ROUND((K63*$I63),-1),0)</f>
        <v>0</v>
      </c>
      <c r="O63" s="89">
        <f>IFERROR(ROUND(IF($D63="SSJ",(VLOOKUP($H63,'Programa Drench'!$B$6:$AA$182,MATCH(O$2,'Programa Drench'!$B$5:$AA$5,0),FALSE)),VLOOKUP($H63,'Programa Drench'!$B$6:$AA$182,MATCH(O$2,'Programa Drench'!$B$5:$AA$5,0),FALSE)),1),0)</f>
        <v>0</v>
      </c>
      <c r="P63" s="30">
        <f>IFERROR((VLOOKUP($H63,'Programa Drench'!$B$6:$AA$182,MATCH(P$2,'Programa Drench'!$B$5:$AA$5,0),FALSE)),0)</f>
        <v>0</v>
      </c>
      <c r="Q63" s="36">
        <f>IFERROR((VLOOKUP($H63,'Programa Drench'!$B$6:$AA$182,MATCH(Q$2,'Programa Drench'!$B$5:$AA$5,0),FALSE)*R63),0)</f>
        <v>0</v>
      </c>
      <c r="R63" s="36">
        <f t="shared" ref="R63:R64" si="44">IFERROR(ROUND((O63*$I63),-1),0)</f>
        <v>0</v>
      </c>
      <c r="S63" s="89">
        <f>IFERROR(ROUND(IF($D63="SSJ",(VLOOKUP($H63,'Programa Drench'!$B$6:$AA$182,MATCH(S$2,'Programa Drench'!$B$5:$AA$5,0),FALSE)),VLOOKUP($H63,'Programa Drench'!$B$6:$AA$182,MATCH(S$2,'Programa Drench'!$B$5:$AA$5,0),FALSE)),1),0)</f>
        <v>0</v>
      </c>
      <c r="T63" s="30">
        <f>IFERROR((VLOOKUP($H63,'Programa Drench'!$B$6:$AA$182,MATCH(T$2,'Programa Drench'!$B$5:$AA$5,0),FALSE)),0)</f>
        <v>0</v>
      </c>
      <c r="U63" s="36">
        <f>IFERROR((VLOOKUP($H63,'Programa Drench'!$B$6:$AA$182,MATCH(U$2,'Programa Drench'!$B$5:$AA$5,0),FALSE)*V63),0)</f>
        <v>0</v>
      </c>
      <c r="V63" s="36">
        <f t="shared" ref="V63:V64" si="45">IFERROR(ROUND((S63*$I63),-1),0)</f>
        <v>0</v>
      </c>
      <c r="W63" s="89">
        <f>IFERROR(ROUND(IF($D63="SSJ",(VLOOKUP($H63,'Programa Drench'!$B$6:$AA$182,MATCH(W$2,'Programa Drench'!$B$5:$AA$5,0),FALSE)),VLOOKUP($H63,'Programa Drench'!$B$6:$AA$182,MATCH(W$2,'Programa Drench'!$B$5:$AA$5,0),FALSE)),1),0)</f>
        <v>0</v>
      </c>
      <c r="X63" s="30">
        <f>IFERROR((VLOOKUP($H63,'Programa Drench'!$B$6:$AA$182,MATCH(X$2,'Programa Drench'!$B$5:$AA$5,0),FALSE)),0)</f>
        <v>0</v>
      </c>
      <c r="Y63" s="36">
        <f>IFERROR((VLOOKUP($H63,'Programa Drench'!$B$6:$AA$182,MATCH(Y$2,'Programa Drench'!$B$5:$AA$5,0),FALSE)*Z63),0)</f>
        <v>0</v>
      </c>
      <c r="Z63" s="36">
        <f t="shared" ref="Z63:Z64" si="46">IFERROR(ROUND((W63*$I63),-1),0)</f>
        <v>0</v>
      </c>
      <c r="AA63" s="89">
        <f>IFERROR(ROUND(IF($D63="SSJ",(VLOOKUP($H63,'Programa Drench'!$B$6:$AA$182,MATCH(AA$2,'Programa Drench'!$B$5:$AA$5,0),FALSE)),VLOOKUP($H63,'Programa Drench'!$B$6:$AA$182,MATCH(AA$2,'Programa Drench'!$B$5:$AA$5,0),FALSE)),1),0)</f>
        <v>0</v>
      </c>
      <c r="AB63" s="30">
        <f>IFERROR((VLOOKUP($H63,'Programa Drench'!$B$6:$AA$182,MATCH(AB$2,'Programa Drench'!$B$5:$AA$5,0),FALSE)),0)</f>
        <v>0</v>
      </c>
      <c r="AC63" s="83">
        <f>IFERROR((VLOOKUP($H63,'Programa Drench'!$B$6:$AA$182,MATCH(AC$2,'Programa Drench'!$B$5:$AA$5,0),FALSE)*$I63),0)</f>
        <v>0</v>
      </c>
      <c r="AD63" s="36">
        <f t="shared" ref="AD63:AD64" si="47">IFERROR(ROUND((AA63*$I63),-1),0)</f>
        <v>0</v>
      </c>
      <c r="AE63" s="36">
        <f>IFERROR(ROUND((VLOOKUP($H63,'Programa Drench'!$B$6:$AA$182,MATCH(AE$2,'Programa Drench'!$B$5:$AA$5,0),FALSE)),-1),0)</f>
        <v>0</v>
      </c>
      <c r="AF63" s="30">
        <f>IFERROR((VLOOKUP($H63,'Programa Drench'!$B$6:$AA$182,MATCH(AF$2,'Programa Drench'!$B$5:$AA$5,0),FALSE)),0)</f>
        <v>0</v>
      </c>
      <c r="AG63" s="36">
        <f>IFERROR((VLOOKUP($H63,'Programa Drench'!$B$6:$AA$182,MATCH(AG$2,'Programa Drench'!$B$5:$AA$5,0),FALSE)*AH63),0)</f>
        <v>0</v>
      </c>
      <c r="AH63" s="36">
        <f>IFERROR(ROUND((VLOOKUP($H63,'Programa Drench'!$B$6:$AA$182,MATCH(AH$2,'Programa Drench'!$B$5:$AA$5,0),FALSE)*$I63),-1),0)</f>
        <v>0</v>
      </c>
      <c r="AI63" s="89">
        <f>IFERROR((VLOOKUP($H63,'Programa Drench'!$B$6:$AA$182,MATCH(AI$2,'Programa Drench'!$B$5:$AA$5,0),FALSE)),0)</f>
        <v>0</v>
      </c>
    </row>
    <row r="64" spans="1:35" ht="15" hidden="1" customHeight="1" x14ac:dyDescent="0.2">
      <c r="A64" s="14">
        <f t="shared" si="16"/>
        <v>2572</v>
      </c>
      <c r="B64" s="77"/>
      <c r="C64" s="54"/>
      <c r="D64" s="54"/>
      <c r="E64" s="54"/>
      <c r="F64" s="54"/>
      <c r="G64" s="53" t="str">
        <f t="shared" si="29"/>
        <v/>
      </c>
      <c r="H64" s="55" t="str">
        <f t="shared" si="9"/>
        <v xml:space="preserve">2572  </v>
      </c>
      <c r="I64" s="262" t="e">
        <f>IF(D64="MM1",VLOOKUP($B64,'Inf Bloques'!$A$1:$K$453,11,FALSE)*1,VLOOKUP($B64,'Inf Bloques'!$A$1:$K$453,11,FALSE))</f>
        <v>#N/A</v>
      </c>
      <c r="J64" s="3" t="e">
        <f t="shared" si="42"/>
        <v>#N/A</v>
      </c>
      <c r="K64" s="89">
        <f>IFERROR(ROUND(IF($D64="SSJ",(VLOOKUP($H64,'Programa Drench'!$B$6:$AA$182,MATCH(K$2,'Programa Drench'!$B$5:$AA$5,0),FALSE)),VLOOKUP($H64,'Programa Drench'!$B$6:$AA$182,MATCH(K$2,'Programa Drench'!$B$5:$AA$5,0),FALSE)),1),0)</f>
        <v>0</v>
      </c>
      <c r="L64" s="30">
        <f>IFERROR((VLOOKUP($H64,'Programa Drench'!$B$6:$AA$182,MATCH(L$2,'Programa Drench'!$B$5:$AA$5,0),FALSE)),0)</f>
        <v>0</v>
      </c>
      <c r="M64" s="36">
        <f>IFERROR((VLOOKUP($H64,'Programa Drench'!$B$6:$AA$182,MATCH(M$2,'Programa Drench'!$B$5:$AA$5,0),FALSE)*N64),0)</f>
        <v>0</v>
      </c>
      <c r="N64" s="36">
        <f t="shared" si="43"/>
        <v>0</v>
      </c>
      <c r="O64" s="89">
        <f>IFERROR(ROUND(IF($D64="SSJ",(VLOOKUP($H64,'Programa Drench'!$B$6:$AA$182,MATCH(O$2,'Programa Drench'!$B$5:$AA$5,0),FALSE)),VLOOKUP($H64,'Programa Drench'!$B$6:$AA$182,MATCH(O$2,'Programa Drench'!$B$5:$AA$5,0),FALSE)),1),0)</f>
        <v>0</v>
      </c>
      <c r="P64" s="30">
        <f>IFERROR((VLOOKUP($H64,'Programa Drench'!$B$6:$AA$182,MATCH(P$2,'Programa Drench'!$B$5:$AA$5,0),FALSE)),0)</f>
        <v>0</v>
      </c>
      <c r="Q64" s="36">
        <f>IFERROR((VLOOKUP($H64,'Programa Drench'!$B$6:$AA$182,MATCH(Q$2,'Programa Drench'!$B$5:$AA$5,0),FALSE)*R64),0)</f>
        <v>0</v>
      </c>
      <c r="R64" s="36">
        <f t="shared" si="44"/>
        <v>0</v>
      </c>
      <c r="S64" s="89">
        <f>IFERROR(ROUND(IF($D64="SSJ",(VLOOKUP($H64,'Programa Drench'!$B$6:$AA$182,MATCH(S$2,'Programa Drench'!$B$5:$AA$5,0),FALSE)),VLOOKUP($H64,'Programa Drench'!$B$6:$AA$182,MATCH(S$2,'Programa Drench'!$B$5:$AA$5,0),FALSE)),1),0)</f>
        <v>0</v>
      </c>
      <c r="T64" s="30">
        <f>IFERROR((VLOOKUP($H64,'Programa Drench'!$B$6:$AA$182,MATCH(T$2,'Programa Drench'!$B$5:$AA$5,0),FALSE)),0)</f>
        <v>0</v>
      </c>
      <c r="U64" s="36">
        <f>IFERROR((VLOOKUP($H64,'Programa Drench'!$B$6:$AA$182,MATCH(U$2,'Programa Drench'!$B$5:$AA$5,0),FALSE)*V64),0)</f>
        <v>0</v>
      </c>
      <c r="V64" s="36">
        <f t="shared" si="45"/>
        <v>0</v>
      </c>
      <c r="W64" s="89">
        <f>IFERROR(ROUND(IF($D64="SSJ",(VLOOKUP($H64,'Programa Drench'!$B$6:$AA$182,MATCH(W$2,'Programa Drench'!$B$5:$AA$5,0),FALSE)),VLOOKUP($H64,'Programa Drench'!$B$6:$AA$182,MATCH(W$2,'Programa Drench'!$B$5:$AA$5,0),FALSE)),1),0)</f>
        <v>0</v>
      </c>
      <c r="X64" s="30">
        <f>IFERROR((VLOOKUP($H64,'Programa Drench'!$B$6:$AA$182,MATCH(X$2,'Programa Drench'!$B$5:$AA$5,0),FALSE)),0)</f>
        <v>0</v>
      </c>
      <c r="Y64" s="36">
        <f>IFERROR((VLOOKUP($H64,'Programa Drench'!$B$6:$AA$182,MATCH(Y$2,'Programa Drench'!$B$5:$AA$5,0),FALSE)*Z64),0)</f>
        <v>0</v>
      </c>
      <c r="Z64" s="36">
        <f t="shared" si="46"/>
        <v>0</v>
      </c>
      <c r="AA64" s="89">
        <f>IFERROR(ROUND(IF($D64="SSJ",(VLOOKUP($H64,'Programa Drench'!$B$6:$AA$182,MATCH(AA$2,'Programa Drench'!$B$5:$AA$5,0),FALSE)),VLOOKUP($H64,'Programa Drench'!$B$6:$AA$182,MATCH(AA$2,'Programa Drench'!$B$5:$AA$5,0),FALSE)),1),0)</f>
        <v>0</v>
      </c>
      <c r="AB64" s="30">
        <f>IFERROR((VLOOKUP($H64,'Programa Drench'!$B$6:$AA$182,MATCH(AB$2,'Programa Drench'!$B$5:$AA$5,0),FALSE)),0)</f>
        <v>0</v>
      </c>
      <c r="AC64" s="83">
        <f>IFERROR((VLOOKUP($H64,'Programa Drench'!$B$6:$AA$182,MATCH(AC$2,'Programa Drench'!$B$5:$AA$5,0),FALSE)*$I64),0)</f>
        <v>0</v>
      </c>
      <c r="AD64" s="36">
        <f t="shared" si="47"/>
        <v>0</v>
      </c>
      <c r="AE64" s="36">
        <f>IFERROR(ROUND((VLOOKUP($H64,'Programa Drench'!$B$6:$AA$182,MATCH(AE$2,'Programa Drench'!$B$5:$AA$5,0),FALSE)),-1),0)</f>
        <v>0</v>
      </c>
      <c r="AF64" s="30">
        <f>IFERROR((VLOOKUP($H64,'Programa Drench'!$B$6:$AA$182,MATCH(AF$2,'Programa Drench'!$B$5:$AA$5,0),FALSE)),0)</f>
        <v>0</v>
      </c>
      <c r="AG64" s="36">
        <f>IFERROR((VLOOKUP($H64,'Programa Drench'!$B$6:$AA$182,MATCH(AG$2,'Programa Drench'!$B$5:$AA$5,0),FALSE)*AH64),0)</f>
        <v>0</v>
      </c>
      <c r="AH64" s="36">
        <f>IFERROR(ROUND((VLOOKUP($H64,'Programa Drench'!$B$6:$AA$182,MATCH(AH$2,'Programa Drench'!$B$5:$AA$5,0),FALSE)*$I64),-1),0)</f>
        <v>0</v>
      </c>
      <c r="AI64" s="89">
        <f>IFERROR((VLOOKUP($H64,'Programa Drench'!$B$6:$AA$182,MATCH(AI$2,'Programa Drench'!$B$5:$AA$5,0),FALSE)),0)</f>
        <v>0</v>
      </c>
    </row>
    <row r="65" spans="1:35" ht="15" hidden="1" customHeight="1" x14ac:dyDescent="0.2">
      <c r="A65" s="14">
        <f t="shared" ref="A65:A74" si="48">IF(($J$1-C65)&gt;=52,($J$1-C65-100+52+1),($J$1-C65+1))</f>
        <v>2572</v>
      </c>
      <c r="B65" s="77"/>
      <c r="C65" s="54"/>
      <c r="D65" s="54"/>
      <c r="E65" s="54"/>
      <c r="F65" s="54"/>
      <c r="G65" s="53" t="str">
        <f t="shared" si="29"/>
        <v/>
      </c>
      <c r="H65" s="55" t="str">
        <f t="shared" si="9"/>
        <v xml:space="preserve">2572  </v>
      </c>
      <c r="I65" s="262" t="e">
        <f>IF(D65="MM1",VLOOKUP($B65,'Inf Bloques'!$A$1:$K$453,11,FALSE)*1,VLOOKUP($B65,'Inf Bloques'!$A$1:$K$453,11,FALSE))</f>
        <v>#N/A</v>
      </c>
      <c r="J65" s="3" t="e">
        <f t="shared" ref="J65:J66" si="49">I65/9</f>
        <v>#N/A</v>
      </c>
      <c r="K65" s="89">
        <f>IFERROR(ROUND(IF($D65="SSJ",(VLOOKUP($H65,'Programa Drench'!$B$6:$AA$182,MATCH(K$2,'Programa Drench'!$B$5:$AA$5,0),FALSE)),VLOOKUP($H65,'Programa Drench'!$B$6:$AA$182,MATCH(K$2,'Programa Drench'!$B$5:$AA$5,0),FALSE)),1),0)</f>
        <v>0</v>
      </c>
      <c r="L65" s="30">
        <f>IFERROR((VLOOKUP($H65,'Programa Drench'!$B$6:$AA$182,MATCH(L$2,'Programa Drench'!$B$5:$AA$5,0),FALSE)),0)</f>
        <v>0</v>
      </c>
      <c r="M65" s="36">
        <f>IFERROR((VLOOKUP($H65,'Programa Drench'!$B$6:$AA$182,MATCH(M$2,'Programa Drench'!$B$5:$AA$5,0),FALSE)*N65),0)</f>
        <v>0</v>
      </c>
      <c r="N65" s="36">
        <f t="shared" ref="N65:N66" si="50">IFERROR(ROUND((K65*$I65),-1),0)</f>
        <v>0</v>
      </c>
      <c r="O65" s="89">
        <f>IFERROR(ROUND(IF($D65="SSJ",(VLOOKUP($H65,'Programa Drench'!$B$6:$AA$182,MATCH(O$2,'Programa Drench'!$B$5:$AA$5,0),FALSE)),VLOOKUP($H65,'Programa Drench'!$B$6:$AA$182,MATCH(O$2,'Programa Drench'!$B$5:$AA$5,0),FALSE)),1),0)</f>
        <v>0</v>
      </c>
      <c r="P65" s="30">
        <f>IFERROR((VLOOKUP($H65,'Programa Drench'!$B$6:$AA$182,MATCH(P$2,'Programa Drench'!$B$5:$AA$5,0),FALSE)),0)</f>
        <v>0</v>
      </c>
      <c r="Q65" s="36">
        <f>IFERROR((VLOOKUP($H65,'Programa Drench'!$B$6:$AA$182,MATCH(Q$2,'Programa Drench'!$B$5:$AA$5,0),FALSE)*R65),0)</f>
        <v>0</v>
      </c>
      <c r="R65" s="36">
        <f t="shared" ref="R65:R66" si="51">IFERROR(ROUND((O65*$I65),-1),0)</f>
        <v>0</v>
      </c>
      <c r="S65" s="89">
        <f>IFERROR(ROUND(IF($D65="SSJ",(VLOOKUP($H65,'Programa Drench'!$B$6:$AA$182,MATCH(S$2,'Programa Drench'!$B$5:$AA$5,0),FALSE)),VLOOKUP($H65,'Programa Drench'!$B$6:$AA$182,MATCH(S$2,'Programa Drench'!$B$5:$AA$5,0),FALSE)),1),0)</f>
        <v>0</v>
      </c>
      <c r="T65" s="30">
        <f>IFERROR((VLOOKUP($H65,'Programa Drench'!$B$6:$AA$182,MATCH(T$2,'Programa Drench'!$B$5:$AA$5,0),FALSE)),0)</f>
        <v>0</v>
      </c>
      <c r="U65" s="36">
        <f>IFERROR((VLOOKUP($H65,'Programa Drench'!$B$6:$AA$182,MATCH(U$2,'Programa Drench'!$B$5:$AA$5,0),FALSE)*V65),0)</f>
        <v>0</v>
      </c>
      <c r="V65" s="36">
        <f t="shared" ref="V65:V66" si="52">IFERROR(ROUND((S65*$I65),-1),0)</f>
        <v>0</v>
      </c>
      <c r="W65" s="89">
        <f>IFERROR(ROUND(IF($D65="SSJ",(VLOOKUP($H65,'Programa Drench'!$B$6:$AA$182,MATCH(W$2,'Programa Drench'!$B$5:$AA$5,0),FALSE)),VLOOKUP($H65,'Programa Drench'!$B$6:$AA$182,MATCH(W$2,'Programa Drench'!$B$5:$AA$5,0),FALSE)),1),0)</f>
        <v>0</v>
      </c>
      <c r="X65" s="30">
        <f>IFERROR((VLOOKUP($H65,'Programa Drench'!$B$6:$AA$182,MATCH(X$2,'Programa Drench'!$B$5:$AA$5,0),FALSE)),0)</f>
        <v>0</v>
      </c>
      <c r="Y65" s="36">
        <f>IFERROR((VLOOKUP($H65,'Programa Drench'!$B$6:$AA$182,MATCH(Y$2,'Programa Drench'!$B$5:$AA$5,0),FALSE)*Z65),0)</f>
        <v>0</v>
      </c>
      <c r="Z65" s="36">
        <f t="shared" ref="Z65:Z66" si="53">IFERROR(ROUND((W65*$I65),-1),0)</f>
        <v>0</v>
      </c>
      <c r="AA65" s="89">
        <f>IFERROR(ROUND(IF($D65="SSJ",(VLOOKUP($H65,'Programa Drench'!$B$6:$AA$182,MATCH(AA$2,'Programa Drench'!$B$5:$AA$5,0),FALSE)),VLOOKUP($H65,'Programa Drench'!$B$6:$AA$182,MATCH(AA$2,'Programa Drench'!$B$5:$AA$5,0),FALSE)),1),0)</f>
        <v>0</v>
      </c>
      <c r="AB65" s="30">
        <f>IFERROR((VLOOKUP($H65,'Programa Drench'!$B$6:$AA$182,MATCH(AB$2,'Programa Drench'!$B$5:$AA$5,0),FALSE)),0)</f>
        <v>0</v>
      </c>
      <c r="AC65" s="83">
        <f>IFERROR((VLOOKUP($H65,'Programa Drench'!$B$6:$AA$182,MATCH(AC$2,'Programa Drench'!$B$5:$AA$5,0),FALSE)*$I65),0)</f>
        <v>0</v>
      </c>
      <c r="AD65" s="36">
        <f t="shared" ref="AD65:AD66" si="54">IFERROR(ROUND((AA65*$I65),-1),0)</f>
        <v>0</v>
      </c>
      <c r="AE65" s="36">
        <f>IFERROR(ROUND((VLOOKUP($H65,'Programa Drench'!$B$6:$AA$182,MATCH(AE$2,'Programa Drench'!$B$5:$AA$5,0),FALSE)),-1),0)</f>
        <v>0</v>
      </c>
      <c r="AF65" s="30">
        <f>IFERROR((VLOOKUP($H65,'Programa Drench'!$B$6:$AA$182,MATCH(AF$2,'Programa Drench'!$B$5:$AA$5,0),FALSE)),0)</f>
        <v>0</v>
      </c>
      <c r="AG65" s="36">
        <f>IFERROR((VLOOKUP($H65,'Programa Drench'!$B$6:$AA$182,MATCH(AG$2,'Programa Drench'!$B$5:$AA$5,0),FALSE)*AH65),0)</f>
        <v>0</v>
      </c>
      <c r="AH65" s="36">
        <f>IFERROR(ROUND((VLOOKUP($H65,'Programa Drench'!$B$6:$AA$182,MATCH(AH$2,'Programa Drench'!$B$5:$AA$5,0),FALSE)*$I65),-1),0)</f>
        <v>0</v>
      </c>
      <c r="AI65" s="89">
        <f>IFERROR((VLOOKUP($H65,'Programa Drench'!$B$6:$AA$182,MATCH(AI$2,'Programa Drench'!$B$5:$AA$5,0),FALSE)),0)</f>
        <v>0</v>
      </c>
    </row>
    <row r="66" spans="1:35" ht="15" hidden="1" customHeight="1" x14ac:dyDescent="0.2">
      <c r="A66" s="14">
        <f t="shared" si="48"/>
        <v>2572</v>
      </c>
      <c r="B66" s="77"/>
      <c r="C66" s="54"/>
      <c r="D66" s="54"/>
      <c r="E66" s="54"/>
      <c r="F66" s="54"/>
      <c r="G66" s="53" t="str">
        <f t="shared" ref="G66" si="55">MID(E66,1,1)</f>
        <v/>
      </c>
      <c r="H66" s="55" t="str">
        <f t="shared" si="9"/>
        <v xml:space="preserve">2572  </v>
      </c>
      <c r="I66" s="262" t="e">
        <f>IF(D66="MM1",VLOOKUP($B66,'Inf Bloques'!$A$1:$K$453,11,FALSE)*1,VLOOKUP($B66,'Inf Bloques'!$A$1:$K$453,11,FALSE))</f>
        <v>#N/A</v>
      </c>
      <c r="J66" s="3" t="e">
        <f t="shared" si="49"/>
        <v>#N/A</v>
      </c>
      <c r="K66" s="89">
        <f>IFERROR(ROUND(IF($D66="SSJ",(VLOOKUP($H66,'Programa Drench'!$B$6:$AA$182,MATCH(K$2,'Programa Drench'!$B$5:$AA$5,0),FALSE)),VLOOKUP($H66,'Programa Drench'!$B$6:$AA$182,MATCH(K$2,'Programa Drench'!$B$5:$AA$5,0),FALSE)),1),0)</f>
        <v>0</v>
      </c>
      <c r="L66" s="30">
        <f>IFERROR((VLOOKUP($H66,'Programa Drench'!$B$6:$AA$182,MATCH(L$2,'Programa Drench'!$B$5:$AA$5,0),FALSE)),0)</f>
        <v>0</v>
      </c>
      <c r="M66" s="36">
        <f>IFERROR((VLOOKUP($H66,'Programa Drench'!$B$6:$AA$182,MATCH(M$2,'Programa Drench'!$B$5:$AA$5,0),FALSE)*N66),0)</f>
        <v>0</v>
      </c>
      <c r="N66" s="36">
        <f t="shared" si="50"/>
        <v>0</v>
      </c>
      <c r="O66" s="89">
        <f>IFERROR(ROUND(IF($D66="SSJ",(VLOOKUP($H66,'Programa Drench'!$B$6:$AA$182,MATCH(O$2,'Programa Drench'!$B$5:$AA$5,0),FALSE)),VLOOKUP($H66,'Programa Drench'!$B$6:$AA$182,MATCH(O$2,'Programa Drench'!$B$5:$AA$5,0),FALSE)),1),0)</f>
        <v>0</v>
      </c>
      <c r="P66" s="30">
        <f>IFERROR((VLOOKUP($H66,'Programa Drench'!$B$6:$AA$182,MATCH(P$2,'Programa Drench'!$B$5:$AA$5,0),FALSE)),0)</f>
        <v>0</v>
      </c>
      <c r="Q66" s="36">
        <f>IFERROR((VLOOKUP($H66,'Programa Drench'!$B$6:$AA$182,MATCH(Q$2,'Programa Drench'!$B$5:$AA$5,0),FALSE)*R66),0)</f>
        <v>0</v>
      </c>
      <c r="R66" s="36">
        <f t="shared" si="51"/>
        <v>0</v>
      </c>
      <c r="S66" s="89">
        <f>IFERROR(ROUND(IF($D66="SSJ",(VLOOKUP($H66,'Programa Drench'!$B$6:$AA$182,MATCH(S$2,'Programa Drench'!$B$5:$AA$5,0),FALSE)),VLOOKUP($H66,'Programa Drench'!$B$6:$AA$182,MATCH(S$2,'Programa Drench'!$B$5:$AA$5,0),FALSE)),1),0)</f>
        <v>0</v>
      </c>
      <c r="T66" s="30">
        <f>IFERROR((VLOOKUP($H66,'Programa Drench'!$B$6:$AA$182,MATCH(T$2,'Programa Drench'!$B$5:$AA$5,0),FALSE)),0)</f>
        <v>0</v>
      </c>
      <c r="U66" s="36">
        <f>IFERROR((VLOOKUP($H66,'Programa Drench'!$B$6:$AA$182,MATCH(U$2,'Programa Drench'!$B$5:$AA$5,0),FALSE)*V66),0)</f>
        <v>0</v>
      </c>
      <c r="V66" s="36">
        <f t="shared" si="52"/>
        <v>0</v>
      </c>
      <c r="W66" s="89">
        <f>IFERROR(ROUND(IF($D66="SSJ",(VLOOKUP($H66,'Programa Drench'!$B$6:$AA$182,MATCH(W$2,'Programa Drench'!$B$5:$AA$5,0),FALSE)),VLOOKUP($H66,'Programa Drench'!$B$6:$AA$182,MATCH(W$2,'Programa Drench'!$B$5:$AA$5,0),FALSE)),1),0)</f>
        <v>0</v>
      </c>
      <c r="X66" s="30">
        <f>IFERROR((VLOOKUP($H66,'Programa Drench'!$B$6:$AA$182,MATCH(X$2,'Programa Drench'!$B$5:$AA$5,0),FALSE)),0)</f>
        <v>0</v>
      </c>
      <c r="Y66" s="36">
        <f>IFERROR((VLOOKUP($H66,'Programa Drench'!$B$6:$AA$182,MATCH(Y$2,'Programa Drench'!$B$5:$AA$5,0),FALSE)*Z66),0)</f>
        <v>0</v>
      </c>
      <c r="Z66" s="36">
        <f t="shared" si="53"/>
        <v>0</v>
      </c>
      <c r="AA66" s="89">
        <f>IFERROR(ROUND(IF($D66="SSJ",(VLOOKUP($H66,'Programa Drench'!$B$6:$AA$182,MATCH(AA$2,'Programa Drench'!$B$5:$AA$5,0),FALSE)),VLOOKUP($H66,'Programa Drench'!$B$6:$AA$182,MATCH(AA$2,'Programa Drench'!$B$5:$AA$5,0),FALSE)),1),0)</f>
        <v>0</v>
      </c>
      <c r="AB66" s="30">
        <f>IFERROR((VLOOKUP($H66,'Programa Drench'!$B$6:$AA$182,MATCH(AB$2,'Programa Drench'!$B$5:$AA$5,0),FALSE)),0)</f>
        <v>0</v>
      </c>
      <c r="AC66" s="83">
        <f>IFERROR((VLOOKUP($H66,'Programa Drench'!$B$6:$AA$182,MATCH(AC$2,'Programa Drench'!$B$5:$AA$5,0),FALSE)*$I66),0)</f>
        <v>0</v>
      </c>
      <c r="AD66" s="36">
        <f t="shared" si="54"/>
        <v>0</v>
      </c>
      <c r="AE66" s="36">
        <f>IFERROR(ROUND((VLOOKUP($H66,'Programa Drench'!$B$6:$AA$182,MATCH(AE$2,'Programa Drench'!$B$5:$AA$5,0),FALSE)),-1),0)</f>
        <v>0</v>
      </c>
      <c r="AF66" s="30">
        <f>IFERROR((VLOOKUP($H66,'Programa Drench'!$B$6:$AA$182,MATCH(AF$2,'Programa Drench'!$B$5:$AA$5,0),FALSE)),0)</f>
        <v>0</v>
      </c>
      <c r="AG66" s="36">
        <f>IFERROR((VLOOKUP($H66,'Programa Drench'!$B$6:$AA$182,MATCH(AG$2,'Programa Drench'!$B$5:$AA$5,0),FALSE)*AH66),0)</f>
        <v>0</v>
      </c>
      <c r="AH66" s="36">
        <f>IFERROR(ROUND((VLOOKUP($H66,'Programa Drench'!$B$6:$AA$182,MATCH(AH$2,'Programa Drench'!$B$5:$AA$5,0),FALSE)*$I66),-1),0)</f>
        <v>0</v>
      </c>
      <c r="AI66" s="89">
        <f>IFERROR((VLOOKUP($H66,'Programa Drench'!$B$6:$AA$182,MATCH(AI$2,'Programa Drench'!$B$5:$AA$5,0),FALSE)),0)</f>
        <v>0</v>
      </c>
    </row>
    <row r="67" spans="1:35" ht="15" hidden="1" customHeight="1" x14ac:dyDescent="0.2">
      <c r="A67" s="14">
        <f t="shared" si="48"/>
        <v>2572</v>
      </c>
      <c r="B67" s="77"/>
      <c r="C67" s="54"/>
      <c r="D67" s="54"/>
      <c r="E67" s="54"/>
      <c r="F67" s="54"/>
      <c r="G67" s="53" t="str">
        <f t="shared" ref="G67:G74" si="56">MID(E67,1,1)</f>
        <v/>
      </c>
      <c r="H67" s="55" t="str">
        <f t="shared" ref="H67:H80" si="57">CONCATENATE(A67," ",G67," ",F67)</f>
        <v xml:space="preserve">2572  </v>
      </c>
      <c r="I67" s="262" t="e">
        <f>IF(D67="MM1",VLOOKUP($B67,'Inf Bloques'!$A$1:$K$453,11,FALSE)*1,VLOOKUP($B67,'Inf Bloques'!$A$1:$K$453,11,FALSE))</f>
        <v>#N/A</v>
      </c>
      <c r="J67" s="3" t="e">
        <f t="shared" ref="J67:J74" si="58">I67/9</f>
        <v>#N/A</v>
      </c>
      <c r="K67" s="89">
        <f>IFERROR(ROUND(IF($D67="SSJ",(VLOOKUP($H67,'Programa Drench'!$B$6:$AA$182,MATCH(K$2,'Programa Drench'!$B$5:$AA$5,0),FALSE)),VLOOKUP($H67,'Programa Drench'!$B$6:$AA$182,MATCH(K$2,'Programa Drench'!$B$5:$AA$5,0),FALSE)),1),0)</f>
        <v>0</v>
      </c>
      <c r="L67" s="30">
        <f>IFERROR((VLOOKUP($H67,'Programa Drench'!$B$6:$AA$182,MATCH(L$2,'Programa Drench'!$B$5:$AA$5,0),FALSE)),0)</f>
        <v>0</v>
      </c>
      <c r="M67" s="36">
        <f>IFERROR((VLOOKUP($H67,'Programa Drench'!$B$6:$AA$182,MATCH(M$2,'Programa Drench'!$B$5:$AA$5,0),FALSE)*N67),0)</f>
        <v>0</v>
      </c>
      <c r="N67" s="36">
        <f t="shared" ref="N67:N78" si="59">IFERROR(ROUND((K67*$I67),-1),0)</f>
        <v>0</v>
      </c>
      <c r="O67" s="89">
        <f>IFERROR(ROUND(IF($D67="SSJ",(VLOOKUP($H67,'Programa Drench'!$B$6:$AA$182,MATCH(O$2,'Programa Drench'!$B$5:$AA$5,0),FALSE)),VLOOKUP($H67,'Programa Drench'!$B$6:$AA$182,MATCH(O$2,'Programa Drench'!$B$5:$AA$5,0),FALSE)),1),0)</f>
        <v>0</v>
      </c>
      <c r="P67" s="30">
        <f>IFERROR((VLOOKUP($H67,'Programa Drench'!$B$6:$AA$182,MATCH(P$2,'Programa Drench'!$B$5:$AA$5,0),FALSE)),0)</f>
        <v>0</v>
      </c>
      <c r="Q67" s="36">
        <f>IFERROR((VLOOKUP($H67,'Programa Drench'!$B$6:$AA$182,MATCH(Q$2,'Programa Drench'!$B$5:$AA$5,0),FALSE)*R67),0)</f>
        <v>0</v>
      </c>
      <c r="R67" s="36">
        <f t="shared" ref="R67:R78" si="60">IFERROR(ROUND((O67*$I67),-1),0)</f>
        <v>0</v>
      </c>
      <c r="S67" s="89">
        <f>IFERROR(ROUND(IF($D67="SSJ",(VLOOKUP($H67,'Programa Drench'!$B$6:$AA$182,MATCH(S$2,'Programa Drench'!$B$5:$AA$5,0),FALSE)),VLOOKUP($H67,'Programa Drench'!$B$6:$AA$182,MATCH(S$2,'Programa Drench'!$B$5:$AA$5,0),FALSE)),1),0)</f>
        <v>0</v>
      </c>
      <c r="T67" s="30">
        <f>IFERROR((VLOOKUP($H67,'Programa Drench'!$B$6:$AA$182,MATCH(T$2,'Programa Drench'!$B$5:$AA$5,0),FALSE)),0)</f>
        <v>0</v>
      </c>
      <c r="U67" s="36">
        <f>IFERROR((VLOOKUP($H67,'Programa Drench'!$B$6:$AA$182,MATCH(U$2,'Programa Drench'!$B$5:$AA$5,0),FALSE)*V67),0)</f>
        <v>0</v>
      </c>
      <c r="V67" s="36">
        <f t="shared" ref="V67:V78" si="61">IFERROR(ROUND((S67*$I67),-1),0)</f>
        <v>0</v>
      </c>
      <c r="W67" s="89">
        <f>IFERROR(ROUND(IF($D67="SSJ",(VLOOKUP($H67,'Programa Drench'!$B$6:$AA$182,MATCH(W$2,'Programa Drench'!$B$5:$AA$5,0),FALSE)),VLOOKUP($H67,'Programa Drench'!$B$6:$AA$182,MATCH(W$2,'Programa Drench'!$B$5:$AA$5,0),FALSE)),1),0)</f>
        <v>0</v>
      </c>
      <c r="X67" s="30">
        <f>IFERROR((VLOOKUP($H67,'Programa Drench'!$B$6:$AA$182,MATCH(X$2,'Programa Drench'!$B$5:$AA$5,0),FALSE)),0)</f>
        <v>0</v>
      </c>
      <c r="Y67" s="36">
        <f>IFERROR((VLOOKUP($H67,'Programa Drench'!$B$6:$AA$182,MATCH(Y$2,'Programa Drench'!$B$5:$AA$5,0),FALSE)*Z67),0)</f>
        <v>0</v>
      </c>
      <c r="Z67" s="36">
        <f t="shared" ref="Z67:Z78" si="62">IFERROR(ROUND((W67*$I67),-1),0)</f>
        <v>0</v>
      </c>
      <c r="AA67" s="89">
        <f>IFERROR(ROUND(IF($D67="SSJ",(VLOOKUP($H67,'Programa Drench'!$B$6:$AA$182,MATCH(AA$2,'Programa Drench'!$B$5:$AA$5,0),FALSE)),VLOOKUP($H67,'Programa Drench'!$B$6:$AA$182,MATCH(AA$2,'Programa Drench'!$B$5:$AA$5,0),FALSE)),1),0)</f>
        <v>0</v>
      </c>
      <c r="AB67" s="30">
        <f>IFERROR((VLOOKUP($H67,'Programa Drench'!$B$6:$AA$182,MATCH(AB$2,'Programa Drench'!$B$5:$AA$5,0),FALSE)),0)</f>
        <v>0</v>
      </c>
      <c r="AC67" s="83">
        <f>IFERROR((VLOOKUP($H67,'Programa Drench'!$B$6:$AA$182,MATCH(AC$2,'Programa Drench'!$B$5:$AA$5,0),FALSE)*$I67),0)</f>
        <v>0</v>
      </c>
      <c r="AD67" s="36">
        <f t="shared" ref="AD67:AD78" si="63">IFERROR(ROUND((AA67*$I67),-1),0)</f>
        <v>0</v>
      </c>
      <c r="AE67" s="36">
        <f>IFERROR(ROUND((VLOOKUP($H67,'Programa Drench'!$B$6:$AA$182,MATCH(AE$2,'Programa Drench'!$B$5:$AA$5,0),FALSE)),-1),0)</f>
        <v>0</v>
      </c>
      <c r="AF67" s="30">
        <f>IFERROR((VLOOKUP($H67,'Programa Drench'!$B$6:$AA$182,MATCH(AF$2,'Programa Drench'!$B$5:$AA$5,0),FALSE)),0)</f>
        <v>0</v>
      </c>
      <c r="AG67" s="36">
        <f>IFERROR((VLOOKUP($H67,'Programa Drench'!$B$6:$AA$182,MATCH(AG$2,'Programa Drench'!$B$5:$AA$5,0),FALSE)*AH67),0)</f>
        <v>0</v>
      </c>
      <c r="AH67" s="36">
        <f>IFERROR(ROUND((VLOOKUP($H67,'Programa Drench'!$B$6:$AA$182,MATCH(AH$2,'Programa Drench'!$B$5:$AA$5,0),FALSE)*$I67),-1),0)</f>
        <v>0</v>
      </c>
      <c r="AI67" s="89">
        <f>IFERROR((VLOOKUP($H67,'Programa Drench'!$B$6:$AA$182,MATCH(AI$2,'Programa Drench'!$B$5:$AA$5,0),FALSE)),0)</f>
        <v>0</v>
      </c>
    </row>
    <row r="68" spans="1:35" ht="15" hidden="1" customHeight="1" x14ac:dyDescent="0.2">
      <c r="A68" s="14">
        <f t="shared" si="48"/>
        <v>2572</v>
      </c>
      <c r="B68" s="77"/>
      <c r="C68" s="54"/>
      <c r="D68" s="54"/>
      <c r="E68" s="54"/>
      <c r="F68" s="54"/>
      <c r="G68" s="53" t="str">
        <f t="shared" si="56"/>
        <v/>
      </c>
      <c r="H68" s="55" t="str">
        <f t="shared" si="57"/>
        <v xml:space="preserve">2572  </v>
      </c>
      <c r="I68" s="262" t="e">
        <f>IF(D68="MM1",VLOOKUP($B68,'Inf Bloques'!$A$1:$K$453,11,FALSE)*1,VLOOKUP($B68,'Inf Bloques'!$A$1:$K$453,11,FALSE))</f>
        <v>#N/A</v>
      </c>
      <c r="J68" s="3" t="e">
        <f t="shared" si="58"/>
        <v>#N/A</v>
      </c>
      <c r="K68" s="89">
        <f>IFERROR(ROUND(IF($D68="SSJ",(VLOOKUP($H68,'Programa Drench'!$B$6:$AA$182,MATCH(K$2,'Programa Drench'!$B$5:$AA$5,0),FALSE)),VLOOKUP($H68,'Programa Drench'!$B$6:$AA$182,MATCH(K$2,'Programa Drench'!$B$5:$AA$5,0),FALSE)),1),0)</f>
        <v>0</v>
      </c>
      <c r="L68" s="30">
        <f>IFERROR((VLOOKUP($H68,'Programa Drench'!$B$6:$AA$182,MATCH(L$2,'Programa Drench'!$B$5:$AA$5,0),FALSE)),0)</f>
        <v>0</v>
      </c>
      <c r="M68" s="36">
        <f>IFERROR((VLOOKUP($H68,'Programa Drench'!$B$6:$AA$182,MATCH(M$2,'Programa Drench'!$B$5:$AA$5,0),FALSE)*N68),0)</f>
        <v>0</v>
      </c>
      <c r="N68" s="36">
        <f t="shared" si="59"/>
        <v>0</v>
      </c>
      <c r="O68" s="89">
        <f>IFERROR(ROUND(IF($D68="SSJ",(VLOOKUP($H68,'Programa Drench'!$B$6:$AA$182,MATCH(O$2,'Programa Drench'!$B$5:$AA$5,0),FALSE)),VLOOKUP($H68,'Programa Drench'!$B$6:$AA$182,MATCH(O$2,'Programa Drench'!$B$5:$AA$5,0),FALSE)),1),0)</f>
        <v>0</v>
      </c>
      <c r="P68" s="30">
        <f>IFERROR((VLOOKUP($H68,'Programa Drench'!$B$6:$AA$182,MATCH(P$2,'Programa Drench'!$B$5:$AA$5,0),FALSE)),0)</f>
        <v>0</v>
      </c>
      <c r="Q68" s="36">
        <f>IFERROR((VLOOKUP($H68,'Programa Drench'!$B$6:$AA$182,MATCH(Q$2,'Programa Drench'!$B$5:$AA$5,0),FALSE)*R68),0)</f>
        <v>0</v>
      </c>
      <c r="R68" s="36">
        <f t="shared" si="60"/>
        <v>0</v>
      </c>
      <c r="S68" s="89">
        <f>IFERROR(ROUND(IF($D68="SSJ",(VLOOKUP($H68,'Programa Drench'!$B$6:$AA$182,MATCH(S$2,'Programa Drench'!$B$5:$AA$5,0),FALSE)),VLOOKUP($H68,'Programa Drench'!$B$6:$AA$182,MATCH(S$2,'Programa Drench'!$B$5:$AA$5,0),FALSE)),1),0)</f>
        <v>0</v>
      </c>
      <c r="T68" s="30">
        <f>IFERROR((VLOOKUP($H68,'Programa Drench'!$B$6:$AA$182,MATCH(T$2,'Programa Drench'!$B$5:$AA$5,0),FALSE)),0)</f>
        <v>0</v>
      </c>
      <c r="U68" s="36">
        <f>IFERROR((VLOOKUP($H68,'Programa Drench'!$B$6:$AA$182,MATCH(U$2,'Programa Drench'!$B$5:$AA$5,0),FALSE)*V68),0)</f>
        <v>0</v>
      </c>
      <c r="V68" s="36">
        <f t="shared" si="61"/>
        <v>0</v>
      </c>
      <c r="W68" s="89">
        <f>IFERROR(ROUND(IF($D68="SSJ",(VLOOKUP($H68,'Programa Drench'!$B$6:$AA$182,MATCH(W$2,'Programa Drench'!$B$5:$AA$5,0),FALSE)),VLOOKUP($H68,'Programa Drench'!$B$6:$AA$182,MATCH(W$2,'Programa Drench'!$B$5:$AA$5,0),FALSE)),1),0)</f>
        <v>0</v>
      </c>
      <c r="X68" s="30">
        <f>IFERROR((VLOOKUP($H68,'Programa Drench'!$B$6:$AA$182,MATCH(X$2,'Programa Drench'!$B$5:$AA$5,0),FALSE)),0)</f>
        <v>0</v>
      </c>
      <c r="Y68" s="36">
        <f>IFERROR((VLOOKUP($H68,'Programa Drench'!$B$6:$AA$182,MATCH(Y$2,'Programa Drench'!$B$5:$AA$5,0),FALSE)*Z68),0)</f>
        <v>0</v>
      </c>
      <c r="Z68" s="36">
        <f t="shared" si="62"/>
        <v>0</v>
      </c>
      <c r="AA68" s="89">
        <f>IFERROR(ROUND(IF($D68="SSJ",(VLOOKUP($H68,'Programa Drench'!$B$6:$AA$182,MATCH(AA$2,'Programa Drench'!$B$5:$AA$5,0),FALSE)),VLOOKUP($H68,'Programa Drench'!$B$6:$AA$182,MATCH(AA$2,'Programa Drench'!$B$5:$AA$5,0),FALSE)),1),0)</f>
        <v>0</v>
      </c>
      <c r="AB68" s="30">
        <f>IFERROR((VLOOKUP($H68,'Programa Drench'!$B$6:$AA$182,MATCH(AB$2,'Programa Drench'!$B$5:$AA$5,0),FALSE)),0)</f>
        <v>0</v>
      </c>
      <c r="AC68" s="83">
        <f>IFERROR((VLOOKUP($H68,'Programa Drench'!$B$6:$AA$182,MATCH(AC$2,'Programa Drench'!$B$5:$AA$5,0),FALSE)*$I68),0)</f>
        <v>0</v>
      </c>
      <c r="AD68" s="36">
        <f t="shared" si="63"/>
        <v>0</v>
      </c>
      <c r="AE68" s="36">
        <f>IFERROR(ROUND((VLOOKUP($H68,'Programa Drench'!$B$6:$AA$182,MATCH(AE$2,'Programa Drench'!$B$5:$AA$5,0),FALSE)),-1),0)</f>
        <v>0</v>
      </c>
      <c r="AF68" s="30">
        <f>IFERROR((VLOOKUP($H68,'Programa Drench'!$B$6:$AA$182,MATCH(AF$2,'Programa Drench'!$B$5:$AA$5,0),FALSE)),0)</f>
        <v>0</v>
      </c>
      <c r="AG68" s="36">
        <f>IFERROR((VLOOKUP($H68,'Programa Drench'!$B$6:$AA$182,MATCH(AG$2,'Programa Drench'!$B$5:$AA$5,0),FALSE)*AH68),0)</f>
        <v>0</v>
      </c>
      <c r="AH68" s="36">
        <f>IFERROR(ROUND((VLOOKUP($H68,'Programa Drench'!$B$6:$AA$182,MATCH(AH$2,'Programa Drench'!$B$5:$AA$5,0),FALSE)*$I68),-1),0)</f>
        <v>0</v>
      </c>
      <c r="AI68" s="89">
        <f>IFERROR((VLOOKUP($H68,'Programa Drench'!$B$6:$AA$182,MATCH(AI$2,'Programa Drench'!$B$5:$AA$5,0),FALSE)),0)</f>
        <v>0</v>
      </c>
    </row>
    <row r="69" spans="1:35" ht="15" hidden="1" customHeight="1" x14ac:dyDescent="0.2">
      <c r="A69" s="14">
        <f t="shared" si="48"/>
        <v>2572</v>
      </c>
      <c r="B69" s="77"/>
      <c r="C69" s="54"/>
      <c r="D69" s="54"/>
      <c r="E69" s="54"/>
      <c r="F69" s="54"/>
      <c r="G69" s="53" t="str">
        <f t="shared" si="56"/>
        <v/>
      </c>
      <c r="H69" s="55" t="str">
        <f t="shared" si="57"/>
        <v xml:space="preserve">2572  </v>
      </c>
      <c r="I69" s="262" t="e">
        <f>IF(D69="MM1",VLOOKUP($B69,'Inf Bloques'!$A$1:$K$453,11,FALSE)*1,VLOOKUP($B69,'Inf Bloques'!$A$1:$K$453,11,FALSE))</f>
        <v>#N/A</v>
      </c>
      <c r="J69" s="3" t="e">
        <f t="shared" si="58"/>
        <v>#N/A</v>
      </c>
      <c r="K69" s="89">
        <f>IFERROR(ROUND(IF($D69="SSJ",(VLOOKUP($H69,'Programa Drench'!$B$6:$AA$182,MATCH(K$2,'Programa Drench'!$B$5:$AA$5,0),FALSE)),VLOOKUP($H69,'Programa Drench'!$B$6:$AA$182,MATCH(K$2,'Programa Drench'!$B$5:$AA$5,0),FALSE)),1),0)</f>
        <v>0</v>
      </c>
      <c r="L69" s="30">
        <f>IFERROR((VLOOKUP($H69,'Programa Drench'!$B$6:$AA$182,MATCH(L$2,'Programa Drench'!$B$5:$AA$5,0),FALSE)),0)</f>
        <v>0</v>
      </c>
      <c r="M69" s="36">
        <f>IFERROR((VLOOKUP($H69,'Programa Drench'!$B$6:$AA$182,MATCH(M$2,'Programa Drench'!$B$5:$AA$5,0),FALSE)*N69),0)</f>
        <v>0</v>
      </c>
      <c r="N69" s="36">
        <f t="shared" si="59"/>
        <v>0</v>
      </c>
      <c r="O69" s="89">
        <f>IFERROR(ROUND(IF($D69="SSJ",(VLOOKUP($H69,'Programa Drench'!$B$6:$AA$182,MATCH(O$2,'Programa Drench'!$B$5:$AA$5,0),FALSE)),VLOOKUP($H69,'Programa Drench'!$B$6:$AA$182,MATCH(O$2,'Programa Drench'!$B$5:$AA$5,0),FALSE)),1),0)</f>
        <v>0</v>
      </c>
      <c r="P69" s="30">
        <f>IFERROR((VLOOKUP($H69,'Programa Drench'!$B$6:$AA$182,MATCH(P$2,'Programa Drench'!$B$5:$AA$5,0),FALSE)),0)</f>
        <v>0</v>
      </c>
      <c r="Q69" s="36">
        <f>IFERROR((VLOOKUP($H69,'Programa Drench'!$B$6:$AA$182,MATCH(Q$2,'Programa Drench'!$B$5:$AA$5,0),FALSE)*R69),0)</f>
        <v>0</v>
      </c>
      <c r="R69" s="36">
        <f t="shared" si="60"/>
        <v>0</v>
      </c>
      <c r="S69" s="89">
        <f>IFERROR(ROUND(IF($D69="SSJ",(VLOOKUP($H69,'Programa Drench'!$B$6:$AA$182,MATCH(S$2,'Programa Drench'!$B$5:$AA$5,0),FALSE)),VLOOKUP($H69,'Programa Drench'!$B$6:$AA$182,MATCH(S$2,'Programa Drench'!$B$5:$AA$5,0),FALSE)),1),0)</f>
        <v>0</v>
      </c>
      <c r="T69" s="30">
        <f>IFERROR((VLOOKUP($H69,'Programa Drench'!$B$6:$AA$182,MATCH(T$2,'Programa Drench'!$B$5:$AA$5,0),FALSE)),0)</f>
        <v>0</v>
      </c>
      <c r="U69" s="36">
        <f>IFERROR((VLOOKUP($H69,'Programa Drench'!$B$6:$AA$182,MATCH(U$2,'Programa Drench'!$B$5:$AA$5,0),FALSE)*V69),0)</f>
        <v>0</v>
      </c>
      <c r="V69" s="36">
        <f t="shared" si="61"/>
        <v>0</v>
      </c>
      <c r="W69" s="89">
        <f>IFERROR(ROUND(IF($D69="SSJ",(VLOOKUP($H69,'Programa Drench'!$B$6:$AA$182,MATCH(W$2,'Programa Drench'!$B$5:$AA$5,0),FALSE)),VLOOKUP($H69,'Programa Drench'!$B$6:$AA$182,MATCH(W$2,'Programa Drench'!$B$5:$AA$5,0),FALSE)),1),0)</f>
        <v>0</v>
      </c>
      <c r="X69" s="30">
        <f>IFERROR((VLOOKUP($H69,'Programa Drench'!$B$6:$AA$182,MATCH(X$2,'Programa Drench'!$B$5:$AA$5,0),FALSE)),0)</f>
        <v>0</v>
      </c>
      <c r="Y69" s="36">
        <f>IFERROR((VLOOKUP($H69,'Programa Drench'!$B$6:$AA$182,MATCH(Y$2,'Programa Drench'!$B$5:$AA$5,0),FALSE)*Z69),0)</f>
        <v>0</v>
      </c>
      <c r="Z69" s="36">
        <f t="shared" si="62"/>
        <v>0</v>
      </c>
      <c r="AA69" s="89">
        <f>IFERROR(ROUND(IF($D69="SSJ",(VLOOKUP($H69,'Programa Drench'!$B$6:$AA$182,MATCH(AA$2,'Programa Drench'!$B$5:$AA$5,0),FALSE)),VLOOKUP($H69,'Programa Drench'!$B$6:$AA$182,MATCH(AA$2,'Programa Drench'!$B$5:$AA$5,0),FALSE)),1),0)</f>
        <v>0</v>
      </c>
      <c r="AB69" s="30">
        <f>IFERROR((VLOOKUP($H69,'Programa Drench'!$B$6:$AA$182,MATCH(AB$2,'Programa Drench'!$B$5:$AA$5,0),FALSE)),0)</f>
        <v>0</v>
      </c>
      <c r="AC69" s="83">
        <f>IFERROR((VLOOKUP($H69,'Programa Drench'!$B$6:$AA$182,MATCH(AC$2,'Programa Drench'!$B$5:$AA$5,0),FALSE)*$I69),0)</f>
        <v>0</v>
      </c>
      <c r="AD69" s="36">
        <f t="shared" si="63"/>
        <v>0</v>
      </c>
      <c r="AE69" s="36">
        <f>IFERROR(ROUND((VLOOKUP($H69,'Programa Drench'!$B$6:$AA$182,MATCH(AE$2,'Programa Drench'!$B$5:$AA$5,0),FALSE)),-1),0)</f>
        <v>0</v>
      </c>
      <c r="AF69" s="30">
        <f>IFERROR((VLOOKUP($H69,'Programa Drench'!$B$6:$AA$182,MATCH(AF$2,'Programa Drench'!$B$5:$AA$5,0),FALSE)),0)</f>
        <v>0</v>
      </c>
      <c r="AG69" s="36">
        <f>IFERROR((VLOOKUP($H69,'Programa Drench'!$B$6:$AA$182,MATCH(AG$2,'Programa Drench'!$B$5:$AA$5,0),FALSE)*AH69),0)</f>
        <v>0</v>
      </c>
      <c r="AH69" s="36">
        <f>IFERROR(ROUND((VLOOKUP($H69,'Programa Drench'!$B$6:$AA$182,MATCH(AH$2,'Programa Drench'!$B$5:$AA$5,0),FALSE)*$I69),-1),0)</f>
        <v>0</v>
      </c>
      <c r="AI69" s="89">
        <f>IFERROR((VLOOKUP($H69,'Programa Drench'!$B$6:$AA$182,MATCH(AI$2,'Programa Drench'!$B$5:$AA$5,0),FALSE)),0)</f>
        <v>0</v>
      </c>
    </row>
    <row r="70" spans="1:35" ht="15" hidden="1" customHeight="1" x14ac:dyDescent="0.2">
      <c r="A70" s="14">
        <f t="shared" si="48"/>
        <v>2572</v>
      </c>
      <c r="B70" s="77"/>
      <c r="C70" s="54"/>
      <c r="D70" s="54"/>
      <c r="E70" s="54"/>
      <c r="F70" s="54"/>
      <c r="G70" s="53" t="str">
        <f t="shared" si="56"/>
        <v/>
      </c>
      <c r="H70" s="55" t="str">
        <f t="shared" si="57"/>
        <v xml:space="preserve">2572  </v>
      </c>
      <c r="I70" s="262" t="e">
        <f>IF(D70="MM1",VLOOKUP($B70,'Inf Bloques'!$A$1:$K$453,11,FALSE)*1,VLOOKUP($B70,'Inf Bloques'!$A$1:$K$453,11,FALSE))</f>
        <v>#N/A</v>
      </c>
      <c r="J70" s="3" t="e">
        <f t="shared" si="58"/>
        <v>#N/A</v>
      </c>
      <c r="K70" s="89">
        <f>IFERROR(ROUND(IF($D70="SSJ",(VLOOKUP($H70,'Programa Drench'!$B$6:$AA$182,MATCH(K$2,'Programa Drench'!$B$5:$AA$5,0),FALSE)),VLOOKUP($H70,'Programa Drench'!$B$6:$AA$182,MATCH(K$2,'Programa Drench'!$B$5:$AA$5,0),FALSE)),1),0)</f>
        <v>0</v>
      </c>
      <c r="L70" s="30">
        <f>IFERROR((VLOOKUP($H70,'Programa Drench'!$B$6:$AA$182,MATCH(L$2,'Programa Drench'!$B$5:$AA$5,0),FALSE)),0)</f>
        <v>0</v>
      </c>
      <c r="M70" s="36">
        <f>IFERROR((VLOOKUP($H70,'Programa Drench'!$B$6:$AA$182,MATCH(M$2,'Programa Drench'!$B$5:$AA$5,0),FALSE)*N70),0)</f>
        <v>0</v>
      </c>
      <c r="N70" s="36">
        <f t="shared" si="59"/>
        <v>0</v>
      </c>
      <c r="O70" s="89">
        <f>IFERROR(ROUND(IF($D70="SSJ",(VLOOKUP($H70,'Programa Drench'!$B$6:$AA$182,MATCH(O$2,'Programa Drench'!$B$5:$AA$5,0),FALSE)),VLOOKUP($H70,'Programa Drench'!$B$6:$AA$182,MATCH(O$2,'Programa Drench'!$B$5:$AA$5,0),FALSE)),1),0)</f>
        <v>0</v>
      </c>
      <c r="P70" s="30">
        <f>IFERROR((VLOOKUP($H70,'Programa Drench'!$B$6:$AA$182,MATCH(P$2,'Programa Drench'!$B$5:$AA$5,0),FALSE)),0)</f>
        <v>0</v>
      </c>
      <c r="Q70" s="36">
        <f>IFERROR((VLOOKUP($H70,'Programa Drench'!$B$6:$AA$182,MATCH(Q$2,'Programa Drench'!$B$5:$AA$5,0),FALSE)*R70),0)</f>
        <v>0</v>
      </c>
      <c r="R70" s="36">
        <f t="shared" si="60"/>
        <v>0</v>
      </c>
      <c r="S70" s="89">
        <f>IFERROR(ROUND(IF($D70="SSJ",(VLOOKUP($H70,'Programa Drench'!$B$6:$AA$182,MATCH(S$2,'Programa Drench'!$B$5:$AA$5,0),FALSE)),VLOOKUP($H70,'Programa Drench'!$B$6:$AA$182,MATCH(S$2,'Programa Drench'!$B$5:$AA$5,0),FALSE)),1),0)</f>
        <v>0</v>
      </c>
      <c r="T70" s="30">
        <f>IFERROR((VLOOKUP($H70,'Programa Drench'!$B$6:$AA$182,MATCH(T$2,'Programa Drench'!$B$5:$AA$5,0),FALSE)),0)</f>
        <v>0</v>
      </c>
      <c r="U70" s="36">
        <f>IFERROR((VLOOKUP($H70,'Programa Drench'!$B$6:$AA$182,MATCH(U$2,'Programa Drench'!$B$5:$AA$5,0),FALSE)*V70),0)</f>
        <v>0</v>
      </c>
      <c r="V70" s="36">
        <f t="shared" si="61"/>
        <v>0</v>
      </c>
      <c r="W70" s="89">
        <f>IFERROR(ROUND(IF($D70="SSJ",(VLOOKUP($H70,'Programa Drench'!$B$6:$AA$182,MATCH(W$2,'Programa Drench'!$B$5:$AA$5,0),FALSE)),VLOOKUP($H70,'Programa Drench'!$B$6:$AA$182,MATCH(W$2,'Programa Drench'!$B$5:$AA$5,0),FALSE)),1),0)</f>
        <v>0</v>
      </c>
      <c r="X70" s="30">
        <f>IFERROR((VLOOKUP($H70,'Programa Drench'!$B$6:$AA$182,MATCH(X$2,'Programa Drench'!$B$5:$AA$5,0),FALSE)),0)</f>
        <v>0</v>
      </c>
      <c r="Y70" s="36">
        <f>IFERROR((VLOOKUP($H70,'Programa Drench'!$B$6:$AA$182,MATCH(Y$2,'Programa Drench'!$B$5:$AA$5,0),FALSE)*Z70),0)</f>
        <v>0</v>
      </c>
      <c r="Z70" s="36">
        <f t="shared" si="62"/>
        <v>0</v>
      </c>
      <c r="AA70" s="89">
        <f>IFERROR(ROUND(IF($D70="SSJ",(VLOOKUP($H70,'Programa Drench'!$B$6:$AA$182,MATCH(AA$2,'Programa Drench'!$B$5:$AA$5,0),FALSE)),VLOOKUP($H70,'Programa Drench'!$B$6:$AA$182,MATCH(AA$2,'Programa Drench'!$B$5:$AA$5,0),FALSE)),1),0)</f>
        <v>0</v>
      </c>
      <c r="AB70" s="30">
        <f>IFERROR((VLOOKUP($H70,'Programa Drench'!$B$6:$AA$182,MATCH(AB$2,'Programa Drench'!$B$5:$AA$5,0),FALSE)),0)</f>
        <v>0</v>
      </c>
      <c r="AC70" s="83">
        <f>IFERROR((VLOOKUP($H70,'Programa Drench'!$B$6:$AA$182,MATCH(AC$2,'Programa Drench'!$B$5:$AA$5,0),FALSE)*$I70),0)</f>
        <v>0</v>
      </c>
      <c r="AD70" s="36">
        <f t="shared" si="63"/>
        <v>0</v>
      </c>
      <c r="AE70" s="36">
        <f>IFERROR(ROUND((VLOOKUP($H70,'Programa Drench'!$B$6:$AA$182,MATCH(AE$2,'Programa Drench'!$B$5:$AA$5,0),FALSE)),-1),0)</f>
        <v>0</v>
      </c>
      <c r="AF70" s="30">
        <f>IFERROR((VLOOKUP($H70,'Programa Drench'!$B$6:$AA$182,MATCH(AF$2,'Programa Drench'!$B$5:$AA$5,0),FALSE)),0)</f>
        <v>0</v>
      </c>
      <c r="AG70" s="36">
        <f>IFERROR((VLOOKUP($H70,'Programa Drench'!$B$6:$AA$182,MATCH(AG$2,'Programa Drench'!$B$5:$AA$5,0),FALSE)*AH70),0)</f>
        <v>0</v>
      </c>
      <c r="AH70" s="36">
        <f>IFERROR(ROUND((VLOOKUP($H70,'Programa Drench'!$B$6:$AA$182,MATCH(AH$2,'Programa Drench'!$B$5:$AA$5,0),FALSE)*$I70),-1),0)</f>
        <v>0</v>
      </c>
      <c r="AI70" s="89">
        <f>IFERROR((VLOOKUP($H70,'Programa Drench'!$B$6:$AA$182,MATCH(AI$2,'Programa Drench'!$B$5:$AA$5,0),FALSE)),0)</f>
        <v>0</v>
      </c>
    </row>
    <row r="71" spans="1:35" ht="15" hidden="1" customHeight="1" x14ac:dyDescent="0.2">
      <c r="A71" s="14">
        <f t="shared" si="48"/>
        <v>2572</v>
      </c>
      <c r="B71" s="77"/>
      <c r="C71" s="54"/>
      <c r="D71" s="54"/>
      <c r="E71" s="54"/>
      <c r="F71" s="54"/>
      <c r="G71" s="53" t="str">
        <f t="shared" si="56"/>
        <v/>
      </c>
      <c r="H71" s="55" t="str">
        <f t="shared" si="57"/>
        <v xml:space="preserve">2572  </v>
      </c>
      <c r="I71" s="262" t="e">
        <f>IF(D71="MM1",VLOOKUP($B71,'Inf Bloques'!$A$1:$K$453,11,FALSE)*1,VLOOKUP($B71,'Inf Bloques'!$A$1:$K$453,11,FALSE))</f>
        <v>#N/A</v>
      </c>
      <c r="J71" s="3" t="e">
        <f t="shared" si="58"/>
        <v>#N/A</v>
      </c>
      <c r="K71" s="89">
        <f>IFERROR(ROUND(IF($D71="SSJ",(VLOOKUP($H71,'Programa Drench'!$B$6:$AA$182,MATCH(K$2,'Programa Drench'!$B$5:$AA$5,0),FALSE)),VLOOKUP($H71,'Programa Drench'!$B$6:$AA$182,MATCH(K$2,'Programa Drench'!$B$5:$AA$5,0),FALSE)),1),0)</f>
        <v>0</v>
      </c>
      <c r="L71" s="30">
        <f>IFERROR((VLOOKUP($H71,'Programa Drench'!$B$6:$AA$182,MATCH(L$2,'Programa Drench'!$B$5:$AA$5,0),FALSE)),0)</f>
        <v>0</v>
      </c>
      <c r="M71" s="36">
        <f>IFERROR((VLOOKUP($H71,'Programa Drench'!$B$6:$AA$182,MATCH(M$2,'Programa Drench'!$B$5:$AA$5,0),FALSE)*N71),0)</f>
        <v>0</v>
      </c>
      <c r="N71" s="36">
        <f t="shared" si="59"/>
        <v>0</v>
      </c>
      <c r="O71" s="89">
        <f>IFERROR(ROUND(IF($D71="SSJ",(VLOOKUP($H71,'Programa Drench'!$B$6:$AA$182,MATCH(O$2,'Programa Drench'!$B$5:$AA$5,0),FALSE)),VLOOKUP($H71,'Programa Drench'!$B$6:$AA$182,MATCH(O$2,'Programa Drench'!$B$5:$AA$5,0),FALSE)),1),0)</f>
        <v>0</v>
      </c>
      <c r="P71" s="30">
        <f>IFERROR((VLOOKUP($H71,'Programa Drench'!$B$6:$AA$182,MATCH(P$2,'Programa Drench'!$B$5:$AA$5,0),FALSE)),0)</f>
        <v>0</v>
      </c>
      <c r="Q71" s="36">
        <f>IFERROR((VLOOKUP($H71,'Programa Drench'!$B$6:$AA$182,MATCH(Q$2,'Programa Drench'!$B$5:$AA$5,0),FALSE)*R71),0)</f>
        <v>0</v>
      </c>
      <c r="R71" s="36">
        <f t="shared" si="60"/>
        <v>0</v>
      </c>
      <c r="S71" s="89">
        <f>IFERROR(ROUND(IF($D71="SSJ",(VLOOKUP($H71,'Programa Drench'!$B$6:$AA$182,MATCH(S$2,'Programa Drench'!$B$5:$AA$5,0),FALSE)),VLOOKUP($H71,'Programa Drench'!$B$6:$AA$182,MATCH(S$2,'Programa Drench'!$B$5:$AA$5,0),FALSE)),1),0)</f>
        <v>0</v>
      </c>
      <c r="T71" s="30">
        <f>IFERROR((VLOOKUP($H71,'Programa Drench'!$B$6:$AA$182,MATCH(T$2,'Programa Drench'!$B$5:$AA$5,0),FALSE)),0)</f>
        <v>0</v>
      </c>
      <c r="U71" s="36">
        <f>IFERROR((VLOOKUP($H71,'Programa Drench'!$B$6:$AA$182,MATCH(U$2,'Programa Drench'!$B$5:$AA$5,0),FALSE)*V71),0)</f>
        <v>0</v>
      </c>
      <c r="V71" s="36">
        <f t="shared" si="61"/>
        <v>0</v>
      </c>
      <c r="W71" s="89">
        <f>IFERROR(ROUND(IF($D71="SSJ",(VLOOKUP($H71,'Programa Drench'!$B$6:$AA$182,MATCH(W$2,'Programa Drench'!$B$5:$AA$5,0),FALSE)),VLOOKUP($H71,'Programa Drench'!$B$6:$AA$182,MATCH(W$2,'Programa Drench'!$B$5:$AA$5,0),FALSE)),1),0)</f>
        <v>0</v>
      </c>
      <c r="X71" s="30">
        <f>IFERROR((VLOOKUP($H71,'Programa Drench'!$B$6:$AA$182,MATCH(X$2,'Programa Drench'!$B$5:$AA$5,0),FALSE)),0)</f>
        <v>0</v>
      </c>
      <c r="Y71" s="36">
        <f>IFERROR((VLOOKUP($H71,'Programa Drench'!$B$6:$AA$182,MATCH(Y$2,'Programa Drench'!$B$5:$AA$5,0),FALSE)*Z71),0)</f>
        <v>0</v>
      </c>
      <c r="Z71" s="36">
        <f t="shared" si="62"/>
        <v>0</v>
      </c>
      <c r="AA71" s="89">
        <f>IFERROR(ROUND(IF($D71="SSJ",(VLOOKUP($H71,'Programa Drench'!$B$6:$AA$182,MATCH(AA$2,'Programa Drench'!$B$5:$AA$5,0),FALSE)),VLOOKUP($H71,'Programa Drench'!$B$6:$AA$182,MATCH(AA$2,'Programa Drench'!$B$5:$AA$5,0),FALSE)),1),0)</f>
        <v>0</v>
      </c>
      <c r="AB71" s="30">
        <f>IFERROR((VLOOKUP($H71,'Programa Drench'!$B$6:$AA$182,MATCH(AB$2,'Programa Drench'!$B$5:$AA$5,0),FALSE)),0)</f>
        <v>0</v>
      </c>
      <c r="AC71" s="83">
        <f>IFERROR((VLOOKUP($H71,'Programa Drench'!$B$6:$AA$182,MATCH(AC$2,'Programa Drench'!$B$5:$AA$5,0),FALSE)*$I71),0)</f>
        <v>0</v>
      </c>
      <c r="AD71" s="36">
        <f t="shared" si="63"/>
        <v>0</v>
      </c>
      <c r="AE71" s="36">
        <f>IFERROR(ROUND((VLOOKUP($H71,'Programa Drench'!$B$6:$AA$182,MATCH(AE$2,'Programa Drench'!$B$5:$AA$5,0),FALSE)),-1),0)</f>
        <v>0</v>
      </c>
      <c r="AF71" s="30">
        <f>IFERROR((VLOOKUP($H71,'Programa Drench'!$B$6:$AA$182,MATCH(AF$2,'Programa Drench'!$B$5:$AA$5,0),FALSE)),0)</f>
        <v>0</v>
      </c>
      <c r="AG71" s="36">
        <f>IFERROR((VLOOKUP($H71,'Programa Drench'!$B$6:$AA$182,MATCH(AG$2,'Programa Drench'!$B$5:$AA$5,0),FALSE)*AH71),0)</f>
        <v>0</v>
      </c>
      <c r="AH71" s="36">
        <f>IFERROR(ROUND((VLOOKUP($H71,'Programa Drench'!$B$6:$AA$182,MATCH(AH$2,'Programa Drench'!$B$5:$AA$5,0),FALSE)*$I71),-1),0)</f>
        <v>0</v>
      </c>
      <c r="AI71" s="89">
        <f>IFERROR((VLOOKUP($H71,'Programa Drench'!$B$6:$AA$182,MATCH(AI$2,'Programa Drench'!$B$5:$AA$5,0),FALSE)),0)</f>
        <v>0</v>
      </c>
    </row>
    <row r="72" spans="1:35" ht="15" hidden="1" customHeight="1" x14ac:dyDescent="0.2">
      <c r="A72" s="14">
        <f t="shared" si="48"/>
        <v>2572</v>
      </c>
      <c r="B72" s="77"/>
      <c r="C72" s="54"/>
      <c r="D72" s="54"/>
      <c r="E72" s="54"/>
      <c r="F72" s="54"/>
      <c r="G72" s="53" t="str">
        <f t="shared" si="56"/>
        <v/>
      </c>
      <c r="H72" s="55" t="str">
        <f t="shared" si="57"/>
        <v xml:space="preserve">2572  </v>
      </c>
      <c r="I72" s="262" t="e">
        <f>IF(D72="MM1",VLOOKUP($B72,'Inf Bloques'!$A$1:$K$453,11,FALSE)*1,VLOOKUP($B72,'Inf Bloques'!$A$1:$K$453,11,FALSE))</f>
        <v>#N/A</v>
      </c>
      <c r="J72" s="3" t="e">
        <f t="shared" si="58"/>
        <v>#N/A</v>
      </c>
      <c r="K72" s="89">
        <f>IFERROR(ROUND(IF($D72="SSJ",(VLOOKUP($H72,'Programa Drench'!$B$6:$AA$182,MATCH(K$2,'Programa Drench'!$B$5:$AA$5,0),FALSE)),VLOOKUP($H72,'Programa Drench'!$B$6:$AA$182,MATCH(K$2,'Programa Drench'!$B$5:$AA$5,0),FALSE)),1),0)</f>
        <v>0</v>
      </c>
      <c r="L72" s="30">
        <f>IFERROR((VLOOKUP($H72,'Programa Drench'!$B$6:$AA$182,MATCH(L$2,'Programa Drench'!$B$5:$AA$5,0),FALSE)),0)</f>
        <v>0</v>
      </c>
      <c r="M72" s="36">
        <f>IFERROR((VLOOKUP($H72,'Programa Drench'!$B$6:$AA$182,MATCH(M$2,'Programa Drench'!$B$5:$AA$5,0),FALSE)*N72),0)</f>
        <v>0</v>
      </c>
      <c r="N72" s="36">
        <f t="shared" si="59"/>
        <v>0</v>
      </c>
      <c r="O72" s="89">
        <f>IFERROR(ROUND(IF($D72="SSJ",(VLOOKUP($H72,'Programa Drench'!$B$6:$AA$182,MATCH(O$2,'Programa Drench'!$B$5:$AA$5,0),FALSE)),VLOOKUP($H72,'Programa Drench'!$B$6:$AA$182,MATCH(O$2,'Programa Drench'!$B$5:$AA$5,0),FALSE)),1),0)</f>
        <v>0</v>
      </c>
      <c r="P72" s="30">
        <f>IFERROR((VLOOKUP($H72,'Programa Drench'!$B$6:$AA$182,MATCH(P$2,'Programa Drench'!$B$5:$AA$5,0),FALSE)),0)</f>
        <v>0</v>
      </c>
      <c r="Q72" s="36">
        <f>IFERROR((VLOOKUP($H72,'Programa Drench'!$B$6:$AA$182,MATCH(Q$2,'Programa Drench'!$B$5:$AA$5,0),FALSE)*R72),0)</f>
        <v>0</v>
      </c>
      <c r="R72" s="36">
        <f t="shared" si="60"/>
        <v>0</v>
      </c>
      <c r="S72" s="89">
        <f>IFERROR(ROUND(IF($D72="SSJ",(VLOOKUP($H72,'Programa Drench'!$B$6:$AA$182,MATCH(S$2,'Programa Drench'!$B$5:$AA$5,0),FALSE)),VLOOKUP($H72,'Programa Drench'!$B$6:$AA$182,MATCH(S$2,'Programa Drench'!$B$5:$AA$5,0),FALSE)),1),0)</f>
        <v>0</v>
      </c>
      <c r="T72" s="30">
        <f>IFERROR((VLOOKUP($H72,'Programa Drench'!$B$6:$AA$182,MATCH(T$2,'Programa Drench'!$B$5:$AA$5,0),FALSE)),0)</f>
        <v>0</v>
      </c>
      <c r="U72" s="36">
        <f>IFERROR((VLOOKUP($H72,'Programa Drench'!$B$6:$AA$182,MATCH(U$2,'Programa Drench'!$B$5:$AA$5,0),FALSE)*V72),0)</f>
        <v>0</v>
      </c>
      <c r="V72" s="36">
        <f t="shared" si="61"/>
        <v>0</v>
      </c>
      <c r="W72" s="89">
        <f>IFERROR(ROUND(IF($D72="SSJ",(VLOOKUP($H72,'Programa Drench'!$B$6:$AA$182,MATCH(W$2,'Programa Drench'!$B$5:$AA$5,0),FALSE)),VLOOKUP($H72,'Programa Drench'!$B$6:$AA$182,MATCH(W$2,'Programa Drench'!$B$5:$AA$5,0),FALSE)),1),0)</f>
        <v>0</v>
      </c>
      <c r="X72" s="30">
        <f>IFERROR((VLOOKUP($H72,'Programa Drench'!$B$6:$AA$182,MATCH(X$2,'Programa Drench'!$B$5:$AA$5,0),FALSE)),0)</f>
        <v>0</v>
      </c>
      <c r="Y72" s="36">
        <f>IFERROR((VLOOKUP($H72,'Programa Drench'!$B$6:$AA$182,MATCH(Y$2,'Programa Drench'!$B$5:$AA$5,0),FALSE)*Z72),0)</f>
        <v>0</v>
      </c>
      <c r="Z72" s="36">
        <f t="shared" si="62"/>
        <v>0</v>
      </c>
      <c r="AA72" s="89">
        <f>IFERROR(ROUND(IF($D72="SSJ",(VLOOKUP($H72,'Programa Drench'!$B$6:$AA$182,MATCH(AA$2,'Programa Drench'!$B$5:$AA$5,0),FALSE)),VLOOKUP($H72,'Programa Drench'!$B$6:$AA$182,MATCH(AA$2,'Programa Drench'!$B$5:$AA$5,0),FALSE)),1),0)</f>
        <v>0</v>
      </c>
      <c r="AB72" s="30">
        <f>IFERROR((VLOOKUP($H72,'Programa Drench'!$B$6:$AA$182,MATCH(AB$2,'Programa Drench'!$B$5:$AA$5,0),FALSE)),0)</f>
        <v>0</v>
      </c>
      <c r="AC72" s="83">
        <f>IFERROR((VLOOKUP($H72,'Programa Drench'!$B$6:$AA$182,MATCH(AC$2,'Programa Drench'!$B$5:$AA$5,0),FALSE)*$I72),0)</f>
        <v>0</v>
      </c>
      <c r="AD72" s="36">
        <f t="shared" si="63"/>
        <v>0</v>
      </c>
      <c r="AE72" s="36">
        <f>IFERROR(ROUND((VLOOKUP($H72,'Programa Drench'!$B$6:$AA$182,MATCH(AE$2,'Programa Drench'!$B$5:$AA$5,0),FALSE)),-1),0)</f>
        <v>0</v>
      </c>
      <c r="AF72" s="30">
        <f>IFERROR((VLOOKUP($H72,'Programa Drench'!$B$6:$AA$182,MATCH(AF$2,'Programa Drench'!$B$5:$AA$5,0),FALSE)),0)</f>
        <v>0</v>
      </c>
      <c r="AG72" s="36">
        <f>IFERROR((VLOOKUP($H72,'Programa Drench'!$B$6:$AA$182,MATCH(AG$2,'Programa Drench'!$B$5:$AA$5,0),FALSE)*AH72),0)</f>
        <v>0</v>
      </c>
      <c r="AH72" s="36">
        <f>IFERROR(ROUND((VLOOKUP($H72,'Programa Drench'!$B$6:$AA$182,MATCH(AH$2,'Programa Drench'!$B$5:$AA$5,0),FALSE)*$I72),-1),0)</f>
        <v>0</v>
      </c>
      <c r="AI72" s="89">
        <f>IFERROR((VLOOKUP($H72,'Programa Drench'!$B$6:$AA$182,MATCH(AI$2,'Programa Drench'!$B$5:$AA$5,0),FALSE)),0)</f>
        <v>0</v>
      </c>
    </row>
    <row r="73" spans="1:35" ht="15" hidden="1" customHeight="1" x14ac:dyDescent="0.2">
      <c r="A73" s="14">
        <f t="shared" si="48"/>
        <v>2572</v>
      </c>
      <c r="B73" s="77"/>
      <c r="C73" s="54"/>
      <c r="D73" s="54"/>
      <c r="E73" s="54"/>
      <c r="F73" s="54"/>
      <c r="G73" s="53" t="str">
        <f t="shared" si="56"/>
        <v/>
      </c>
      <c r="H73" s="55" t="str">
        <f t="shared" si="57"/>
        <v xml:space="preserve">2572  </v>
      </c>
      <c r="I73" s="262" t="e">
        <f>IF(D73="MM1",VLOOKUP($B73,'Inf Bloques'!$A$1:$K$453,11,FALSE)*1,VLOOKUP($B73,'Inf Bloques'!$A$1:$K$453,11,FALSE))</f>
        <v>#N/A</v>
      </c>
      <c r="J73" s="3" t="e">
        <f t="shared" si="58"/>
        <v>#N/A</v>
      </c>
      <c r="K73" s="89">
        <f>IFERROR(ROUND(IF($D73="SSJ",(VLOOKUP($H73,'Programa Drench'!$B$6:$AA$182,MATCH(K$2,'Programa Drench'!$B$5:$AA$5,0),FALSE)),VLOOKUP($H73,'Programa Drench'!$B$6:$AA$182,MATCH(K$2,'Programa Drench'!$B$5:$AA$5,0),FALSE)),1),0)</f>
        <v>0</v>
      </c>
      <c r="L73" s="30">
        <f>IFERROR((VLOOKUP($H73,'Programa Drench'!$B$6:$AA$182,MATCH(L$2,'Programa Drench'!$B$5:$AA$5,0),FALSE)),0)</f>
        <v>0</v>
      </c>
      <c r="M73" s="36">
        <f>IFERROR((VLOOKUP($H73,'Programa Drench'!$B$6:$AA$182,MATCH(M$2,'Programa Drench'!$B$5:$AA$5,0),FALSE)*N73),0)</f>
        <v>0</v>
      </c>
      <c r="N73" s="36">
        <f t="shared" si="59"/>
        <v>0</v>
      </c>
      <c r="O73" s="89">
        <f>IFERROR(ROUND(IF($D73="SSJ",(VLOOKUP($H73,'Programa Drench'!$B$6:$AA$182,MATCH(O$2,'Programa Drench'!$B$5:$AA$5,0),FALSE)),VLOOKUP($H73,'Programa Drench'!$B$6:$AA$182,MATCH(O$2,'Programa Drench'!$B$5:$AA$5,0),FALSE)),1),0)</f>
        <v>0</v>
      </c>
      <c r="P73" s="30">
        <f>IFERROR((VLOOKUP($H73,'Programa Drench'!$B$6:$AA$182,MATCH(P$2,'Programa Drench'!$B$5:$AA$5,0),FALSE)),0)</f>
        <v>0</v>
      </c>
      <c r="Q73" s="36">
        <f>IFERROR((VLOOKUP($H73,'Programa Drench'!$B$6:$AA$182,MATCH(Q$2,'Programa Drench'!$B$5:$AA$5,0),FALSE)*R73),0)</f>
        <v>0</v>
      </c>
      <c r="R73" s="36">
        <f t="shared" si="60"/>
        <v>0</v>
      </c>
      <c r="S73" s="89">
        <f>IFERROR(ROUND(IF($D73="SSJ",(VLOOKUP($H73,'Programa Drench'!$B$6:$AA$182,MATCH(S$2,'Programa Drench'!$B$5:$AA$5,0),FALSE)),VLOOKUP($H73,'Programa Drench'!$B$6:$AA$182,MATCH(S$2,'Programa Drench'!$B$5:$AA$5,0),FALSE)),1),0)</f>
        <v>0</v>
      </c>
      <c r="T73" s="30">
        <f>IFERROR((VLOOKUP($H73,'Programa Drench'!$B$6:$AA$182,MATCH(T$2,'Programa Drench'!$B$5:$AA$5,0),FALSE)),0)</f>
        <v>0</v>
      </c>
      <c r="U73" s="36">
        <f>IFERROR((VLOOKUP($H73,'Programa Drench'!$B$6:$AA$182,MATCH(U$2,'Programa Drench'!$B$5:$AA$5,0),FALSE)*V73),0)</f>
        <v>0</v>
      </c>
      <c r="V73" s="36">
        <f t="shared" si="61"/>
        <v>0</v>
      </c>
      <c r="W73" s="89">
        <f>IFERROR(ROUND(IF($D73="SSJ",(VLOOKUP($H73,'Programa Drench'!$B$6:$AA$182,MATCH(W$2,'Programa Drench'!$B$5:$AA$5,0),FALSE)),VLOOKUP($H73,'Programa Drench'!$B$6:$AA$182,MATCH(W$2,'Programa Drench'!$B$5:$AA$5,0),FALSE)),1),0)</f>
        <v>0</v>
      </c>
      <c r="X73" s="30">
        <f>IFERROR((VLOOKUP($H73,'Programa Drench'!$B$6:$AA$182,MATCH(X$2,'Programa Drench'!$B$5:$AA$5,0),FALSE)),0)</f>
        <v>0</v>
      </c>
      <c r="Y73" s="36">
        <f>IFERROR((VLOOKUP($H73,'Programa Drench'!$B$6:$AA$182,MATCH(Y$2,'Programa Drench'!$B$5:$AA$5,0),FALSE)*Z73),0)</f>
        <v>0</v>
      </c>
      <c r="Z73" s="36">
        <f t="shared" si="62"/>
        <v>0</v>
      </c>
      <c r="AA73" s="89">
        <f>IFERROR(ROUND(IF($D73="SSJ",(VLOOKUP($H73,'Programa Drench'!$B$6:$AA$182,MATCH(AA$2,'Programa Drench'!$B$5:$AA$5,0),FALSE)),VLOOKUP($H73,'Programa Drench'!$B$6:$AA$182,MATCH(AA$2,'Programa Drench'!$B$5:$AA$5,0),FALSE)),1),0)</f>
        <v>0</v>
      </c>
      <c r="AB73" s="30">
        <f>IFERROR((VLOOKUP($H73,'Programa Drench'!$B$6:$AA$182,MATCH(AB$2,'Programa Drench'!$B$5:$AA$5,0),FALSE)),0)</f>
        <v>0</v>
      </c>
      <c r="AC73" s="83">
        <f>IFERROR((VLOOKUP($H73,'Programa Drench'!$B$6:$AA$182,MATCH(AC$2,'Programa Drench'!$B$5:$AA$5,0),FALSE)*$I73),0)</f>
        <v>0</v>
      </c>
      <c r="AD73" s="36">
        <f t="shared" si="63"/>
        <v>0</v>
      </c>
      <c r="AE73" s="36">
        <f>IFERROR(ROUND((VLOOKUP($H73,'Programa Drench'!$B$6:$AA$182,MATCH(AE$2,'Programa Drench'!$B$5:$AA$5,0),FALSE)),-1),0)</f>
        <v>0</v>
      </c>
      <c r="AF73" s="30">
        <f>IFERROR((VLOOKUP($H73,'Programa Drench'!$B$6:$AA$182,MATCH(AF$2,'Programa Drench'!$B$5:$AA$5,0),FALSE)),0)</f>
        <v>0</v>
      </c>
      <c r="AG73" s="36">
        <f>IFERROR((VLOOKUP($H73,'Programa Drench'!$B$6:$AA$182,MATCH(AG$2,'Programa Drench'!$B$5:$AA$5,0),FALSE)*AH73),0)</f>
        <v>0</v>
      </c>
      <c r="AH73" s="36">
        <f>IFERROR(ROUND((VLOOKUP($H73,'Programa Drench'!$B$6:$AA$182,MATCH(AH$2,'Programa Drench'!$B$5:$AA$5,0),FALSE)*$I73),-1),0)</f>
        <v>0</v>
      </c>
      <c r="AI73" s="89">
        <f>IFERROR((VLOOKUP($H73,'Programa Drench'!$B$6:$AA$182,MATCH(AI$2,'Programa Drench'!$B$5:$AA$5,0),FALSE)),0)</f>
        <v>0</v>
      </c>
    </row>
    <row r="74" spans="1:35" ht="15" hidden="1" customHeight="1" x14ac:dyDescent="0.2">
      <c r="A74" s="14">
        <f t="shared" si="48"/>
        <v>2572</v>
      </c>
      <c r="B74" s="77"/>
      <c r="C74" s="54"/>
      <c r="D74" s="54"/>
      <c r="E74" s="54"/>
      <c r="F74" s="54"/>
      <c r="G74" s="53" t="str">
        <f t="shared" si="56"/>
        <v/>
      </c>
      <c r="H74" s="55" t="str">
        <f t="shared" si="57"/>
        <v xml:space="preserve">2572  </v>
      </c>
      <c r="I74" s="262" t="e">
        <f>IF(D74="MM1",VLOOKUP($B74,'Inf Bloques'!$A$1:$K$453,11,FALSE)*1,VLOOKUP($B74,'Inf Bloques'!$A$1:$K$453,11,FALSE))</f>
        <v>#N/A</v>
      </c>
      <c r="J74" s="3" t="e">
        <f t="shared" si="58"/>
        <v>#N/A</v>
      </c>
      <c r="K74" s="89">
        <f>IFERROR(ROUND(IF($D74="SSJ",(VLOOKUP($H74,'Programa Drench'!$B$6:$AA$182,MATCH(K$2,'Programa Drench'!$B$5:$AA$5,0),FALSE)),VLOOKUP($H74,'Programa Drench'!$B$6:$AA$182,MATCH(K$2,'Programa Drench'!$B$5:$AA$5,0),FALSE)),1),0)</f>
        <v>0</v>
      </c>
      <c r="L74" s="30">
        <f>IFERROR((VLOOKUP($H74,'Programa Drench'!$B$6:$AA$182,MATCH(L$2,'Programa Drench'!$B$5:$AA$5,0),FALSE)),0)</f>
        <v>0</v>
      </c>
      <c r="M74" s="36">
        <f>IFERROR((VLOOKUP($H74,'Programa Drench'!$B$6:$AA$182,MATCH(M$2,'Programa Drench'!$B$5:$AA$5,0),FALSE)*N74),0)</f>
        <v>0</v>
      </c>
      <c r="N74" s="36">
        <f t="shared" si="59"/>
        <v>0</v>
      </c>
      <c r="O74" s="89">
        <f>IFERROR(ROUND(IF($D74="SSJ",(VLOOKUP($H74,'Programa Drench'!$B$6:$AA$182,MATCH(O$2,'Programa Drench'!$B$5:$AA$5,0),FALSE)),VLOOKUP($H74,'Programa Drench'!$B$6:$AA$182,MATCH(O$2,'Programa Drench'!$B$5:$AA$5,0),FALSE)),1),0)</f>
        <v>0</v>
      </c>
      <c r="P74" s="30">
        <f>IFERROR((VLOOKUP($H74,'Programa Drench'!$B$6:$AA$182,MATCH(P$2,'Programa Drench'!$B$5:$AA$5,0),FALSE)),0)</f>
        <v>0</v>
      </c>
      <c r="Q74" s="36">
        <f>IFERROR((VLOOKUP($H74,'Programa Drench'!$B$6:$AA$182,MATCH(Q$2,'Programa Drench'!$B$5:$AA$5,0),FALSE)*R74),0)</f>
        <v>0</v>
      </c>
      <c r="R74" s="36">
        <f t="shared" si="60"/>
        <v>0</v>
      </c>
      <c r="S74" s="89">
        <f>IFERROR(ROUND(IF($D74="SSJ",(VLOOKUP($H74,'Programa Drench'!$B$6:$AA$182,MATCH(S$2,'Programa Drench'!$B$5:$AA$5,0),FALSE)),VLOOKUP($H74,'Programa Drench'!$B$6:$AA$182,MATCH(S$2,'Programa Drench'!$B$5:$AA$5,0),FALSE)),1),0)</f>
        <v>0</v>
      </c>
      <c r="T74" s="30">
        <f>IFERROR((VLOOKUP($H74,'Programa Drench'!$B$6:$AA$182,MATCH(T$2,'Programa Drench'!$B$5:$AA$5,0),FALSE)),0)</f>
        <v>0</v>
      </c>
      <c r="U74" s="36">
        <f>IFERROR((VLOOKUP($H74,'Programa Drench'!$B$6:$AA$182,MATCH(U$2,'Programa Drench'!$B$5:$AA$5,0),FALSE)*V74),0)</f>
        <v>0</v>
      </c>
      <c r="V74" s="36">
        <f t="shared" si="61"/>
        <v>0</v>
      </c>
      <c r="W74" s="89">
        <f>IFERROR(ROUND(IF($D74="SSJ",(VLOOKUP($H74,'Programa Drench'!$B$6:$AA$182,MATCH(W$2,'Programa Drench'!$B$5:$AA$5,0),FALSE)),VLOOKUP($H74,'Programa Drench'!$B$6:$AA$182,MATCH(W$2,'Programa Drench'!$B$5:$AA$5,0),FALSE)),1),0)</f>
        <v>0</v>
      </c>
      <c r="X74" s="30">
        <f>IFERROR((VLOOKUP($H74,'Programa Drench'!$B$6:$AA$182,MATCH(X$2,'Programa Drench'!$B$5:$AA$5,0),FALSE)),0)</f>
        <v>0</v>
      </c>
      <c r="Y74" s="36">
        <f>IFERROR((VLOOKUP($H74,'Programa Drench'!$B$6:$AA$182,MATCH(Y$2,'Programa Drench'!$B$5:$AA$5,0),FALSE)*Z74),0)</f>
        <v>0</v>
      </c>
      <c r="Z74" s="36">
        <f t="shared" si="62"/>
        <v>0</v>
      </c>
      <c r="AA74" s="89">
        <f>IFERROR(ROUND(IF($D74="SSJ",(VLOOKUP($H74,'Programa Drench'!$B$6:$AA$182,MATCH(AA$2,'Programa Drench'!$B$5:$AA$5,0),FALSE)),VLOOKUP($H74,'Programa Drench'!$B$6:$AA$182,MATCH(AA$2,'Programa Drench'!$B$5:$AA$5,0),FALSE)),1),0)</f>
        <v>0</v>
      </c>
      <c r="AB74" s="30">
        <f>IFERROR((VLOOKUP($H74,'Programa Drench'!$B$6:$AA$182,MATCH(AB$2,'Programa Drench'!$B$5:$AA$5,0),FALSE)),0)</f>
        <v>0</v>
      </c>
      <c r="AC74" s="83">
        <f>IFERROR((VLOOKUP($H74,'Programa Drench'!$B$6:$AA$182,MATCH(AC$2,'Programa Drench'!$B$5:$AA$5,0),FALSE)*$I74),0)</f>
        <v>0</v>
      </c>
      <c r="AD74" s="36">
        <f t="shared" si="63"/>
        <v>0</v>
      </c>
      <c r="AE74" s="36">
        <f>IFERROR(ROUND((VLOOKUP($H74,'Programa Drench'!$B$6:$AA$182,MATCH(AE$2,'Programa Drench'!$B$5:$AA$5,0),FALSE)),-1),0)</f>
        <v>0</v>
      </c>
      <c r="AF74" s="30">
        <f>IFERROR((VLOOKUP($H74,'Programa Drench'!$B$6:$AA$182,MATCH(AF$2,'Programa Drench'!$B$5:$AA$5,0),FALSE)),0)</f>
        <v>0</v>
      </c>
      <c r="AG74" s="36">
        <f>IFERROR((VLOOKUP($H74,'Programa Drench'!$B$6:$AA$182,MATCH(AG$2,'Programa Drench'!$B$5:$AA$5,0),FALSE)*AH74),0)</f>
        <v>0</v>
      </c>
      <c r="AH74" s="36">
        <f>IFERROR(ROUND((VLOOKUP($H74,'Programa Drench'!$B$6:$AA$182,MATCH(AH$2,'Programa Drench'!$B$5:$AA$5,0),FALSE)*$I74),-1),0)</f>
        <v>0</v>
      </c>
      <c r="AI74" s="89">
        <f>IFERROR((VLOOKUP($H74,'Programa Drench'!$B$6:$AA$182,MATCH(AI$2,'Programa Drench'!$B$5:$AA$5,0),FALSE)),0)</f>
        <v>0</v>
      </c>
    </row>
    <row r="75" spans="1:35" ht="15" hidden="1" customHeight="1" x14ac:dyDescent="0.2">
      <c r="A75" s="14">
        <f t="shared" ref="A75" si="64">IF(($J$1-C75)&gt;=52,($J$1-C75-100+52+1),($J$1-C75+1))</f>
        <v>2572</v>
      </c>
      <c r="B75" s="77"/>
      <c r="C75" s="54"/>
      <c r="D75" s="54"/>
      <c r="E75" s="54"/>
      <c r="F75" s="54"/>
      <c r="G75" s="53" t="str">
        <f t="shared" ref="G75" si="65">MID(E75,1,1)</f>
        <v/>
      </c>
      <c r="H75" s="55" t="str">
        <f t="shared" si="57"/>
        <v xml:space="preserve">2572  </v>
      </c>
      <c r="I75" s="262" t="e">
        <f>IF(D75="MM1",VLOOKUP($B75,'Inf Bloques'!$A$1:$K$453,11,FALSE)*1,VLOOKUP($B75,'Inf Bloques'!$A$1:$K$453,11,FALSE))</f>
        <v>#N/A</v>
      </c>
      <c r="J75" s="3" t="e">
        <f t="shared" ref="J75" si="66">I75/9</f>
        <v>#N/A</v>
      </c>
      <c r="K75" s="89">
        <f>IFERROR(ROUND(IF($D75="SSJ",(VLOOKUP($H75,'Programa Drench'!$B$6:$AA$182,MATCH(K$2,'Programa Drench'!$B$5:$AA$5,0),FALSE)),VLOOKUP($H75,'Programa Drench'!$B$6:$AA$182,MATCH(K$2,'Programa Drench'!$B$5:$AA$5,0),FALSE)),1),0)</f>
        <v>0</v>
      </c>
      <c r="L75" s="30">
        <f>IFERROR((VLOOKUP($H75,'Programa Drench'!$B$6:$AA$182,MATCH(L$2,'Programa Drench'!$B$5:$AA$5,0),FALSE)),0)</f>
        <v>0</v>
      </c>
      <c r="M75" s="36">
        <f>IFERROR((VLOOKUP($H75,'Programa Drench'!$B$6:$AA$182,MATCH(M$2,'Programa Drench'!$B$5:$AA$5,0),FALSE)*N75),0)</f>
        <v>0</v>
      </c>
      <c r="N75" s="36">
        <f t="shared" si="59"/>
        <v>0</v>
      </c>
      <c r="O75" s="89">
        <f>IFERROR(ROUND(IF($D75="SSJ",(VLOOKUP($H75,'Programa Drench'!$B$6:$AA$182,MATCH(O$2,'Programa Drench'!$B$5:$AA$5,0),FALSE)),VLOOKUP($H75,'Programa Drench'!$B$6:$AA$182,MATCH(O$2,'Programa Drench'!$B$5:$AA$5,0),FALSE)),1),0)</f>
        <v>0</v>
      </c>
      <c r="P75" s="30">
        <f>IFERROR((VLOOKUP($H75,'Programa Drench'!$B$6:$AA$182,MATCH(P$2,'Programa Drench'!$B$5:$AA$5,0),FALSE)),0)</f>
        <v>0</v>
      </c>
      <c r="Q75" s="36">
        <f>IFERROR((VLOOKUP($H75,'Programa Drench'!$B$6:$AA$182,MATCH(Q$2,'Programa Drench'!$B$5:$AA$5,0),FALSE)*R75),0)</f>
        <v>0</v>
      </c>
      <c r="R75" s="36">
        <f t="shared" si="60"/>
        <v>0</v>
      </c>
      <c r="S75" s="89">
        <f>IFERROR(ROUND(IF($D75="SSJ",(VLOOKUP($H75,'Programa Drench'!$B$6:$AA$182,MATCH(S$2,'Programa Drench'!$B$5:$AA$5,0),FALSE)),VLOOKUP($H75,'Programa Drench'!$B$6:$AA$182,MATCH(S$2,'Programa Drench'!$B$5:$AA$5,0),FALSE)),1),0)</f>
        <v>0</v>
      </c>
      <c r="T75" s="30">
        <f>IFERROR((VLOOKUP($H75,'Programa Drench'!$B$6:$AA$182,MATCH(T$2,'Programa Drench'!$B$5:$AA$5,0),FALSE)),0)</f>
        <v>0</v>
      </c>
      <c r="U75" s="36">
        <f>IFERROR((VLOOKUP($H75,'Programa Drench'!$B$6:$AA$182,MATCH(U$2,'Programa Drench'!$B$5:$AA$5,0),FALSE)*V75),0)</f>
        <v>0</v>
      </c>
      <c r="V75" s="36">
        <f t="shared" si="61"/>
        <v>0</v>
      </c>
      <c r="W75" s="89">
        <f>IFERROR(ROUND(IF($D75="SSJ",(VLOOKUP($H75,'Programa Drench'!$B$6:$AA$182,MATCH(W$2,'Programa Drench'!$B$5:$AA$5,0),FALSE)),VLOOKUP($H75,'Programa Drench'!$B$6:$AA$182,MATCH(W$2,'Programa Drench'!$B$5:$AA$5,0),FALSE)),1),0)</f>
        <v>0</v>
      </c>
      <c r="X75" s="30">
        <f>IFERROR((VLOOKUP($H75,'Programa Drench'!$B$6:$AA$182,MATCH(X$2,'Programa Drench'!$B$5:$AA$5,0),FALSE)),0)</f>
        <v>0</v>
      </c>
      <c r="Y75" s="36">
        <f>IFERROR((VLOOKUP($H75,'Programa Drench'!$B$6:$AA$182,MATCH(Y$2,'Programa Drench'!$B$5:$AA$5,0),FALSE)*Z75),0)</f>
        <v>0</v>
      </c>
      <c r="Z75" s="36">
        <f t="shared" si="62"/>
        <v>0</v>
      </c>
      <c r="AA75" s="89">
        <f>IFERROR(ROUND(IF($D75="SSJ",(VLOOKUP($H75,'Programa Drench'!$B$6:$AA$182,MATCH(AA$2,'Programa Drench'!$B$5:$AA$5,0),FALSE)),VLOOKUP($H75,'Programa Drench'!$B$6:$AA$182,MATCH(AA$2,'Programa Drench'!$B$5:$AA$5,0),FALSE)),1),0)</f>
        <v>0</v>
      </c>
      <c r="AB75" s="30">
        <f>IFERROR((VLOOKUP($H75,'Programa Drench'!$B$6:$AA$182,MATCH(AB$2,'Programa Drench'!$B$5:$AA$5,0),FALSE)),0)</f>
        <v>0</v>
      </c>
      <c r="AC75" s="83">
        <f>IFERROR((VLOOKUP($H75,'Programa Drench'!$B$6:$AA$182,MATCH(AC$2,'Programa Drench'!$B$5:$AA$5,0),FALSE)*$I75),0)</f>
        <v>0</v>
      </c>
      <c r="AD75" s="36">
        <f t="shared" si="63"/>
        <v>0</v>
      </c>
      <c r="AE75" s="36">
        <f>IFERROR(ROUND((VLOOKUP($H75,'Programa Drench'!$B$6:$AA$182,MATCH(AE$2,'Programa Drench'!$B$5:$AA$5,0),FALSE)),-1),0)</f>
        <v>0</v>
      </c>
      <c r="AF75" s="30">
        <f>IFERROR((VLOOKUP($H75,'Programa Drench'!$B$6:$AA$182,MATCH(AF$2,'Programa Drench'!$B$5:$AA$5,0),FALSE)),0)</f>
        <v>0</v>
      </c>
      <c r="AG75" s="36">
        <f>IFERROR((VLOOKUP($H75,'Programa Drench'!$B$6:$AA$182,MATCH(AG$2,'Programa Drench'!$B$5:$AA$5,0),FALSE)*AH75),0)</f>
        <v>0</v>
      </c>
      <c r="AH75" s="36">
        <f>IFERROR(ROUND((VLOOKUP($H75,'Programa Drench'!$B$6:$AA$182,MATCH(AH$2,'Programa Drench'!$B$5:$AA$5,0),FALSE)*$I75),-1),0)</f>
        <v>0</v>
      </c>
      <c r="AI75" s="89">
        <f>IFERROR((VLOOKUP($H75,'Programa Drench'!$B$6:$AA$182,MATCH(AI$2,'Programa Drench'!$B$5:$AA$5,0),FALSE)),0)</f>
        <v>0</v>
      </c>
    </row>
    <row r="76" spans="1:35" ht="15" hidden="1" customHeight="1" x14ac:dyDescent="0.2">
      <c r="A76" s="14">
        <f t="shared" ref="A76:A79" si="67">IF(($J$1-C76)&gt;=52,($J$1-C76-100+52+1),($J$1-C76+1))</f>
        <v>2572</v>
      </c>
      <c r="B76" s="77"/>
      <c r="C76" s="54"/>
      <c r="D76" s="54"/>
      <c r="E76" s="54"/>
      <c r="F76" s="54"/>
      <c r="G76" s="53" t="str">
        <f t="shared" ref="G76:G79" si="68">MID(E76,1,1)</f>
        <v/>
      </c>
      <c r="H76" s="55" t="str">
        <f t="shared" si="57"/>
        <v xml:space="preserve">2572  </v>
      </c>
      <c r="I76" s="262" t="e">
        <f>IF(D76="MM1",VLOOKUP($B76,'Inf Bloques'!$A$1:$K$453,11,FALSE)*1,VLOOKUP($B76,'Inf Bloques'!$A$1:$K$453,11,FALSE))</f>
        <v>#N/A</v>
      </c>
      <c r="J76" s="3" t="e">
        <f t="shared" ref="J76:J79" si="69">I76/9</f>
        <v>#N/A</v>
      </c>
      <c r="K76" s="89">
        <f>IFERROR(ROUND(IF($D76="SSJ",(VLOOKUP($H76,'Programa Drench'!$B$6:$AA$182,MATCH(K$2,'Programa Drench'!$B$5:$AA$5,0),FALSE)),VLOOKUP($H76,'Programa Drench'!$B$6:$AA$182,MATCH(K$2,'Programa Drench'!$B$5:$AA$5,0),FALSE)),1),0)</f>
        <v>0</v>
      </c>
      <c r="L76" s="30">
        <f>IFERROR((VLOOKUP($H76,'Programa Drench'!$B$6:$AA$182,MATCH(L$2,'Programa Drench'!$B$5:$AA$5,0),FALSE)),0)</f>
        <v>0</v>
      </c>
      <c r="M76" s="36">
        <f>IFERROR((VLOOKUP($H76,'Programa Drench'!$B$6:$AA$182,MATCH(M$2,'Programa Drench'!$B$5:$AA$5,0),FALSE)*N76),0)</f>
        <v>0</v>
      </c>
      <c r="N76" s="36">
        <f t="shared" si="59"/>
        <v>0</v>
      </c>
      <c r="O76" s="89">
        <f>IFERROR(ROUND(IF($D76="SSJ",(VLOOKUP($H76,'Programa Drench'!$B$6:$AA$182,MATCH(O$2,'Programa Drench'!$B$5:$AA$5,0),FALSE)),VLOOKUP($H76,'Programa Drench'!$B$6:$AA$182,MATCH(O$2,'Programa Drench'!$B$5:$AA$5,0),FALSE)),1),0)</f>
        <v>0</v>
      </c>
      <c r="P76" s="30">
        <f>IFERROR((VLOOKUP($H76,'Programa Drench'!$B$6:$AA$182,MATCH(P$2,'Programa Drench'!$B$5:$AA$5,0),FALSE)),0)</f>
        <v>0</v>
      </c>
      <c r="Q76" s="36">
        <f>IFERROR((VLOOKUP($H76,'Programa Drench'!$B$6:$AA$182,MATCH(Q$2,'Programa Drench'!$B$5:$AA$5,0),FALSE)*R76),0)</f>
        <v>0</v>
      </c>
      <c r="R76" s="36">
        <f t="shared" si="60"/>
        <v>0</v>
      </c>
      <c r="S76" s="89">
        <f>IFERROR(ROUND(IF($D76="SSJ",(VLOOKUP($H76,'Programa Drench'!$B$6:$AA$182,MATCH(S$2,'Programa Drench'!$B$5:$AA$5,0),FALSE)),VLOOKUP($H76,'Programa Drench'!$B$6:$AA$182,MATCH(S$2,'Programa Drench'!$B$5:$AA$5,0),FALSE)),1),0)</f>
        <v>0</v>
      </c>
      <c r="T76" s="30">
        <f>IFERROR((VLOOKUP($H76,'Programa Drench'!$B$6:$AA$182,MATCH(T$2,'Programa Drench'!$B$5:$AA$5,0),FALSE)),0)</f>
        <v>0</v>
      </c>
      <c r="U76" s="36">
        <f>IFERROR((VLOOKUP($H76,'Programa Drench'!$B$6:$AA$182,MATCH(U$2,'Programa Drench'!$B$5:$AA$5,0),FALSE)*V76),0)</f>
        <v>0</v>
      </c>
      <c r="V76" s="36">
        <f t="shared" si="61"/>
        <v>0</v>
      </c>
      <c r="W76" s="89">
        <f>IFERROR(ROUND(IF($D76="SSJ",(VLOOKUP($H76,'Programa Drench'!$B$6:$AA$182,MATCH(W$2,'Programa Drench'!$B$5:$AA$5,0),FALSE)),VLOOKUP($H76,'Programa Drench'!$B$6:$AA$182,MATCH(W$2,'Programa Drench'!$B$5:$AA$5,0),FALSE)),1),0)</f>
        <v>0</v>
      </c>
      <c r="X76" s="30">
        <f>IFERROR((VLOOKUP($H76,'Programa Drench'!$B$6:$AA$182,MATCH(X$2,'Programa Drench'!$B$5:$AA$5,0),FALSE)),0)</f>
        <v>0</v>
      </c>
      <c r="Y76" s="36">
        <f>IFERROR((VLOOKUP($H76,'Programa Drench'!$B$6:$AA$182,MATCH(Y$2,'Programa Drench'!$B$5:$AA$5,0),FALSE)*Z76),0)</f>
        <v>0</v>
      </c>
      <c r="Z76" s="36">
        <f t="shared" si="62"/>
        <v>0</v>
      </c>
      <c r="AA76" s="89">
        <f>IFERROR(ROUND(IF($D76="SSJ",(VLOOKUP($H76,'Programa Drench'!$B$6:$AA$182,MATCH(AA$2,'Programa Drench'!$B$5:$AA$5,0),FALSE)),VLOOKUP($H76,'Programa Drench'!$B$6:$AA$182,MATCH(AA$2,'Programa Drench'!$B$5:$AA$5,0),FALSE)),1),0)</f>
        <v>0</v>
      </c>
      <c r="AB76" s="30">
        <f>IFERROR((VLOOKUP($H76,'Programa Drench'!$B$6:$AA$182,MATCH(AB$2,'Programa Drench'!$B$5:$AA$5,0),FALSE)),0)</f>
        <v>0</v>
      </c>
      <c r="AC76" s="83">
        <f>IFERROR((VLOOKUP($H76,'Programa Drench'!$B$6:$AA$182,MATCH(AC$2,'Programa Drench'!$B$5:$AA$5,0),FALSE)*$I76),0)</f>
        <v>0</v>
      </c>
      <c r="AD76" s="36">
        <f t="shared" si="63"/>
        <v>0</v>
      </c>
      <c r="AE76" s="36">
        <f>IFERROR(ROUND((VLOOKUP($H76,'Programa Drench'!$B$6:$AA$182,MATCH(AE$2,'Programa Drench'!$B$5:$AA$5,0),FALSE)),-1),0)</f>
        <v>0</v>
      </c>
      <c r="AF76" s="30">
        <f>IFERROR((VLOOKUP($H76,'Programa Drench'!$B$6:$AA$182,MATCH(AF$2,'Programa Drench'!$B$5:$AA$5,0),FALSE)),0)</f>
        <v>0</v>
      </c>
      <c r="AG76" s="36">
        <f>IFERROR((VLOOKUP($H76,'Programa Drench'!$B$6:$AA$182,MATCH(AG$2,'Programa Drench'!$B$5:$AA$5,0),FALSE)*AH76),0)</f>
        <v>0</v>
      </c>
      <c r="AH76" s="36">
        <f>IFERROR(ROUND((VLOOKUP($H76,'Programa Drench'!$B$6:$AA$182,MATCH(AH$2,'Programa Drench'!$B$5:$AA$5,0),FALSE)*$I76),-1),0)</f>
        <v>0</v>
      </c>
      <c r="AI76" s="89">
        <f>IFERROR((VLOOKUP($H76,'Programa Drench'!$B$6:$AA$182,MATCH(AI$2,'Programa Drench'!$B$5:$AA$5,0),FALSE)),0)</f>
        <v>0</v>
      </c>
    </row>
    <row r="77" spans="1:35" ht="15" hidden="1" customHeight="1" x14ac:dyDescent="0.2">
      <c r="A77" s="14">
        <f t="shared" si="67"/>
        <v>2572</v>
      </c>
      <c r="B77" s="77"/>
      <c r="C77" s="54"/>
      <c r="D77" s="54"/>
      <c r="E77" s="54"/>
      <c r="F77" s="54"/>
      <c r="G77" s="53" t="str">
        <f t="shared" si="68"/>
        <v/>
      </c>
      <c r="H77" s="55" t="str">
        <f t="shared" si="57"/>
        <v xml:space="preserve">2572  </v>
      </c>
      <c r="I77" s="262" t="e">
        <f>IF(D77="MM1",VLOOKUP($B77,'Inf Bloques'!$A$1:$K$453,11,FALSE)*1,VLOOKUP($B77,'Inf Bloques'!$A$1:$K$453,11,FALSE))</f>
        <v>#N/A</v>
      </c>
      <c r="J77" s="3" t="e">
        <f t="shared" si="69"/>
        <v>#N/A</v>
      </c>
      <c r="K77" s="89">
        <f>IFERROR(ROUND(IF($D77="SSJ",(VLOOKUP($H77,'Programa Drench'!$B$6:$AA$182,MATCH(K$2,'Programa Drench'!$B$5:$AA$5,0),FALSE)),VLOOKUP($H77,'Programa Drench'!$B$6:$AA$182,MATCH(K$2,'Programa Drench'!$B$5:$AA$5,0),FALSE)),1),0)</f>
        <v>0</v>
      </c>
      <c r="L77" s="30">
        <f>IFERROR((VLOOKUP($H77,'Programa Drench'!$B$6:$AA$182,MATCH(L$2,'Programa Drench'!$B$5:$AA$5,0),FALSE)),0)</f>
        <v>0</v>
      </c>
      <c r="M77" s="36">
        <f>IFERROR((VLOOKUP($H77,'Programa Drench'!$B$6:$AA$182,MATCH(M$2,'Programa Drench'!$B$5:$AA$5,0),FALSE)*N77),0)</f>
        <v>0</v>
      </c>
      <c r="N77" s="36">
        <f t="shared" si="59"/>
        <v>0</v>
      </c>
      <c r="O77" s="89">
        <f>IFERROR(ROUND(IF($D77="SSJ",(VLOOKUP($H77,'Programa Drench'!$B$6:$AA$182,MATCH(O$2,'Programa Drench'!$B$5:$AA$5,0),FALSE)),VLOOKUP($H77,'Programa Drench'!$B$6:$AA$182,MATCH(O$2,'Programa Drench'!$B$5:$AA$5,0),FALSE)),1),0)</f>
        <v>0</v>
      </c>
      <c r="P77" s="30">
        <f>IFERROR((VLOOKUP($H77,'Programa Drench'!$B$6:$AA$182,MATCH(P$2,'Programa Drench'!$B$5:$AA$5,0),FALSE)),0)</f>
        <v>0</v>
      </c>
      <c r="Q77" s="36">
        <f>IFERROR((VLOOKUP($H77,'Programa Drench'!$B$6:$AA$182,MATCH(Q$2,'Programa Drench'!$B$5:$AA$5,0),FALSE)*R77),0)</f>
        <v>0</v>
      </c>
      <c r="R77" s="36">
        <f t="shared" si="60"/>
        <v>0</v>
      </c>
      <c r="S77" s="89">
        <f>IFERROR(ROUND(IF($D77="SSJ",(VLOOKUP($H77,'Programa Drench'!$B$6:$AA$182,MATCH(S$2,'Programa Drench'!$B$5:$AA$5,0),FALSE)),VLOOKUP($H77,'Programa Drench'!$B$6:$AA$182,MATCH(S$2,'Programa Drench'!$B$5:$AA$5,0),FALSE)),1),0)</f>
        <v>0</v>
      </c>
      <c r="T77" s="30">
        <f>IFERROR((VLOOKUP($H77,'Programa Drench'!$B$6:$AA$182,MATCH(T$2,'Programa Drench'!$B$5:$AA$5,0),FALSE)),0)</f>
        <v>0</v>
      </c>
      <c r="U77" s="36">
        <f>IFERROR((VLOOKUP($H77,'Programa Drench'!$B$6:$AA$182,MATCH(U$2,'Programa Drench'!$B$5:$AA$5,0),FALSE)*V77),0)</f>
        <v>0</v>
      </c>
      <c r="V77" s="36">
        <f t="shared" si="61"/>
        <v>0</v>
      </c>
      <c r="W77" s="89">
        <f>IFERROR(ROUND(IF($D77="SSJ",(VLOOKUP($H77,'Programa Drench'!$B$6:$AA$182,MATCH(W$2,'Programa Drench'!$B$5:$AA$5,0),FALSE)),VLOOKUP($H77,'Programa Drench'!$B$6:$AA$182,MATCH(W$2,'Programa Drench'!$B$5:$AA$5,0),FALSE)),1),0)</f>
        <v>0</v>
      </c>
      <c r="X77" s="30">
        <f>IFERROR((VLOOKUP($H77,'Programa Drench'!$B$6:$AA$182,MATCH(X$2,'Programa Drench'!$B$5:$AA$5,0),FALSE)),0)</f>
        <v>0</v>
      </c>
      <c r="Y77" s="36">
        <f>IFERROR((VLOOKUP($H77,'Programa Drench'!$B$6:$AA$182,MATCH(Y$2,'Programa Drench'!$B$5:$AA$5,0),FALSE)*Z77),0)</f>
        <v>0</v>
      </c>
      <c r="Z77" s="36">
        <f t="shared" si="62"/>
        <v>0</v>
      </c>
      <c r="AA77" s="89">
        <f>IFERROR(ROUND(IF($D77="SSJ",(VLOOKUP($H77,'Programa Drench'!$B$6:$AA$182,MATCH(AA$2,'Programa Drench'!$B$5:$AA$5,0),FALSE)),VLOOKUP($H77,'Programa Drench'!$B$6:$AA$182,MATCH(AA$2,'Programa Drench'!$B$5:$AA$5,0),FALSE)),1),0)</f>
        <v>0</v>
      </c>
      <c r="AB77" s="30">
        <f>IFERROR((VLOOKUP($H77,'Programa Drench'!$B$6:$AA$182,MATCH(AB$2,'Programa Drench'!$B$5:$AA$5,0),FALSE)),0)</f>
        <v>0</v>
      </c>
      <c r="AC77" s="83">
        <f>IFERROR((VLOOKUP($H77,'Programa Drench'!$B$6:$AA$182,MATCH(AC$2,'Programa Drench'!$B$5:$AA$5,0),FALSE)*$I77),0)</f>
        <v>0</v>
      </c>
      <c r="AD77" s="36">
        <f t="shared" si="63"/>
        <v>0</v>
      </c>
      <c r="AE77" s="36">
        <f>IFERROR(ROUND((VLOOKUP($H77,'Programa Drench'!$B$6:$AA$182,MATCH(AE$2,'Programa Drench'!$B$5:$AA$5,0),FALSE)),-1),0)</f>
        <v>0</v>
      </c>
      <c r="AF77" s="30">
        <f>IFERROR((VLOOKUP($H77,'Programa Drench'!$B$6:$AA$182,MATCH(AF$2,'Programa Drench'!$B$5:$AA$5,0),FALSE)),0)</f>
        <v>0</v>
      </c>
      <c r="AG77" s="36">
        <f>IFERROR((VLOOKUP($H77,'Programa Drench'!$B$6:$AA$182,MATCH(AG$2,'Programa Drench'!$B$5:$AA$5,0),FALSE)*AH77),0)</f>
        <v>0</v>
      </c>
      <c r="AH77" s="36">
        <f>IFERROR(ROUND((VLOOKUP($H77,'Programa Drench'!$B$6:$AA$182,MATCH(AH$2,'Programa Drench'!$B$5:$AA$5,0),FALSE)*$I77),-1),0)</f>
        <v>0</v>
      </c>
      <c r="AI77" s="89">
        <f>IFERROR((VLOOKUP($H77,'Programa Drench'!$B$6:$AA$182,MATCH(AI$2,'Programa Drench'!$B$5:$AA$5,0),FALSE)),0)</f>
        <v>0</v>
      </c>
    </row>
    <row r="78" spans="1:35" ht="15" hidden="1" customHeight="1" x14ac:dyDescent="0.2">
      <c r="A78" s="14">
        <f t="shared" si="67"/>
        <v>2572</v>
      </c>
      <c r="B78" s="77"/>
      <c r="C78" s="54"/>
      <c r="D78" s="54"/>
      <c r="E78" s="54"/>
      <c r="F78" s="54"/>
      <c r="G78" s="53" t="str">
        <f t="shared" si="68"/>
        <v/>
      </c>
      <c r="H78" s="55" t="str">
        <f t="shared" si="57"/>
        <v xml:space="preserve">2572  </v>
      </c>
      <c r="I78" s="262" t="e">
        <f>IF(D78="MM1",VLOOKUP($B78,'Inf Bloques'!$A$1:$K$453,11,FALSE)*1,VLOOKUP($B78,'Inf Bloques'!$A$1:$K$453,11,FALSE))</f>
        <v>#N/A</v>
      </c>
      <c r="J78" s="3" t="e">
        <f t="shared" si="69"/>
        <v>#N/A</v>
      </c>
      <c r="K78" s="89">
        <f>IFERROR(ROUND(IF($D78="SSJ",(VLOOKUP($H78,'Programa Drench'!$B$6:$AA$182,MATCH(K$2,'Programa Drench'!$B$5:$AA$5,0),FALSE)),VLOOKUP($H78,'Programa Drench'!$B$6:$AA$182,MATCH(K$2,'Programa Drench'!$B$5:$AA$5,0),FALSE)),1),0)</f>
        <v>0</v>
      </c>
      <c r="L78" s="30">
        <f>IFERROR((VLOOKUP($H78,'Programa Drench'!$B$6:$AA$182,MATCH(L$2,'Programa Drench'!$B$5:$AA$5,0),FALSE)),0)</f>
        <v>0</v>
      </c>
      <c r="M78" s="36">
        <f>IFERROR((VLOOKUP($H78,'Programa Drench'!$B$6:$AA$182,MATCH(M$2,'Programa Drench'!$B$5:$AA$5,0),FALSE)*N78),0)</f>
        <v>0</v>
      </c>
      <c r="N78" s="36">
        <f t="shared" si="59"/>
        <v>0</v>
      </c>
      <c r="O78" s="89">
        <f>IFERROR(ROUND(IF($D78="SSJ",(VLOOKUP($H78,'Programa Drench'!$B$6:$AA$182,MATCH(O$2,'Programa Drench'!$B$5:$AA$5,0),FALSE)),VLOOKUP($H78,'Programa Drench'!$B$6:$AA$182,MATCH(O$2,'Programa Drench'!$B$5:$AA$5,0),FALSE)),1),0)</f>
        <v>0</v>
      </c>
      <c r="P78" s="30">
        <f>IFERROR((VLOOKUP($H78,'Programa Drench'!$B$6:$AA$182,MATCH(P$2,'Programa Drench'!$B$5:$AA$5,0),FALSE)),0)</f>
        <v>0</v>
      </c>
      <c r="Q78" s="36">
        <f>IFERROR((VLOOKUP($H78,'Programa Drench'!$B$6:$AA$182,MATCH(Q$2,'Programa Drench'!$B$5:$AA$5,0),FALSE)*R78),0)</f>
        <v>0</v>
      </c>
      <c r="R78" s="36">
        <f t="shared" si="60"/>
        <v>0</v>
      </c>
      <c r="S78" s="89">
        <f>IFERROR(ROUND(IF($D78="SSJ",(VLOOKUP($H78,'Programa Drench'!$B$6:$AA$182,MATCH(S$2,'Programa Drench'!$B$5:$AA$5,0),FALSE)),VLOOKUP($H78,'Programa Drench'!$B$6:$AA$182,MATCH(S$2,'Programa Drench'!$B$5:$AA$5,0),FALSE)),1),0)</f>
        <v>0</v>
      </c>
      <c r="T78" s="30">
        <f>IFERROR((VLOOKUP($H78,'Programa Drench'!$B$6:$AA$182,MATCH(T$2,'Programa Drench'!$B$5:$AA$5,0),FALSE)),0)</f>
        <v>0</v>
      </c>
      <c r="U78" s="36">
        <f>IFERROR((VLOOKUP($H78,'Programa Drench'!$B$6:$AA$182,MATCH(U$2,'Programa Drench'!$B$5:$AA$5,0),FALSE)*V78),0)</f>
        <v>0</v>
      </c>
      <c r="V78" s="36">
        <f t="shared" si="61"/>
        <v>0</v>
      </c>
      <c r="W78" s="89">
        <f>IFERROR(ROUND(IF($D78="SSJ",(VLOOKUP($H78,'Programa Drench'!$B$6:$AA$182,MATCH(W$2,'Programa Drench'!$B$5:$AA$5,0),FALSE)),VLOOKUP($H78,'Programa Drench'!$B$6:$AA$182,MATCH(W$2,'Programa Drench'!$B$5:$AA$5,0),FALSE)),1),0)</f>
        <v>0</v>
      </c>
      <c r="X78" s="30">
        <f>IFERROR((VLOOKUP($H78,'Programa Drench'!$B$6:$AA$182,MATCH(X$2,'Programa Drench'!$B$5:$AA$5,0),FALSE)),0)</f>
        <v>0</v>
      </c>
      <c r="Y78" s="36">
        <f>IFERROR((VLOOKUP($H78,'Programa Drench'!$B$6:$AA$182,MATCH(Y$2,'Programa Drench'!$B$5:$AA$5,0),FALSE)*Z78),0)</f>
        <v>0</v>
      </c>
      <c r="Z78" s="36">
        <f t="shared" si="62"/>
        <v>0</v>
      </c>
      <c r="AA78" s="89">
        <f>IFERROR(ROUND(IF($D78="SSJ",(VLOOKUP($H78,'Programa Drench'!$B$6:$AA$182,MATCH(AA$2,'Programa Drench'!$B$5:$AA$5,0),FALSE)),VLOOKUP($H78,'Programa Drench'!$B$6:$AA$182,MATCH(AA$2,'Programa Drench'!$B$5:$AA$5,0),FALSE)),1),0)</f>
        <v>0</v>
      </c>
      <c r="AB78" s="30">
        <f>IFERROR((VLOOKUP($H78,'Programa Drench'!$B$6:$AA$182,MATCH(AB$2,'Programa Drench'!$B$5:$AA$5,0),FALSE)),0)</f>
        <v>0</v>
      </c>
      <c r="AC78" s="83">
        <f>IFERROR((VLOOKUP($H78,'Programa Drench'!$B$6:$AA$182,MATCH(AC$2,'Programa Drench'!$B$5:$AA$5,0),FALSE)*$I78),0)</f>
        <v>0</v>
      </c>
      <c r="AD78" s="36">
        <f t="shared" si="63"/>
        <v>0</v>
      </c>
      <c r="AE78" s="36">
        <f>IFERROR(ROUND((VLOOKUP($H78,'Programa Drench'!$B$6:$AA$182,MATCH(AE$2,'Programa Drench'!$B$5:$AA$5,0),FALSE)),-1),0)</f>
        <v>0</v>
      </c>
      <c r="AF78" s="30">
        <f>IFERROR((VLOOKUP($H78,'Programa Drench'!$B$6:$AA$182,MATCH(AF$2,'Programa Drench'!$B$5:$AA$5,0),FALSE)),0)</f>
        <v>0</v>
      </c>
      <c r="AG78" s="36">
        <f>IFERROR((VLOOKUP($H78,'Programa Drench'!$B$6:$AA$182,MATCH(AG$2,'Programa Drench'!$B$5:$AA$5,0),FALSE)*AH78),0)</f>
        <v>0</v>
      </c>
      <c r="AH78" s="36">
        <f>IFERROR(ROUND((VLOOKUP($H78,'Programa Drench'!$B$6:$AA$182,MATCH(AH$2,'Programa Drench'!$B$5:$AA$5,0),FALSE)*$I78),-1),0)</f>
        <v>0</v>
      </c>
      <c r="AI78" s="89">
        <f>IFERROR((VLOOKUP($H78,'Programa Drench'!$B$6:$AA$182,MATCH(AI$2,'Programa Drench'!$B$5:$AA$5,0),FALSE)),0)</f>
        <v>0</v>
      </c>
    </row>
    <row r="79" spans="1:35" ht="15" hidden="1" customHeight="1" x14ac:dyDescent="0.2">
      <c r="A79" s="14">
        <f t="shared" si="67"/>
        <v>2572</v>
      </c>
      <c r="B79" s="77"/>
      <c r="C79" s="54"/>
      <c r="D79" s="54"/>
      <c r="E79" s="54"/>
      <c r="F79" s="54"/>
      <c r="G79" s="53" t="str">
        <f t="shared" si="68"/>
        <v/>
      </c>
      <c r="H79" s="55" t="str">
        <f t="shared" si="57"/>
        <v xml:space="preserve">2572  </v>
      </c>
      <c r="I79" s="262" t="e">
        <f>IF(D79="MM1",VLOOKUP($B79,'Inf Bloques'!$A$1:$K$453,11,FALSE)*1,VLOOKUP($B79,'Inf Bloques'!$A$1:$K$453,11,FALSE))</f>
        <v>#N/A</v>
      </c>
      <c r="J79" s="3" t="e">
        <f t="shared" si="69"/>
        <v>#N/A</v>
      </c>
      <c r="K79" s="89">
        <f>IFERROR(ROUND(IF($D79="SSJ",(VLOOKUP($H79,'Programa Drench'!$B$6:$AA$182,MATCH(K$2,'Programa Drench'!$B$5:$AA$5,0),FALSE)),VLOOKUP($H79,'Programa Drench'!$B$6:$AA$182,MATCH(K$2,'Programa Drench'!$B$5:$AA$5,0),FALSE)),1),0)</f>
        <v>0</v>
      </c>
      <c r="L79" s="30">
        <f>IFERROR((VLOOKUP($H79,'Programa Drench'!$B$6:$AA$182,MATCH(L$2,'Programa Drench'!$B$5:$AA$5,0),FALSE)),0)</f>
        <v>0</v>
      </c>
      <c r="M79" s="36">
        <f>IFERROR((VLOOKUP($H79,'Programa Drench'!$B$6:$AA$182,MATCH(M$2,'Programa Drench'!$B$5:$AA$5,0),FALSE)*N79),0)</f>
        <v>0</v>
      </c>
      <c r="N79" s="36">
        <f t="shared" ref="N79" si="70">IFERROR(ROUND((K79*$I79),-1),0)</f>
        <v>0</v>
      </c>
      <c r="O79" s="89">
        <f>IFERROR(ROUND(IF($D79="SSJ",(VLOOKUP($H79,'Programa Drench'!$B$6:$AA$182,MATCH(O$2,'Programa Drench'!$B$5:$AA$5,0),FALSE)),VLOOKUP($H79,'Programa Drench'!$B$6:$AA$182,MATCH(O$2,'Programa Drench'!$B$5:$AA$5,0),FALSE)),1),0)</f>
        <v>0</v>
      </c>
      <c r="P79" s="30">
        <f>IFERROR((VLOOKUP($H79,'Programa Drench'!$B$6:$AA$182,MATCH(P$2,'Programa Drench'!$B$5:$AA$5,0),FALSE)),0)</f>
        <v>0</v>
      </c>
      <c r="Q79" s="36">
        <f>IFERROR((VLOOKUP($H79,'Programa Drench'!$B$6:$AA$182,MATCH(Q$2,'Programa Drench'!$B$5:$AA$5,0),FALSE)*R79),0)</f>
        <v>0</v>
      </c>
      <c r="R79" s="36">
        <f t="shared" ref="R79" si="71">IFERROR(ROUND((O79*$I79),-1),0)</f>
        <v>0</v>
      </c>
      <c r="S79" s="89">
        <f>IFERROR(ROUND(IF($D79="SSJ",(VLOOKUP($H79,'Programa Drench'!$B$6:$AA$182,MATCH(S$2,'Programa Drench'!$B$5:$AA$5,0),FALSE)),VLOOKUP($H79,'Programa Drench'!$B$6:$AA$182,MATCH(S$2,'Programa Drench'!$B$5:$AA$5,0),FALSE)),1),0)</f>
        <v>0</v>
      </c>
      <c r="T79" s="30">
        <f>IFERROR((VLOOKUP($H79,'Programa Drench'!$B$6:$AA$182,MATCH(T$2,'Programa Drench'!$B$5:$AA$5,0),FALSE)),0)</f>
        <v>0</v>
      </c>
      <c r="U79" s="36">
        <f>IFERROR((VLOOKUP($H79,'Programa Drench'!$B$6:$AA$182,MATCH(U$2,'Programa Drench'!$B$5:$AA$5,0),FALSE)*V79),0)</f>
        <v>0</v>
      </c>
      <c r="V79" s="36">
        <f t="shared" ref="V79" si="72">IFERROR(ROUND((S79*$I79),-1),0)</f>
        <v>0</v>
      </c>
      <c r="W79" s="89">
        <f>IFERROR(ROUND(IF($D79="SSJ",(VLOOKUP($H79,'Programa Drench'!$B$6:$AA$182,MATCH(W$2,'Programa Drench'!$B$5:$AA$5,0),FALSE)),VLOOKUP($H79,'Programa Drench'!$B$6:$AA$182,MATCH(W$2,'Programa Drench'!$B$5:$AA$5,0),FALSE)),1),0)</f>
        <v>0</v>
      </c>
      <c r="X79" s="30">
        <f>IFERROR((VLOOKUP($H79,'Programa Drench'!$B$6:$AA$182,MATCH(X$2,'Programa Drench'!$B$5:$AA$5,0),FALSE)),0)</f>
        <v>0</v>
      </c>
      <c r="Y79" s="36">
        <f>IFERROR((VLOOKUP($H79,'Programa Drench'!$B$6:$AA$182,MATCH(Y$2,'Programa Drench'!$B$5:$AA$5,0),FALSE)*Z79),0)</f>
        <v>0</v>
      </c>
      <c r="Z79" s="36">
        <f t="shared" ref="Z79" si="73">IFERROR(ROUND((W79*$I79),-1),0)</f>
        <v>0</v>
      </c>
      <c r="AA79" s="89">
        <f>IFERROR(ROUND(IF($D79="SSJ",(VLOOKUP($H79,'Programa Drench'!$B$6:$AA$182,MATCH(AA$2,'Programa Drench'!$B$5:$AA$5,0),FALSE)),VLOOKUP($H79,'Programa Drench'!$B$6:$AA$182,MATCH(AA$2,'Programa Drench'!$B$5:$AA$5,0),FALSE)),1),0)</f>
        <v>0</v>
      </c>
      <c r="AB79" s="30">
        <f>IFERROR((VLOOKUP($H79,'Programa Drench'!$B$6:$AA$182,MATCH(AB$2,'Programa Drench'!$B$5:$AA$5,0),FALSE)),0)</f>
        <v>0</v>
      </c>
      <c r="AC79" s="83">
        <f>IFERROR((VLOOKUP($H79,'Programa Drench'!$B$6:$AA$182,MATCH(AC$2,'Programa Drench'!$B$5:$AA$5,0),FALSE)*$I79),0)</f>
        <v>0</v>
      </c>
      <c r="AD79" s="36">
        <f t="shared" ref="AD79" si="74">IFERROR(ROUND((AA79*$I79),-1),0)</f>
        <v>0</v>
      </c>
      <c r="AE79" s="36">
        <f>IFERROR(ROUND((VLOOKUP($H79,'Programa Drench'!$B$6:$AA$182,MATCH(AE$2,'Programa Drench'!$B$5:$AA$5,0),FALSE)),-1),0)</f>
        <v>0</v>
      </c>
      <c r="AF79" s="30">
        <f>IFERROR((VLOOKUP($H79,'Programa Drench'!$B$6:$AA$182,MATCH(AF$2,'Programa Drench'!$B$5:$AA$5,0),FALSE)),0)</f>
        <v>0</v>
      </c>
      <c r="AG79" s="36">
        <f>IFERROR((VLOOKUP($H79,'Programa Drench'!$B$6:$AA$182,MATCH(AG$2,'Programa Drench'!$B$5:$AA$5,0),FALSE)*AH79),0)</f>
        <v>0</v>
      </c>
      <c r="AH79" s="36">
        <f>IFERROR(ROUND((VLOOKUP($H79,'Programa Drench'!$B$6:$AA$182,MATCH(AH$2,'Programa Drench'!$B$5:$AA$5,0),FALSE)*$I79),-1),0)</f>
        <v>0</v>
      </c>
      <c r="AI79" s="89">
        <f>IFERROR((VLOOKUP($H79,'Programa Drench'!$B$6:$AA$182,MATCH(AI$2,'Programa Drench'!$B$5:$AA$5,0),FALSE)),0)</f>
        <v>0</v>
      </c>
    </row>
    <row r="80" spans="1:35" ht="15" hidden="1" customHeight="1" x14ac:dyDescent="0.2">
      <c r="A80" s="14">
        <f t="shared" ref="A80" si="75">IF(($J$1-C80)&gt;=52,($J$1-C80-100+52+1),($J$1-C80+1))</f>
        <v>2572</v>
      </c>
      <c r="B80" s="77"/>
      <c r="C80" s="54"/>
      <c r="D80" s="54"/>
      <c r="E80" s="54"/>
      <c r="F80" s="54"/>
      <c r="G80" s="53" t="str">
        <f t="shared" ref="G80" si="76">MID(E80,1,1)</f>
        <v/>
      </c>
      <c r="H80" s="55" t="str">
        <f t="shared" si="57"/>
        <v xml:space="preserve">2572  </v>
      </c>
      <c r="I80" s="262" t="e">
        <f>IF(D80="MM1",VLOOKUP($B80,'Inf Bloques'!$A$1:$K$453,11,FALSE)*1,VLOOKUP($B80,'Inf Bloques'!$A$1:$K$453,11,FALSE))</f>
        <v>#N/A</v>
      </c>
      <c r="J80" s="3" t="e">
        <f t="shared" ref="J80" si="77">I80/9</f>
        <v>#N/A</v>
      </c>
      <c r="K80" s="89">
        <f>IFERROR(ROUND(IF($D80="SSJ",(VLOOKUP($H80,'Programa Drench'!$B$6:$AA$182,MATCH(K$2,'Programa Drench'!$B$5:$AA$5,0),FALSE)),VLOOKUP($H80,'Programa Drench'!$B$6:$AA$182,MATCH(K$2,'Programa Drench'!$B$5:$AA$5,0),FALSE)),1),0)</f>
        <v>0</v>
      </c>
      <c r="L80" s="30">
        <f>IFERROR((VLOOKUP($H80,'Programa Drench'!$B$6:$AA$182,MATCH(L$2,'Programa Drench'!$B$5:$AA$5,0),FALSE)),0)</f>
        <v>0</v>
      </c>
      <c r="M80" s="36">
        <f>IFERROR((VLOOKUP($H80,'Programa Drench'!$B$6:$AA$182,MATCH(M$2,'Programa Drench'!$B$5:$AA$5,0),FALSE)*N80),0)</f>
        <v>0</v>
      </c>
      <c r="N80" s="36">
        <f t="shared" ref="N80" si="78">IFERROR(ROUND((K80*$I80),-1),0)</f>
        <v>0</v>
      </c>
      <c r="O80" s="89">
        <f>IFERROR(ROUND(IF($D80="SSJ",(VLOOKUP($H80,'Programa Drench'!$B$6:$AA$182,MATCH(O$2,'Programa Drench'!$B$5:$AA$5,0),FALSE)),VLOOKUP($H80,'Programa Drench'!$B$6:$AA$182,MATCH(O$2,'Programa Drench'!$B$5:$AA$5,0),FALSE)),1),0)</f>
        <v>0</v>
      </c>
      <c r="P80" s="30">
        <f>IFERROR((VLOOKUP($H80,'Programa Drench'!$B$6:$AA$182,MATCH(P$2,'Programa Drench'!$B$5:$AA$5,0),FALSE)),0)</f>
        <v>0</v>
      </c>
      <c r="Q80" s="36">
        <f>IFERROR((VLOOKUP($H80,'Programa Drench'!$B$6:$AA$182,MATCH(Q$2,'Programa Drench'!$B$5:$AA$5,0),FALSE)*R80),0)</f>
        <v>0</v>
      </c>
      <c r="R80" s="36">
        <f t="shared" ref="R80" si="79">IFERROR(ROUND((O80*$I80),-1),0)</f>
        <v>0</v>
      </c>
      <c r="S80" s="89">
        <f>IFERROR(ROUND(IF($D80="SSJ",(VLOOKUP($H80,'Programa Drench'!$B$6:$AA$182,MATCH(S$2,'Programa Drench'!$B$5:$AA$5,0),FALSE)),VLOOKUP($H80,'Programa Drench'!$B$6:$AA$182,MATCH(S$2,'Programa Drench'!$B$5:$AA$5,0),FALSE)),1),0)</f>
        <v>0</v>
      </c>
      <c r="T80" s="30">
        <f>IFERROR((VLOOKUP($H80,'Programa Drench'!$B$6:$AA$182,MATCH(T$2,'Programa Drench'!$B$5:$AA$5,0),FALSE)),0)</f>
        <v>0</v>
      </c>
      <c r="U80" s="36">
        <f>IFERROR((VLOOKUP($H80,'Programa Drench'!$B$6:$AA$182,MATCH(U$2,'Programa Drench'!$B$5:$AA$5,0),FALSE)*V80),0)</f>
        <v>0</v>
      </c>
      <c r="V80" s="36">
        <f t="shared" ref="V80" si="80">IFERROR(ROUND((S80*$I80),-1),0)</f>
        <v>0</v>
      </c>
      <c r="W80" s="89">
        <f>IFERROR(ROUND(IF($D80="SSJ",(VLOOKUP($H80,'Programa Drench'!$B$6:$AA$182,MATCH(W$2,'Programa Drench'!$B$5:$AA$5,0),FALSE)),VLOOKUP($H80,'Programa Drench'!$B$6:$AA$182,MATCH(W$2,'Programa Drench'!$B$5:$AA$5,0),FALSE)),1),0)</f>
        <v>0</v>
      </c>
      <c r="X80" s="30">
        <f>IFERROR((VLOOKUP($H80,'Programa Drench'!$B$6:$AA$182,MATCH(X$2,'Programa Drench'!$B$5:$AA$5,0),FALSE)),0)</f>
        <v>0</v>
      </c>
      <c r="Y80" s="36">
        <f>IFERROR((VLOOKUP($H80,'Programa Drench'!$B$6:$AA$182,MATCH(Y$2,'Programa Drench'!$B$5:$AA$5,0),FALSE)*Z80),0)</f>
        <v>0</v>
      </c>
      <c r="Z80" s="36">
        <f t="shared" ref="Z80" si="81">IFERROR(ROUND((W80*$I80),-1),0)</f>
        <v>0</v>
      </c>
      <c r="AA80" s="89">
        <f>IFERROR(ROUND(IF($D80="SSJ",(VLOOKUP($H80,'Programa Drench'!$B$6:$AA$182,MATCH(AA$2,'Programa Drench'!$B$5:$AA$5,0),FALSE)),VLOOKUP($H80,'Programa Drench'!$B$6:$AA$182,MATCH(AA$2,'Programa Drench'!$B$5:$AA$5,0),FALSE)),1),0)</f>
        <v>0</v>
      </c>
      <c r="AB80" s="30">
        <f>IFERROR((VLOOKUP($H80,'Programa Drench'!$B$6:$AA$182,MATCH(AB$2,'Programa Drench'!$B$5:$AA$5,0),FALSE)),0)</f>
        <v>0</v>
      </c>
      <c r="AC80" s="83">
        <f>IFERROR((VLOOKUP($H80,'Programa Drench'!$B$6:$AA$182,MATCH(AC$2,'Programa Drench'!$B$5:$AA$5,0),FALSE)*$I80),0)</f>
        <v>0</v>
      </c>
      <c r="AD80" s="36">
        <f t="shared" ref="AD80" si="82">IFERROR(ROUND((AA80*$I80),-1),0)</f>
        <v>0</v>
      </c>
      <c r="AE80" s="36">
        <f>IFERROR(ROUND((VLOOKUP($H80,'Programa Drench'!$B$6:$AA$182,MATCH(AE$2,'Programa Drench'!$B$5:$AA$5,0),FALSE)),-1),0)</f>
        <v>0</v>
      </c>
      <c r="AF80" s="30">
        <f>IFERROR((VLOOKUP($H80,'Programa Drench'!$B$6:$AA$182,MATCH(AF$2,'Programa Drench'!$B$5:$AA$5,0),FALSE)),0)</f>
        <v>0</v>
      </c>
      <c r="AG80" s="36">
        <f>IFERROR((VLOOKUP($H80,'Programa Drench'!$B$6:$AA$182,MATCH(AG$2,'Programa Drench'!$B$5:$AA$5,0),FALSE)*AH80),0)</f>
        <v>0</v>
      </c>
      <c r="AH80" s="36">
        <f>IFERROR(ROUND((VLOOKUP($H80,'Programa Drench'!$B$6:$AA$182,MATCH(AH$2,'Programa Drench'!$B$5:$AA$5,0),FALSE)*$I80),-1),0)</f>
        <v>0</v>
      </c>
      <c r="AI80" s="89">
        <f>IFERROR((VLOOKUP($H80,'Programa Drench'!$B$6:$AA$182,MATCH(AI$2,'Programa Drench'!$B$5:$AA$5,0),FALSE)),0)</f>
        <v>0</v>
      </c>
    </row>
    <row r="81" spans="1:35" ht="11.25" customHeight="1" x14ac:dyDescent="0.2">
      <c r="A81" s="25" t="s">
        <v>308</v>
      </c>
      <c r="B81" s="25" t="s">
        <v>308</v>
      </c>
      <c r="C81" s="25" t="s">
        <v>308</v>
      </c>
      <c r="D81" s="25" t="s">
        <v>308</v>
      </c>
      <c r="E81" s="25" t="s">
        <v>308</v>
      </c>
      <c r="F81" s="25" t="s">
        <v>308</v>
      </c>
      <c r="G81" s="25" t="s">
        <v>308</v>
      </c>
      <c r="H81" s="25" t="s">
        <v>308</v>
      </c>
      <c r="I81" s="25" t="s">
        <v>308</v>
      </c>
      <c r="J81" s="25" t="s">
        <v>308</v>
      </c>
      <c r="K81" s="25" t="s">
        <v>308</v>
      </c>
      <c r="L81" s="25" t="s">
        <v>308</v>
      </c>
      <c r="M81" s="25" t="s">
        <v>308</v>
      </c>
      <c r="N81" s="25" t="s">
        <v>308</v>
      </c>
      <c r="O81" s="25" t="s">
        <v>308</v>
      </c>
      <c r="P81" s="25" t="s">
        <v>308</v>
      </c>
      <c r="Q81" s="25" t="s">
        <v>308</v>
      </c>
      <c r="R81" s="25" t="s">
        <v>308</v>
      </c>
      <c r="S81" s="25" t="s">
        <v>308</v>
      </c>
      <c r="T81" s="25" t="s">
        <v>308</v>
      </c>
      <c r="U81" s="25" t="s">
        <v>308</v>
      </c>
      <c r="V81" s="25" t="s">
        <v>308</v>
      </c>
      <c r="W81" s="25" t="s">
        <v>308</v>
      </c>
      <c r="X81" s="25" t="s">
        <v>308</v>
      </c>
      <c r="Y81" s="25" t="s">
        <v>308</v>
      </c>
      <c r="Z81" s="25" t="s">
        <v>308</v>
      </c>
      <c r="AA81" s="25" t="s">
        <v>308</v>
      </c>
      <c r="AB81" s="25" t="s">
        <v>308</v>
      </c>
      <c r="AC81" s="25" t="s">
        <v>308</v>
      </c>
      <c r="AD81" s="25" t="s">
        <v>308</v>
      </c>
      <c r="AE81" s="25" t="s">
        <v>308</v>
      </c>
      <c r="AF81" s="25" t="s">
        <v>308</v>
      </c>
      <c r="AG81" s="25" t="s">
        <v>308</v>
      </c>
      <c r="AH81" s="25" t="s">
        <v>308</v>
      </c>
      <c r="AI81" s="183" t="s">
        <v>308</v>
      </c>
    </row>
    <row r="82" spans="1:35" ht="15" hidden="1" customHeight="1" x14ac:dyDescent="0.2">
      <c r="A82" s="136" t="s">
        <v>1862</v>
      </c>
      <c r="B82" s="136"/>
      <c r="C82" s="136"/>
      <c r="D82" s="136"/>
      <c r="AI82" s="184"/>
    </row>
    <row r="83" spans="1:35" ht="15" customHeight="1" x14ac:dyDescent="0.2">
      <c r="A83" s="1">
        <f>A3</f>
        <v>15</v>
      </c>
      <c r="B83" s="1">
        <f t="shared" ref="B83:K83" si="83">B3</f>
        <v>27</v>
      </c>
      <c r="C83" s="1">
        <f t="shared" si="83"/>
        <v>2605</v>
      </c>
      <c r="D83" s="1" t="str">
        <f t="shared" si="83"/>
        <v>CV</v>
      </c>
      <c r="E83" s="1" t="str">
        <f t="shared" si="83"/>
        <v>P1</v>
      </c>
      <c r="F83" s="1" t="str">
        <f t="shared" si="83"/>
        <v>CLO</v>
      </c>
      <c r="G83" s="1" t="str">
        <f t="shared" si="83"/>
        <v>P</v>
      </c>
      <c r="H83" s="1" t="str">
        <f t="shared" si="83"/>
        <v>15 P CLO</v>
      </c>
      <c r="I83" s="137">
        <f t="shared" si="83"/>
        <v>37.951549999999983</v>
      </c>
      <c r="J83" s="3">
        <f t="shared" si="83"/>
        <v>4.216838888888887</v>
      </c>
      <c r="K83" s="1">
        <f t="shared" si="83"/>
        <v>7</v>
      </c>
      <c r="L83" s="1" t="str">
        <f>IFERROR(VLOOKUP(L3,'CODIGOS D'!$A$2:$S$451,13,FALSE),"")</f>
        <v/>
      </c>
      <c r="M83" s="1" t="str">
        <f>IFERROR(VLOOKUP(M3,'CODIGOS D'!$A$2:$S$451,13,FALSE),"")</f>
        <v/>
      </c>
      <c r="N83" s="1" t="str">
        <f>IFERROR(VLOOKUP(N3,'CODIGOS D'!$A$2:$S$451,13,FALSE),"")</f>
        <v/>
      </c>
      <c r="O83" s="1" t="str">
        <f>IFERROR(VLOOKUP(O3,'CODIGOS D'!$A$2:$S$451,13,FALSE),"")</f>
        <v/>
      </c>
      <c r="P83" s="1" t="str">
        <f>IFERROR(VLOOKUP(P3,'CODIGOS D'!$A$2:$S$451,13,FALSE),"")</f>
        <v>Oxido de nonilfenoletileno</v>
      </c>
      <c r="Q83" s="1" t="str">
        <f>IFERROR(VLOOKUP(Q3,'CODIGOS D'!$A$2:$S$451,13,FALSE),"")</f>
        <v/>
      </c>
      <c r="R83" s="1" t="str">
        <f>IFERROR(VLOOKUP(R3,'CODIGOS D'!$A$2:$S$451,13,FALSE),"")</f>
        <v/>
      </c>
      <c r="S83" s="1" t="str">
        <f>IFERROR(VLOOKUP(S3,'CODIGOS D'!$A$2:$S$451,13,FALSE),"")</f>
        <v/>
      </c>
      <c r="T83" s="1" t="str">
        <f>IFERROR(VLOOKUP(T3,'CODIGOS D'!$A$2:$S$451,13,FALSE),"")</f>
        <v/>
      </c>
      <c r="U83" s="1" t="str">
        <f>IFERROR(VLOOKUP(U3,'CODIGOS D'!$A$2:$S$451,13,FALSE),"")</f>
        <v/>
      </c>
      <c r="V83" s="1" t="str">
        <f>IFERROR(VLOOKUP(V3,'CODIGOS D'!$A$2:$S$451,13,FALSE),"")</f>
        <v/>
      </c>
      <c r="W83" s="1" t="str">
        <f>IFERROR(VLOOKUP(W3,'CODIGOS D'!$A$2:$S$451,13,FALSE),"")</f>
        <v/>
      </c>
      <c r="X83" s="1" t="str">
        <f>IFERROR(VLOOKUP(X3,'CODIGOS D'!$A$2:$S$451,13,FALSE),"")</f>
        <v/>
      </c>
      <c r="Y83" s="1" t="str">
        <f>IFERROR(VLOOKUP(Y3,'CODIGOS D'!$A$2:$S$451,13,FALSE),"")</f>
        <v/>
      </c>
      <c r="Z83" s="1" t="str">
        <f>IFERROR(VLOOKUP(Z3,'CODIGOS D'!$A$2:$S$451,13,FALSE),"")</f>
        <v/>
      </c>
      <c r="AA83" s="1" t="str">
        <f>IFERROR(VLOOKUP(AA3,'CODIGOS D'!$A$2:$S$451,13,FALSE),"")</f>
        <v/>
      </c>
      <c r="AB83" s="1" t="str">
        <f>IFERROR(VLOOKUP(AB3,'CODIGOS D'!$A$2:$S$451,13,FALSE),"")</f>
        <v/>
      </c>
      <c r="AC83" s="1" t="str">
        <f>IFERROR(VLOOKUP(AC3,'CODIGOS D'!$A$2:$S$451,13,FALSE),"")</f>
        <v/>
      </c>
      <c r="AD83" s="1" t="str">
        <f>IFERROR(VLOOKUP(AD3,'CODIGOS D'!$A$2:$S$451,13,FALSE),"")</f>
        <v/>
      </c>
      <c r="AE83" s="1" t="str">
        <f>IFERROR(VLOOKUP(AE3,'CODIGOS D'!$A$2:$S$451,13,FALSE),"")</f>
        <v/>
      </c>
      <c r="AF83" s="1" t="str">
        <f>IFERROR(VLOOKUP(AF3,'CODIGOS D'!$A$2:$S$451,13,FALSE),"")</f>
        <v/>
      </c>
      <c r="AG83" s="1" t="str">
        <f>IFERROR(VLOOKUP(AG3,'CODIGOS D'!$A$2:$S$451,13,FALSE),"")</f>
        <v/>
      </c>
      <c r="AH83" s="1" t="str">
        <f>IFERROR(VLOOKUP(AH3,'CODIGOS D'!$A$2:$S$451,13,FALSE),"")</f>
        <v/>
      </c>
      <c r="AI83" s="89">
        <f>AI3</f>
        <v>0.60000000000000009</v>
      </c>
    </row>
    <row r="84" spans="1:35" s="32" customFormat="1" ht="15" customHeight="1" x14ac:dyDescent="0.2">
      <c r="A84" s="30">
        <f t="shared" ref="A84:K147" si="84">A4</f>
        <v>12</v>
      </c>
      <c r="B84" s="30">
        <f t="shared" si="84"/>
        <v>5</v>
      </c>
      <c r="C84" s="30">
        <f t="shared" si="84"/>
        <v>2608</v>
      </c>
      <c r="D84" s="30" t="str">
        <f t="shared" si="84"/>
        <v>CV</v>
      </c>
      <c r="E84" s="30" t="str">
        <f t="shared" si="84"/>
        <v>P3</v>
      </c>
      <c r="F84" s="30" t="str">
        <f t="shared" si="84"/>
        <v>XL</v>
      </c>
      <c r="G84" s="30" t="str">
        <f t="shared" si="84"/>
        <v>P</v>
      </c>
      <c r="H84" s="30" t="str">
        <f t="shared" si="84"/>
        <v>12 P XL</v>
      </c>
      <c r="I84" s="36">
        <f t="shared" si="84"/>
        <v>33.287049999999979</v>
      </c>
      <c r="J84" s="89">
        <f t="shared" si="84"/>
        <v>3.698561111111109</v>
      </c>
      <c r="K84" s="30">
        <f t="shared" si="84"/>
        <v>50</v>
      </c>
      <c r="L84" s="30" t="str">
        <f>IFERROR(VLOOKUP(L4,'CODIGOS D'!$A$2:$S$451,13,FALSE),"")</f>
        <v>Oxido de calcio</v>
      </c>
      <c r="M84" s="30" t="str">
        <f>IFERROR(VLOOKUP(M4,'CODIGOS D'!$A$2:$S$451,13,FALSE),"")</f>
        <v/>
      </c>
      <c r="N84" s="30" t="str">
        <f>IFERROR(VLOOKUP(N4,'CODIGOS D'!$A$2:$S$451,13,FALSE),"")</f>
        <v/>
      </c>
      <c r="O84" s="30" t="str">
        <f>IFERROR(VLOOKUP(O4,'CODIGOS D'!$A$2:$S$451,13,FALSE),"")</f>
        <v/>
      </c>
      <c r="P84" s="30" t="str">
        <f>IFERROR(VLOOKUP(P4,'CODIGOS D'!$A$2:$S$451,13,FALSE),"")</f>
        <v/>
      </c>
      <c r="Q84" s="30" t="str">
        <f>IFERROR(VLOOKUP(Q4,'CODIGOS D'!$A$2:$S$451,13,FALSE),"")</f>
        <v/>
      </c>
      <c r="R84" s="30" t="str">
        <f>IFERROR(VLOOKUP(R4,'CODIGOS D'!$A$2:$S$451,13,FALSE),"")</f>
        <v/>
      </c>
      <c r="S84" s="30" t="str">
        <f>IFERROR(VLOOKUP(S4,'CODIGOS D'!$A$2:$S$451,13,FALSE),"")</f>
        <v/>
      </c>
      <c r="T84" s="30" t="str">
        <f>IFERROR(VLOOKUP(T4,'CODIGOS D'!$A$2:$S$451,13,FALSE),"")</f>
        <v/>
      </c>
      <c r="U84" s="30" t="str">
        <f>IFERROR(VLOOKUP(U4,'CODIGOS D'!$A$2:$S$451,13,FALSE),"")</f>
        <v/>
      </c>
      <c r="V84" s="30" t="str">
        <f>IFERROR(VLOOKUP(V4,'CODIGOS D'!$A$2:$S$451,13,FALSE),"")</f>
        <v/>
      </c>
      <c r="W84" s="30" t="str">
        <f>IFERROR(VLOOKUP(W4,'CODIGOS D'!$A$2:$S$451,13,FALSE),"")</f>
        <v/>
      </c>
      <c r="X84" s="30" t="str">
        <f>IFERROR(VLOOKUP(X4,'CODIGOS D'!$A$2:$S$451,13,FALSE),"")</f>
        <v/>
      </c>
      <c r="Y84" s="30" t="str">
        <f>IFERROR(VLOOKUP(Y4,'CODIGOS D'!$A$2:$S$451,13,FALSE),"")</f>
        <v/>
      </c>
      <c r="Z84" s="30" t="str">
        <f>IFERROR(VLOOKUP(Z4,'CODIGOS D'!$A$2:$S$451,13,FALSE),"")</f>
        <v/>
      </c>
      <c r="AA84" s="30" t="str">
        <f>IFERROR(VLOOKUP(AA4,'CODIGOS D'!$A$2:$S$451,13,FALSE),"")</f>
        <v/>
      </c>
      <c r="AB84" s="30" t="str">
        <f>IFERROR(VLOOKUP(AB4,'CODIGOS D'!$A$2:$S$451,13,FALSE),"")</f>
        <v/>
      </c>
      <c r="AC84" s="30" t="str">
        <f>IFERROR(VLOOKUP(AC4,'CODIGOS D'!$A$2:$S$451,13,FALSE),"")</f>
        <v/>
      </c>
      <c r="AD84" s="30" t="str">
        <f>IFERROR(VLOOKUP(AD4,'CODIGOS D'!$A$2:$S$451,13,FALSE),"")</f>
        <v/>
      </c>
      <c r="AE84" s="1" t="str">
        <f>IFERROR(VLOOKUP(AE4,'CODIGOS D'!$A$2:$S$451,13,FALSE),"")</f>
        <v/>
      </c>
      <c r="AF84" s="1" t="str">
        <f>IFERROR(VLOOKUP(AF4,'CODIGOS D'!$A$2:$S$451,13,FALSE),"")</f>
        <v/>
      </c>
      <c r="AG84" s="1" t="str">
        <f>IFERROR(VLOOKUP(AG4,'CODIGOS D'!$A$2:$S$451,13,FALSE),"")</f>
        <v/>
      </c>
      <c r="AH84" s="1" t="str">
        <f>IFERROR(VLOOKUP(AH4,'CODIGOS D'!$A$2:$S$451,13,FALSE),"")</f>
        <v/>
      </c>
      <c r="AI84" s="89">
        <f t="shared" ref="AI84:AI147" si="85">AI4</f>
        <v>1.1000000000000001</v>
      </c>
    </row>
    <row r="85" spans="1:35" s="32" customFormat="1" ht="15" customHeight="1" x14ac:dyDescent="0.2">
      <c r="A85" s="30">
        <f t="shared" si="84"/>
        <v>12</v>
      </c>
      <c r="B85" s="30">
        <f t="shared" si="84"/>
        <v>15</v>
      </c>
      <c r="C85" s="30">
        <f t="shared" si="84"/>
        <v>2608</v>
      </c>
      <c r="D85" s="30" t="str">
        <f t="shared" si="84"/>
        <v>CV</v>
      </c>
      <c r="E85" s="30" t="str">
        <f t="shared" si="84"/>
        <v>P3</v>
      </c>
      <c r="F85" s="30" t="str">
        <f t="shared" si="84"/>
        <v>XL</v>
      </c>
      <c r="G85" s="30" t="str">
        <f t="shared" si="84"/>
        <v>P</v>
      </c>
      <c r="H85" s="30" t="str">
        <f t="shared" si="84"/>
        <v>12 P XL</v>
      </c>
      <c r="I85" s="36">
        <f t="shared" si="84"/>
        <v>39.546833333333353</v>
      </c>
      <c r="J85" s="89">
        <f t="shared" si="84"/>
        <v>4.3940925925925951</v>
      </c>
      <c r="K85" s="30">
        <f t="shared" si="84"/>
        <v>50</v>
      </c>
      <c r="L85" s="10" t="str">
        <f>IFERROR(VLOOKUP(L5,'CODIGOS D'!$A$2:$S$451,13,FALSE),"")</f>
        <v>Oxido de calcio</v>
      </c>
      <c r="M85" s="30" t="str">
        <f>IFERROR(VLOOKUP(M5,'CODIGOS D'!$A$2:$S$451,13,FALSE),"")</f>
        <v/>
      </c>
      <c r="N85" s="30" t="str">
        <f>IFERROR(VLOOKUP(N5,'CODIGOS D'!$A$2:$S$451,13,FALSE),"")</f>
        <v/>
      </c>
      <c r="O85" s="30" t="str">
        <f>IFERROR(VLOOKUP(O5,'CODIGOS D'!$A$2:$S$451,13,FALSE),"")</f>
        <v/>
      </c>
      <c r="P85" s="30" t="str">
        <f>IFERROR(VLOOKUP(P5,'CODIGOS D'!$A$2:$S$451,13,FALSE),"")</f>
        <v/>
      </c>
      <c r="Q85" s="30" t="str">
        <f>IFERROR(VLOOKUP(Q5,'CODIGOS D'!$A$2:$S$451,13,FALSE),"")</f>
        <v/>
      </c>
      <c r="R85" s="30" t="str">
        <f>IFERROR(VLOOKUP(R5,'CODIGOS D'!$A$2:$S$451,13,FALSE),"")</f>
        <v/>
      </c>
      <c r="S85" s="30" t="str">
        <f>IFERROR(VLOOKUP(S5,'CODIGOS D'!$A$2:$S$451,13,FALSE),"")</f>
        <v/>
      </c>
      <c r="T85" s="30" t="str">
        <f>IFERROR(VLOOKUP(T5,'CODIGOS D'!$A$2:$S$451,13,FALSE),"")</f>
        <v/>
      </c>
      <c r="U85" s="30" t="str">
        <f>IFERROR(VLOOKUP(U5,'CODIGOS D'!$A$2:$S$451,13,FALSE),"")</f>
        <v/>
      </c>
      <c r="V85" s="30" t="str">
        <f>IFERROR(VLOOKUP(V5,'CODIGOS D'!$A$2:$S$451,13,FALSE),"")</f>
        <v/>
      </c>
      <c r="W85" s="30" t="str">
        <f>IFERROR(VLOOKUP(W5,'CODIGOS D'!$A$2:$S$451,13,FALSE),"")</f>
        <v/>
      </c>
      <c r="X85" s="30" t="str">
        <f>IFERROR(VLOOKUP(X5,'CODIGOS D'!$A$2:$S$451,13,FALSE),"")</f>
        <v/>
      </c>
      <c r="Y85" s="30" t="str">
        <f>IFERROR(VLOOKUP(Y5,'CODIGOS D'!$A$2:$S$451,13,FALSE),"")</f>
        <v/>
      </c>
      <c r="Z85" s="30" t="str">
        <f>IFERROR(VLOOKUP(Z5,'CODIGOS D'!$A$2:$S$451,13,FALSE),"")</f>
        <v/>
      </c>
      <c r="AA85" s="30" t="str">
        <f>IFERROR(VLOOKUP(AA5,'CODIGOS D'!$A$2:$S$451,13,FALSE),"")</f>
        <v/>
      </c>
      <c r="AB85" s="30" t="str">
        <f>IFERROR(VLOOKUP(AB5,'CODIGOS D'!$A$2:$S$451,13,FALSE),"")</f>
        <v/>
      </c>
      <c r="AC85" s="30" t="str">
        <f>IFERROR(VLOOKUP(AC5,'CODIGOS D'!$A$2:$S$451,13,FALSE),"")</f>
        <v/>
      </c>
      <c r="AD85" s="30" t="str">
        <f>IFERROR(VLOOKUP(AD5,'CODIGOS D'!$A$2:$S$451,13,FALSE),"")</f>
        <v/>
      </c>
      <c r="AE85" s="1" t="str">
        <f>IFERROR(VLOOKUP(AE5,'CODIGOS D'!$A$2:$S$451,13,FALSE),"")</f>
        <v/>
      </c>
      <c r="AF85" s="1" t="str">
        <f>IFERROR(VLOOKUP(AF5,'CODIGOS D'!$A$2:$S$451,13,FALSE),"")</f>
        <v/>
      </c>
      <c r="AG85" s="1" t="str">
        <f>IFERROR(VLOOKUP(AG5,'CODIGOS D'!$A$2:$S$451,13,FALSE),"")</f>
        <v/>
      </c>
      <c r="AH85" s="1" t="str">
        <f>IFERROR(VLOOKUP(AH5,'CODIGOS D'!$A$2:$S$451,13,FALSE),"")</f>
        <v/>
      </c>
      <c r="AI85" s="89">
        <f t="shared" si="85"/>
        <v>1.1000000000000001</v>
      </c>
    </row>
    <row r="86" spans="1:35" s="32" customFormat="1" ht="15" customHeight="1" x14ac:dyDescent="0.2">
      <c r="A86" s="30">
        <f t="shared" si="84"/>
        <v>12</v>
      </c>
      <c r="B86" s="30">
        <f t="shared" si="84"/>
        <v>22</v>
      </c>
      <c r="C86" s="30">
        <f t="shared" si="84"/>
        <v>2608</v>
      </c>
      <c r="D86" s="30" t="str">
        <f t="shared" si="84"/>
        <v>CV</v>
      </c>
      <c r="E86" s="30" t="str">
        <f t="shared" si="84"/>
        <v>S</v>
      </c>
      <c r="F86" s="30" t="str">
        <f t="shared" si="84"/>
        <v>XL</v>
      </c>
      <c r="G86" s="30" t="str">
        <f t="shared" si="84"/>
        <v>S</v>
      </c>
      <c r="H86" s="30" t="str">
        <f t="shared" si="84"/>
        <v>12 S XL</v>
      </c>
      <c r="I86" s="36">
        <f t="shared" si="84"/>
        <v>39.072000000000031</v>
      </c>
      <c r="J86" s="89">
        <f t="shared" si="84"/>
        <v>4.3413333333333366</v>
      </c>
      <c r="K86" s="30">
        <f t="shared" si="84"/>
        <v>7</v>
      </c>
      <c r="L86" s="10" t="str">
        <f>IFERROR(VLOOKUP(L6,'CODIGOS D'!$A$2:$S$451,13,FALSE),"")</f>
        <v/>
      </c>
      <c r="M86" s="30" t="str">
        <f>IFERROR(VLOOKUP(M6,'CODIGOS D'!$A$2:$S$451,13,FALSE),"")</f>
        <v/>
      </c>
      <c r="N86" s="30" t="str">
        <f>IFERROR(VLOOKUP(N6,'CODIGOS D'!$A$2:$S$451,13,FALSE),"")</f>
        <v/>
      </c>
      <c r="O86" s="30" t="str">
        <f>IFERROR(VLOOKUP(O6,'CODIGOS D'!$A$2:$S$451,13,FALSE),"")</f>
        <v/>
      </c>
      <c r="P86" s="30" t="str">
        <f>IFERROR(VLOOKUP(P6,'CODIGOS D'!$A$2:$S$451,13,FALSE),"")</f>
        <v>Oxido de nonilfenoletileno</v>
      </c>
      <c r="Q86" s="30" t="str">
        <f>IFERROR(VLOOKUP(Q6,'CODIGOS D'!$A$2:$S$451,13,FALSE),"")</f>
        <v/>
      </c>
      <c r="R86" s="30" t="str">
        <f>IFERROR(VLOOKUP(R6,'CODIGOS D'!$A$2:$S$451,13,FALSE),"")</f>
        <v/>
      </c>
      <c r="S86" s="30" t="str">
        <f>IFERROR(VLOOKUP(S6,'CODIGOS D'!$A$2:$S$451,13,FALSE),"")</f>
        <v/>
      </c>
      <c r="T86" s="30" t="str">
        <f>IFERROR(VLOOKUP(T6,'CODIGOS D'!$A$2:$S$451,13,FALSE),"")</f>
        <v/>
      </c>
      <c r="U86" s="30" t="str">
        <f>IFERROR(VLOOKUP(U6,'CODIGOS D'!$A$2:$S$451,13,FALSE),"")</f>
        <v/>
      </c>
      <c r="V86" s="30" t="str">
        <f>IFERROR(VLOOKUP(V6,'CODIGOS D'!$A$2:$S$451,13,FALSE),"")</f>
        <v/>
      </c>
      <c r="W86" s="30" t="str">
        <f>IFERROR(VLOOKUP(W6,'CODIGOS D'!$A$2:$S$451,13,FALSE),"")</f>
        <v/>
      </c>
      <c r="X86" s="30" t="str">
        <f>IFERROR(VLOOKUP(X6,'CODIGOS D'!$A$2:$S$451,13,FALSE),"")</f>
        <v/>
      </c>
      <c r="Y86" s="30" t="str">
        <f>IFERROR(VLOOKUP(Y6,'CODIGOS D'!$A$2:$S$451,13,FALSE),"")</f>
        <v/>
      </c>
      <c r="Z86" s="30" t="str">
        <f>IFERROR(VLOOKUP(Z6,'CODIGOS D'!$A$2:$S$451,13,FALSE),"")</f>
        <v/>
      </c>
      <c r="AA86" s="30" t="str">
        <f>IFERROR(VLOOKUP(AA6,'CODIGOS D'!$A$2:$S$451,13,FALSE),"")</f>
        <v/>
      </c>
      <c r="AB86" s="30" t="str">
        <f>IFERROR(VLOOKUP(AB6,'CODIGOS D'!$A$2:$S$451,13,FALSE),"")</f>
        <v/>
      </c>
      <c r="AC86" s="30" t="str">
        <f>IFERROR(VLOOKUP(AC6,'CODIGOS D'!$A$2:$S$451,13,FALSE),"")</f>
        <v/>
      </c>
      <c r="AD86" s="30" t="str">
        <f>IFERROR(VLOOKUP(AD6,'CODIGOS D'!$A$2:$S$451,13,FALSE),"")</f>
        <v/>
      </c>
      <c r="AE86" s="1" t="str">
        <f>IFERROR(VLOOKUP(AE6,'CODIGOS D'!$A$2:$S$451,13,FALSE),"")</f>
        <v/>
      </c>
      <c r="AF86" s="1" t="str">
        <f>IFERROR(VLOOKUP(AF6,'CODIGOS D'!$A$2:$S$451,13,FALSE),"")</f>
        <v/>
      </c>
      <c r="AG86" s="1" t="str">
        <f>IFERROR(VLOOKUP(AG6,'CODIGOS D'!$A$2:$S$451,13,FALSE),"")</f>
        <v/>
      </c>
      <c r="AH86" s="1" t="str">
        <f>IFERROR(VLOOKUP(AH6,'CODIGOS D'!$A$2:$S$451,13,FALSE),"")</f>
        <v/>
      </c>
      <c r="AI86" s="89">
        <f t="shared" si="85"/>
        <v>1.7</v>
      </c>
    </row>
    <row r="87" spans="1:35" ht="15" customHeight="1" x14ac:dyDescent="0.2">
      <c r="A87" s="1">
        <f t="shared" si="84"/>
        <v>12</v>
      </c>
      <c r="B87" s="1">
        <f t="shared" si="84"/>
        <v>23</v>
      </c>
      <c r="C87" s="1">
        <f t="shared" si="84"/>
        <v>2608</v>
      </c>
      <c r="D87" s="1" t="str">
        <f>D7</f>
        <v>CV</v>
      </c>
      <c r="E87" s="1" t="str">
        <f t="shared" si="84"/>
        <v>P3</v>
      </c>
      <c r="F87" s="1" t="str">
        <f t="shared" si="84"/>
        <v>XL</v>
      </c>
      <c r="G87" s="1" t="str">
        <f t="shared" si="84"/>
        <v>P</v>
      </c>
      <c r="H87" s="1" t="str">
        <f t="shared" si="84"/>
        <v>12 P XL</v>
      </c>
      <c r="I87" s="137">
        <f t="shared" si="84"/>
        <v>38.975649999999966</v>
      </c>
      <c r="J87" s="3">
        <f t="shared" si="84"/>
        <v>4.3306277777777744</v>
      </c>
      <c r="K87" s="1">
        <f t="shared" si="84"/>
        <v>50</v>
      </c>
      <c r="L87" s="1" t="str">
        <f>IFERROR(VLOOKUP(L7,'CODIGOS D'!$A$2:$S$451,13,FALSE),"")</f>
        <v>Oxido de calcio</v>
      </c>
      <c r="M87" s="1" t="str">
        <f>IFERROR(VLOOKUP(M7,'CODIGOS D'!$A$2:$S$451,13,FALSE),"")</f>
        <v/>
      </c>
      <c r="N87" s="1" t="str">
        <f>IFERROR(VLOOKUP(N7,'CODIGOS D'!$A$2:$S$451,13,FALSE),"")</f>
        <v/>
      </c>
      <c r="O87" s="1" t="str">
        <f>IFERROR(VLOOKUP(O7,'CODIGOS D'!$A$2:$S$451,13,FALSE),"")</f>
        <v/>
      </c>
      <c r="P87" s="1" t="str">
        <f>IFERROR(VLOOKUP(P7,'CODIGOS D'!$A$2:$S$451,13,FALSE),"")</f>
        <v/>
      </c>
      <c r="Q87" s="1" t="str">
        <f>IFERROR(VLOOKUP(Q7,'CODIGOS D'!$A$2:$S$451,13,FALSE),"")</f>
        <v/>
      </c>
      <c r="R87" s="1" t="str">
        <f>IFERROR(VLOOKUP(R7,'CODIGOS D'!$A$2:$S$451,13,FALSE),"")</f>
        <v/>
      </c>
      <c r="S87" s="1" t="str">
        <f>IFERROR(VLOOKUP(S7,'CODIGOS D'!$A$2:$S$451,13,FALSE),"")</f>
        <v/>
      </c>
      <c r="T87" s="1" t="str">
        <f>IFERROR(VLOOKUP(T7,'CODIGOS D'!$A$2:$S$451,13,FALSE),"")</f>
        <v/>
      </c>
      <c r="U87" s="1" t="str">
        <f>IFERROR(VLOOKUP(U7,'CODIGOS D'!$A$2:$S$451,13,FALSE),"")</f>
        <v/>
      </c>
      <c r="V87" s="1" t="str">
        <f>IFERROR(VLOOKUP(V7,'CODIGOS D'!$A$2:$S$451,13,FALSE),"")</f>
        <v/>
      </c>
      <c r="W87" s="1" t="str">
        <f>IFERROR(VLOOKUP(W7,'CODIGOS D'!$A$2:$S$451,13,FALSE),"")</f>
        <v/>
      </c>
      <c r="X87" s="1" t="str">
        <f>IFERROR(VLOOKUP(X7,'CODIGOS D'!$A$2:$S$451,13,FALSE),"")</f>
        <v/>
      </c>
      <c r="Y87" s="1" t="str">
        <f>IFERROR(VLOOKUP(Y7,'CODIGOS D'!$A$2:$S$451,13,FALSE),"")</f>
        <v/>
      </c>
      <c r="Z87" s="1" t="str">
        <f>IFERROR(VLOOKUP(Z7,'CODIGOS D'!$A$2:$S$451,13,FALSE),"")</f>
        <v/>
      </c>
      <c r="AA87" s="1" t="str">
        <f>IFERROR(VLOOKUP(AA7,'CODIGOS D'!$A$2:$S$451,13,FALSE),"")</f>
        <v/>
      </c>
      <c r="AB87" s="1" t="str">
        <f>IFERROR(VLOOKUP(AB7,'CODIGOS D'!$A$2:$S$451,13,FALSE),"")</f>
        <v/>
      </c>
      <c r="AC87" s="1" t="str">
        <f>IFERROR(VLOOKUP(AC7,'CODIGOS D'!$A$2:$S$451,13,FALSE),"")</f>
        <v/>
      </c>
      <c r="AD87" s="1" t="str">
        <f>IFERROR(VLOOKUP(AD7,'CODIGOS D'!$A$2:$S$451,13,FALSE),"")</f>
        <v/>
      </c>
      <c r="AE87" s="1" t="str">
        <f>IFERROR(VLOOKUP(AE7,'CODIGOS D'!$A$2:$S$451,13,FALSE),"")</f>
        <v/>
      </c>
      <c r="AF87" s="1" t="str">
        <f>IFERROR(VLOOKUP(AF7,'CODIGOS D'!$A$2:$S$451,13,FALSE),"")</f>
        <v/>
      </c>
      <c r="AG87" s="1" t="str">
        <f>IFERROR(VLOOKUP(AG7,'CODIGOS D'!$A$2:$S$451,13,FALSE),"")</f>
        <v/>
      </c>
      <c r="AH87" s="1" t="str">
        <f>IFERROR(VLOOKUP(AH7,'CODIGOS D'!$A$2:$S$451,13,FALSE),"")</f>
        <v/>
      </c>
      <c r="AI87" s="89">
        <f t="shared" si="85"/>
        <v>1.1000000000000001</v>
      </c>
    </row>
    <row r="88" spans="1:35" ht="15" customHeight="1" x14ac:dyDescent="0.2">
      <c r="A88" s="1">
        <f t="shared" si="84"/>
        <v>11</v>
      </c>
      <c r="B88" s="1">
        <f t="shared" si="84"/>
        <v>4</v>
      </c>
      <c r="C88" s="1">
        <f t="shared" si="84"/>
        <v>2609</v>
      </c>
      <c r="D88" s="1" t="str">
        <f>D8</f>
        <v>CV</v>
      </c>
      <c r="E88" s="1" t="str">
        <f t="shared" si="84"/>
        <v>P3</v>
      </c>
      <c r="F88" s="1" t="str">
        <f t="shared" si="84"/>
        <v>XL</v>
      </c>
      <c r="G88" s="1" t="str">
        <f t="shared" si="84"/>
        <v>P</v>
      </c>
      <c r="H88" s="1" t="str">
        <f t="shared" si="84"/>
        <v>11 P XL</v>
      </c>
      <c r="I88" s="137">
        <f t="shared" si="84"/>
        <v>31.330999999999975</v>
      </c>
      <c r="J88" s="3">
        <f t="shared" si="84"/>
        <v>3.4812222222222196</v>
      </c>
      <c r="K88" s="1">
        <f t="shared" si="84"/>
        <v>7</v>
      </c>
      <c r="L88" s="1" t="str">
        <f>IFERROR(VLOOKUP(L8,'CODIGOS D'!$A$2:$S$451,13,FALSE),"")</f>
        <v/>
      </c>
      <c r="M88" s="1" t="str">
        <f>IFERROR(VLOOKUP(M8,'CODIGOS D'!$A$2:$S$451,13,FALSE),"")</f>
        <v/>
      </c>
      <c r="N88" s="1" t="str">
        <f>IFERROR(VLOOKUP(N8,'CODIGOS D'!$A$2:$S$451,13,FALSE),"")</f>
        <v/>
      </c>
      <c r="O88" s="1" t="str">
        <f>IFERROR(VLOOKUP(O8,'CODIGOS D'!$A$2:$S$451,13,FALSE),"")</f>
        <v/>
      </c>
      <c r="P88" s="1" t="str">
        <f>IFERROR(VLOOKUP(P8,'CODIGOS D'!$A$2:$S$451,13,FALSE),"")</f>
        <v>Oxido de nonilfenoletileno</v>
      </c>
      <c r="Q88" s="1" t="str">
        <f>IFERROR(VLOOKUP(Q8,'CODIGOS D'!$A$2:$S$451,13,FALSE),"")</f>
        <v/>
      </c>
      <c r="R88" s="1" t="str">
        <f>IFERROR(VLOOKUP(R8,'CODIGOS D'!$A$2:$S$451,13,FALSE),"")</f>
        <v/>
      </c>
      <c r="S88" s="1" t="str">
        <f>IFERROR(VLOOKUP(S8,'CODIGOS D'!$A$2:$S$451,13,FALSE),"")</f>
        <v/>
      </c>
      <c r="T88" s="1" t="str">
        <f>IFERROR(VLOOKUP(T8,'CODIGOS D'!$A$2:$S$451,13,FALSE),"")</f>
        <v/>
      </c>
      <c r="U88" s="1" t="str">
        <f>IFERROR(VLOOKUP(U8,'CODIGOS D'!$A$2:$S$451,13,FALSE),"")</f>
        <v/>
      </c>
      <c r="V88" s="1" t="str">
        <f>IFERROR(VLOOKUP(V8,'CODIGOS D'!$A$2:$S$451,13,FALSE),"")</f>
        <v/>
      </c>
      <c r="W88" s="1" t="str">
        <f>IFERROR(VLOOKUP(W8,'CODIGOS D'!$A$2:$S$451,13,FALSE),"")</f>
        <v/>
      </c>
      <c r="X88" s="1" t="str">
        <f>IFERROR(VLOOKUP(X8,'CODIGOS D'!$A$2:$S$451,13,FALSE),"")</f>
        <v/>
      </c>
      <c r="Y88" s="1" t="str">
        <f>IFERROR(VLOOKUP(Y8,'CODIGOS D'!$A$2:$S$451,13,FALSE),"")</f>
        <v/>
      </c>
      <c r="Z88" s="1" t="str">
        <f>IFERROR(VLOOKUP(Z8,'CODIGOS D'!$A$2:$S$451,13,FALSE),"")</f>
        <v/>
      </c>
      <c r="AA88" s="1" t="str">
        <f>IFERROR(VLOOKUP(AA8,'CODIGOS D'!$A$2:$S$451,13,FALSE),"")</f>
        <v/>
      </c>
      <c r="AB88" s="1" t="str">
        <f>IFERROR(VLOOKUP(AB8,'CODIGOS D'!$A$2:$S$451,13,FALSE),"")</f>
        <v/>
      </c>
      <c r="AC88" s="1" t="str">
        <f>IFERROR(VLOOKUP(AC8,'CODIGOS D'!$A$2:$S$451,13,FALSE),"")</f>
        <v/>
      </c>
      <c r="AD88" s="1" t="str">
        <f>IFERROR(VLOOKUP(AD8,'CODIGOS D'!$A$2:$S$451,13,FALSE),"")</f>
        <v/>
      </c>
      <c r="AE88" s="1" t="str">
        <f>IFERROR(VLOOKUP(AE8,'CODIGOS D'!$A$2:$S$451,13,FALSE),"")</f>
        <v/>
      </c>
      <c r="AF88" s="1" t="str">
        <f>IFERROR(VLOOKUP(AF8,'CODIGOS D'!$A$2:$S$451,13,FALSE),"")</f>
        <v/>
      </c>
      <c r="AG88" s="1" t="str">
        <f>IFERROR(VLOOKUP(AG8,'CODIGOS D'!$A$2:$S$451,13,FALSE),"")</f>
        <v/>
      </c>
      <c r="AH88" s="1" t="str">
        <f>IFERROR(VLOOKUP(AH8,'CODIGOS D'!$A$2:$S$451,13,FALSE),"")</f>
        <v/>
      </c>
      <c r="AI88" s="89">
        <f t="shared" si="85"/>
        <v>1.7</v>
      </c>
    </row>
    <row r="89" spans="1:35" s="32" customFormat="1" ht="15" customHeight="1" x14ac:dyDescent="0.2">
      <c r="A89" s="30">
        <f t="shared" si="84"/>
        <v>10</v>
      </c>
      <c r="B89" s="30">
        <f t="shared" si="84"/>
        <v>9</v>
      </c>
      <c r="C89" s="30">
        <f t="shared" si="84"/>
        <v>2610</v>
      </c>
      <c r="D89" s="30" t="str">
        <f t="shared" si="84"/>
        <v>CV</v>
      </c>
      <c r="E89" s="30" t="str">
        <f t="shared" si="84"/>
        <v>P3</v>
      </c>
      <c r="F89" s="30" t="str">
        <f t="shared" si="84"/>
        <v>XL</v>
      </c>
      <c r="G89" s="30" t="str">
        <f t="shared" si="84"/>
        <v>P</v>
      </c>
      <c r="H89" s="30" t="str">
        <f t="shared" si="84"/>
        <v>10 P XL</v>
      </c>
      <c r="I89" s="36">
        <f t="shared" si="84"/>
        <v>39.519683333333347</v>
      </c>
      <c r="J89" s="89">
        <f t="shared" si="84"/>
        <v>4.3910759259259278</v>
      </c>
      <c r="K89" s="30">
        <f t="shared" si="84"/>
        <v>10</v>
      </c>
      <c r="L89" s="10" t="str">
        <f>IFERROR(VLOOKUP(L9,'CODIGOS D'!$A$2:$S$451,13,FALSE),"")</f>
        <v>Sales de amonio cuaternario</v>
      </c>
      <c r="M89" s="30" t="str">
        <f>IFERROR(VLOOKUP(M9,'CODIGOS D'!$A$2:$S$451,13,FALSE),"")</f>
        <v/>
      </c>
      <c r="N89" s="30" t="str">
        <f>IFERROR(VLOOKUP(N9,'CODIGOS D'!$A$2:$S$451,13,FALSE),"")</f>
        <v/>
      </c>
      <c r="O89" s="30" t="str">
        <f>IFERROR(VLOOKUP(O9,'CODIGOS D'!$A$2:$S$451,13,FALSE),"")</f>
        <v/>
      </c>
      <c r="P89" s="30" t="str">
        <f>IFERROR(VLOOKUP(P9,'CODIGOS D'!$A$2:$S$451,13,FALSE),"")</f>
        <v>Oxido de nonilfenoletileno</v>
      </c>
      <c r="Q89" s="30" t="str">
        <f>IFERROR(VLOOKUP(Q9,'CODIGOS D'!$A$2:$S$451,13,FALSE),"")</f>
        <v/>
      </c>
      <c r="R89" s="30" t="str">
        <f>IFERROR(VLOOKUP(R9,'CODIGOS D'!$A$2:$S$451,13,FALSE),"")</f>
        <v/>
      </c>
      <c r="S89" s="30" t="str">
        <f>IFERROR(VLOOKUP(S9,'CODIGOS D'!$A$2:$S$451,13,FALSE),"")</f>
        <v/>
      </c>
      <c r="T89" s="30" t="str">
        <f>IFERROR(VLOOKUP(T9,'CODIGOS D'!$A$2:$S$451,13,FALSE),"")</f>
        <v/>
      </c>
      <c r="U89" s="30" t="str">
        <f>IFERROR(VLOOKUP(U9,'CODIGOS D'!$A$2:$S$451,13,FALSE),"")</f>
        <v/>
      </c>
      <c r="V89" s="30" t="str">
        <f>IFERROR(VLOOKUP(V9,'CODIGOS D'!$A$2:$S$451,13,FALSE),"")</f>
        <v/>
      </c>
      <c r="W89" s="30" t="str">
        <f>IFERROR(VLOOKUP(W9,'CODIGOS D'!$A$2:$S$451,13,FALSE),"")</f>
        <v/>
      </c>
      <c r="X89" s="30" t="str">
        <f>IFERROR(VLOOKUP(X9,'CODIGOS D'!$A$2:$S$451,13,FALSE),"")</f>
        <v/>
      </c>
      <c r="Y89" s="30" t="str">
        <f>IFERROR(VLOOKUP(Y9,'CODIGOS D'!$A$2:$S$451,13,FALSE),"")</f>
        <v/>
      </c>
      <c r="Z89" s="30" t="str">
        <f>IFERROR(VLOOKUP(Z9,'CODIGOS D'!$A$2:$S$451,13,FALSE),"")</f>
        <v/>
      </c>
      <c r="AA89" s="30" t="str">
        <f>IFERROR(VLOOKUP(AA9,'CODIGOS D'!$A$2:$S$451,13,FALSE),"")</f>
        <v/>
      </c>
      <c r="AB89" s="30" t="str">
        <f>IFERROR(VLOOKUP(AB9,'CODIGOS D'!$A$2:$S$451,13,FALSE),"")</f>
        <v/>
      </c>
      <c r="AC89" s="30" t="str">
        <f>IFERROR(VLOOKUP(AC9,'CODIGOS D'!$A$2:$S$451,13,FALSE),"")</f>
        <v/>
      </c>
      <c r="AD89" s="30" t="str">
        <f>IFERROR(VLOOKUP(AD9,'CODIGOS D'!$A$2:$S$451,13,FALSE),"")</f>
        <v/>
      </c>
      <c r="AE89" s="1" t="str">
        <f>IFERROR(VLOOKUP(AE9,'CODIGOS D'!$A$2:$S$451,13,FALSE),"")</f>
        <v/>
      </c>
      <c r="AF89" s="1" t="str">
        <f>IFERROR(VLOOKUP(AF9,'CODIGOS D'!$A$2:$S$451,13,FALSE),"")</f>
        <v/>
      </c>
      <c r="AG89" s="1" t="str">
        <f>IFERROR(VLOOKUP(AG9,'CODIGOS D'!$A$2:$S$451,13,FALSE),"")</f>
        <v/>
      </c>
      <c r="AH89" s="1" t="str">
        <f>IFERROR(VLOOKUP(AH9,'CODIGOS D'!$A$2:$S$451,13,FALSE),"")</f>
        <v/>
      </c>
      <c r="AI89" s="89">
        <f t="shared" si="85"/>
        <v>2.2000000000000002</v>
      </c>
    </row>
    <row r="90" spans="1:35" s="32" customFormat="1" ht="15" customHeight="1" x14ac:dyDescent="0.2">
      <c r="A90" s="30">
        <f t="shared" si="84"/>
        <v>10</v>
      </c>
      <c r="B90" s="30" t="str">
        <f t="shared" si="84"/>
        <v>26A</v>
      </c>
      <c r="C90" s="30">
        <f t="shared" si="84"/>
        <v>2610</v>
      </c>
      <c r="D90" s="30" t="str">
        <f t="shared" si="84"/>
        <v>CV</v>
      </c>
      <c r="E90" s="30" t="str">
        <f t="shared" si="84"/>
        <v>S</v>
      </c>
      <c r="F90" s="30" t="str">
        <f t="shared" si="84"/>
        <v>CLO</v>
      </c>
      <c r="G90" s="30" t="str">
        <f t="shared" si="84"/>
        <v>S</v>
      </c>
      <c r="H90" s="30" t="str">
        <f t="shared" si="84"/>
        <v>10 S CLO</v>
      </c>
      <c r="I90" s="36">
        <f t="shared" si="84"/>
        <v>16.150000000000002</v>
      </c>
      <c r="J90" s="89">
        <f t="shared" si="84"/>
        <v>1.7944444444444447</v>
      </c>
      <c r="K90" s="30">
        <f t="shared" si="84"/>
        <v>50</v>
      </c>
      <c r="L90" s="10" t="str">
        <f>IFERROR(VLOOKUP(L10,'CODIGOS D'!$A$2:$S$451,13,FALSE),"")</f>
        <v>Beauveria</v>
      </c>
      <c r="M90" s="30" t="str">
        <f>IFERROR(VLOOKUP(M10,'CODIGOS D'!$A$2:$S$451,13,FALSE),"")</f>
        <v/>
      </c>
      <c r="N90" s="30" t="str">
        <f>IFERROR(VLOOKUP(N10,'CODIGOS D'!$A$2:$S$451,13,FALSE),"")</f>
        <v/>
      </c>
      <c r="O90" s="30" t="str">
        <f>IFERROR(VLOOKUP(O10,'CODIGOS D'!$A$2:$S$451,13,FALSE),"")</f>
        <v/>
      </c>
      <c r="P90" s="30" t="str">
        <f>IFERROR(VLOOKUP(P10,'CODIGOS D'!$A$2:$S$451,13,FALSE),"")</f>
        <v>Paecilomyces</v>
      </c>
      <c r="Q90" s="30" t="str">
        <f>IFERROR(VLOOKUP(Q10,'CODIGOS D'!$A$2:$S$451,13,FALSE),"")</f>
        <v/>
      </c>
      <c r="R90" s="30" t="str">
        <f>IFERROR(VLOOKUP(R10,'CODIGOS D'!$A$2:$S$451,13,FALSE),"")</f>
        <v/>
      </c>
      <c r="S90" s="30" t="str">
        <f>IFERROR(VLOOKUP(S10,'CODIGOS D'!$A$2:$S$451,13,FALSE),"")</f>
        <v/>
      </c>
      <c r="T90" s="30" t="str">
        <f>IFERROR(VLOOKUP(T10,'CODIGOS D'!$A$2:$S$451,13,FALSE),"")</f>
        <v/>
      </c>
      <c r="U90" s="30" t="str">
        <f>IFERROR(VLOOKUP(U10,'CODIGOS D'!$A$2:$S$451,13,FALSE),"")</f>
        <v/>
      </c>
      <c r="V90" s="30" t="str">
        <f>IFERROR(VLOOKUP(V10,'CODIGOS D'!$A$2:$S$451,13,FALSE),"")</f>
        <v/>
      </c>
      <c r="W90" s="30" t="str">
        <f>IFERROR(VLOOKUP(W10,'CODIGOS D'!$A$2:$S$451,13,FALSE),"")</f>
        <v/>
      </c>
      <c r="X90" s="30" t="str">
        <f>IFERROR(VLOOKUP(X10,'CODIGOS D'!$A$2:$S$451,13,FALSE),"")</f>
        <v/>
      </c>
      <c r="Y90" s="30" t="str">
        <f>IFERROR(VLOOKUP(Y10,'CODIGOS D'!$A$2:$S$451,13,FALSE),"")</f>
        <v/>
      </c>
      <c r="Z90" s="30" t="str">
        <f>IFERROR(VLOOKUP(Z10,'CODIGOS D'!$A$2:$S$451,13,FALSE),"")</f>
        <v/>
      </c>
      <c r="AA90" s="30" t="str">
        <f>IFERROR(VLOOKUP(AA10,'CODIGOS D'!$A$2:$S$451,13,FALSE),"")</f>
        <v/>
      </c>
      <c r="AB90" s="30" t="str">
        <f>IFERROR(VLOOKUP(AB10,'CODIGOS D'!$A$2:$S$451,13,FALSE),"")</f>
        <v>Trichoderma</v>
      </c>
      <c r="AC90" s="30" t="str">
        <f>IFERROR(VLOOKUP(AC10,'CODIGOS D'!$A$2:$S$451,13,FALSE),"")</f>
        <v/>
      </c>
      <c r="AD90" s="30" t="str">
        <f>IFERROR(VLOOKUP(AD10,'CODIGOS D'!$A$2:$S$451,13,FALSE),"")</f>
        <v/>
      </c>
      <c r="AE90" s="1" t="str">
        <f>IFERROR(VLOOKUP(AE10,'CODIGOS D'!$A$2:$S$451,13,FALSE),"")</f>
        <v/>
      </c>
      <c r="AF90" s="1" t="str">
        <f>IFERROR(VLOOKUP(AF10,'CODIGOS D'!$A$2:$S$451,13,FALSE),"")</f>
        <v/>
      </c>
      <c r="AG90" s="1" t="str">
        <f>IFERROR(VLOOKUP(AG10,'CODIGOS D'!$A$2:$S$451,13,FALSE),"")</f>
        <v/>
      </c>
      <c r="AH90" s="1" t="str">
        <f>IFERROR(VLOOKUP(AH10,'CODIGOS D'!$A$2:$S$451,13,FALSE),"")</f>
        <v/>
      </c>
      <c r="AI90" s="89">
        <f t="shared" si="85"/>
        <v>15</v>
      </c>
    </row>
    <row r="91" spans="1:35" s="32" customFormat="1" ht="15" customHeight="1" x14ac:dyDescent="0.2">
      <c r="A91" s="30">
        <f t="shared" si="84"/>
        <v>9</v>
      </c>
      <c r="B91" s="30">
        <f t="shared" si="84"/>
        <v>14</v>
      </c>
      <c r="C91" s="30">
        <f t="shared" si="84"/>
        <v>2611</v>
      </c>
      <c r="D91" s="30" t="str">
        <f t="shared" si="84"/>
        <v>CV</v>
      </c>
      <c r="E91" s="30" t="str">
        <f t="shared" si="84"/>
        <v>P3</v>
      </c>
      <c r="F91" s="30" t="str">
        <f t="shared" si="84"/>
        <v>XL</v>
      </c>
      <c r="G91" s="30" t="str">
        <f t="shared" si="84"/>
        <v>P</v>
      </c>
      <c r="H91" s="30" t="str">
        <f t="shared" si="84"/>
        <v>9 P XL</v>
      </c>
      <c r="I91" s="36">
        <f t="shared" si="84"/>
        <v>39.59916666666664</v>
      </c>
      <c r="J91" s="89">
        <f t="shared" si="84"/>
        <v>4.3999074074074045</v>
      </c>
      <c r="K91" s="30">
        <f t="shared" si="84"/>
        <v>50</v>
      </c>
      <c r="L91" s="10" t="str">
        <f>IFERROR(VLOOKUP(L11,'CODIGOS D'!$A$2:$S$451,13,FALSE),"")</f>
        <v>Beauveria</v>
      </c>
      <c r="M91" s="30" t="str">
        <f>IFERROR(VLOOKUP(M11,'CODIGOS D'!$A$2:$S$451,13,FALSE),"")</f>
        <v/>
      </c>
      <c r="N91" s="30" t="str">
        <f>IFERROR(VLOOKUP(N11,'CODIGOS D'!$A$2:$S$451,13,FALSE),"")</f>
        <v/>
      </c>
      <c r="O91" s="30" t="str">
        <f>IFERROR(VLOOKUP(O11,'CODIGOS D'!$A$2:$S$451,13,FALSE),"")</f>
        <v/>
      </c>
      <c r="P91" s="30" t="str">
        <f>IFERROR(VLOOKUP(P11,'CODIGOS D'!$A$2:$S$451,13,FALSE),"")</f>
        <v>Paecilomyces</v>
      </c>
      <c r="Q91" s="30" t="str">
        <f>IFERROR(VLOOKUP(Q11,'CODIGOS D'!$A$2:$S$451,13,FALSE),"")</f>
        <v/>
      </c>
      <c r="R91" s="30" t="str">
        <f>IFERROR(VLOOKUP(R11,'CODIGOS D'!$A$2:$S$451,13,FALSE),"")</f>
        <v/>
      </c>
      <c r="S91" s="30" t="str">
        <f>IFERROR(VLOOKUP(S11,'CODIGOS D'!$A$2:$S$451,13,FALSE),"")</f>
        <v/>
      </c>
      <c r="T91" s="30" t="str">
        <f>IFERROR(VLOOKUP(T11,'CODIGOS D'!$A$2:$S$451,13,FALSE),"")</f>
        <v/>
      </c>
      <c r="U91" s="30" t="str">
        <f>IFERROR(VLOOKUP(U11,'CODIGOS D'!$A$2:$S$451,13,FALSE),"")</f>
        <v/>
      </c>
      <c r="V91" s="30" t="str">
        <f>IFERROR(VLOOKUP(V11,'CODIGOS D'!$A$2:$S$451,13,FALSE),"")</f>
        <v/>
      </c>
      <c r="W91" s="30" t="str">
        <f>IFERROR(VLOOKUP(W11,'CODIGOS D'!$A$2:$S$451,13,FALSE),"")</f>
        <v/>
      </c>
      <c r="X91" s="30" t="str">
        <f>IFERROR(VLOOKUP(X11,'CODIGOS D'!$A$2:$S$451,13,FALSE),"")</f>
        <v/>
      </c>
      <c r="Y91" s="30" t="str">
        <f>IFERROR(VLOOKUP(Y11,'CODIGOS D'!$A$2:$S$451,13,FALSE),"")</f>
        <v/>
      </c>
      <c r="Z91" s="30" t="str">
        <f>IFERROR(VLOOKUP(Z11,'CODIGOS D'!$A$2:$S$451,13,FALSE),"")</f>
        <v/>
      </c>
      <c r="AA91" s="30" t="str">
        <f>IFERROR(VLOOKUP(AA11,'CODIGOS D'!$A$2:$S$451,13,FALSE),"")</f>
        <v/>
      </c>
      <c r="AB91" s="30" t="str">
        <f>IFERROR(VLOOKUP(AB11,'CODIGOS D'!$A$2:$S$451,13,FALSE),"")</f>
        <v>Trichoderma</v>
      </c>
      <c r="AC91" s="30" t="str">
        <f>IFERROR(VLOOKUP(AC11,'CODIGOS D'!$A$2:$S$451,13,FALSE),"")</f>
        <v/>
      </c>
      <c r="AD91" s="30" t="str">
        <f>IFERROR(VLOOKUP(AD11,'CODIGOS D'!$A$2:$S$451,13,FALSE),"")</f>
        <v/>
      </c>
      <c r="AE91" s="1" t="str">
        <f>IFERROR(VLOOKUP(AE11,'CODIGOS D'!$A$2:$S$451,13,FALSE),"")</f>
        <v/>
      </c>
      <c r="AF91" s="1" t="str">
        <f>IFERROR(VLOOKUP(AF11,'CODIGOS D'!$A$2:$S$451,13,FALSE),"")</f>
        <v/>
      </c>
      <c r="AG91" s="1" t="str">
        <f>IFERROR(VLOOKUP(AG11,'CODIGOS D'!$A$2:$S$451,13,FALSE),"")</f>
        <v/>
      </c>
      <c r="AH91" s="1" t="str">
        <f>IFERROR(VLOOKUP(AH11,'CODIGOS D'!$A$2:$S$451,13,FALSE),"")</f>
        <v/>
      </c>
      <c r="AI91" s="89">
        <f t="shared" si="85"/>
        <v>15</v>
      </c>
    </row>
    <row r="92" spans="1:35" ht="15" customHeight="1" x14ac:dyDescent="0.2">
      <c r="A92" s="1">
        <f t="shared" si="84"/>
        <v>8</v>
      </c>
      <c r="B92" s="1">
        <f t="shared" si="84"/>
        <v>7</v>
      </c>
      <c r="C92" s="1">
        <f t="shared" si="84"/>
        <v>2612</v>
      </c>
      <c r="D92" s="1" t="str">
        <f t="shared" si="84"/>
        <v>CV</v>
      </c>
      <c r="E92" s="1" t="str">
        <f t="shared" si="84"/>
        <v>P3</v>
      </c>
      <c r="F92" s="1" t="str">
        <f t="shared" si="84"/>
        <v>XL</v>
      </c>
      <c r="G92" s="1" t="str">
        <f t="shared" si="84"/>
        <v>P</v>
      </c>
      <c r="H92" s="1" t="str">
        <f t="shared" si="84"/>
        <v>8 P XL</v>
      </c>
      <c r="I92" s="137">
        <f t="shared" si="84"/>
        <v>38.41040000000001</v>
      </c>
      <c r="J92" s="3">
        <f t="shared" si="84"/>
        <v>4.2678222222222235</v>
      </c>
      <c r="K92" s="1">
        <f t="shared" si="84"/>
        <v>50</v>
      </c>
      <c r="L92" s="1" t="str">
        <f>IFERROR(VLOOKUP(L12,'CODIGOS D'!$A$2:$S$451,13,FALSE),"")</f>
        <v>Aminoácidos, Materia Orgánica, N</v>
      </c>
      <c r="M92" s="1" t="str">
        <f>IFERROR(VLOOKUP(M12,'CODIGOS D'!$A$2:$S$451,13,FALSE),"")</f>
        <v/>
      </c>
      <c r="N92" s="1" t="str">
        <f>IFERROR(VLOOKUP(N12,'CODIGOS D'!$A$2:$S$451,13,FALSE),"")</f>
        <v/>
      </c>
      <c r="O92" s="1" t="str">
        <f>IFERROR(VLOOKUP(O12,'CODIGOS D'!$A$2:$S$451,13,FALSE),"")</f>
        <v/>
      </c>
      <c r="P92" s="1" t="str">
        <f>IFERROR(VLOOKUP(P12,'CODIGOS D'!$A$2:$S$451,13,FALSE),"")</f>
        <v/>
      </c>
      <c r="Q92" s="1" t="str">
        <f>IFERROR(VLOOKUP(Q12,'CODIGOS D'!$A$2:$S$451,13,FALSE),"")</f>
        <v/>
      </c>
      <c r="R92" s="1" t="str">
        <f>IFERROR(VLOOKUP(R12,'CODIGOS D'!$A$2:$S$451,13,FALSE),"")</f>
        <v/>
      </c>
      <c r="S92" s="1" t="str">
        <f>IFERROR(VLOOKUP(S12,'CODIGOS D'!$A$2:$S$451,13,FALSE),"")</f>
        <v/>
      </c>
      <c r="T92" s="1" t="str">
        <f>IFERROR(VLOOKUP(T12,'CODIGOS D'!$A$2:$S$451,13,FALSE),"")</f>
        <v/>
      </c>
      <c r="U92" s="1" t="str">
        <f>IFERROR(VLOOKUP(U12,'CODIGOS D'!$A$2:$S$451,13,FALSE),"")</f>
        <v/>
      </c>
      <c r="V92" s="1" t="str">
        <f>IFERROR(VLOOKUP(V12,'CODIGOS D'!$A$2:$S$451,13,FALSE),"")</f>
        <v/>
      </c>
      <c r="W92" s="1" t="str">
        <f>IFERROR(VLOOKUP(W12,'CODIGOS D'!$A$2:$S$451,13,FALSE),"")</f>
        <v/>
      </c>
      <c r="X92" s="1" t="str">
        <f>IFERROR(VLOOKUP(X12,'CODIGOS D'!$A$2:$S$451,13,FALSE),"")</f>
        <v/>
      </c>
      <c r="Y92" s="1" t="str">
        <f>IFERROR(VLOOKUP(Y12,'CODIGOS D'!$A$2:$S$451,13,FALSE),"")</f>
        <v/>
      </c>
      <c r="Z92" s="1" t="str">
        <f>IFERROR(VLOOKUP(Z12,'CODIGOS D'!$A$2:$S$451,13,FALSE),"")</f>
        <v/>
      </c>
      <c r="AA92" s="1" t="str">
        <f>IFERROR(VLOOKUP(AA12,'CODIGOS D'!$A$2:$S$451,13,FALSE),"")</f>
        <v/>
      </c>
      <c r="AB92" s="1" t="str">
        <f>IFERROR(VLOOKUP(AB12,'CODIGOS D'!$A$2:$S$451,13,FALSE),"")</f>
        <v/>
      </c>
      <c r="AC92" s="1" t="str">
        <f>IFERROR(VLOOKUP(AC12,'CODIGOS D'!$A$2:$S$451,13,FALSE),"")</f>
        <v/>
      </c>
      <c r="AD92" s="1" t="str">
        <f>IFERROR(VLOOKUP(AD12,'CODIGOS D'!$A$2:$S$451,13,FALSE),"")</f>
        <v/>
      </c>
      <c r="AE92" s="1" t="str">
        <f>IFERROR(VLOOKUP(AE12,'CODIGOS D'!$A$2:$S$451,13,FALSE),"")</f>
        <v/>
      </c>
      <c r="AF92" s="1" t="str">
        <f>IFERROR(VLOOKUP(AF12,'CODIGOS D'!$A$2:$S$451,13,FALSE),"")</f>
        <v/>
      </c>
      <c r="AG92" s="1" t="str">
        <f>IFERROR(VLOOKUP(AG12,'CODIGOS D'!$A$2:$S$451,13,FALSE),"")</f>
        <v/>
      </c>
      <c r="AH92" s="1" t="str">
        <f>IFERROR(VLOOKUP(AH12,'CODIGOS D'!$A$2:$S$451,13,FALSE),"")</f>
        <v/>
      </c>
      <c r="AI92" s="89">
        <f t="shared" si="85"/>
        <v>0.71</v>
      </c>
    </row>
    <row r="93" spans="1:35" ht="15" customHeight="1" x14ac:dyDescent="0.2">
      <c r="A93" s="1">
        <f t="shared" si="84"/>
        <v>8</v>
      </c>
      <c r="B93" s="1">
        <f t="shared" si="84"/>
        <v>25</v>
      </c>
      <c r="C93" s="1">
        <f t="shared" si="84"/>
        <v>2612</v>
      </c>
      <c r="D93" s="1" t="str">
        <f t="shared" si="84"/>
        <v>CV</v>
      </c>
      <c r="E93" s="1" t="str">
        <f t="shared" si="84"/>
        <v>P2</v>
      </c>
      <c r="F93" s="1" t="str">
        <f t="shared" si="84"/>
        <v>XL</v>
      </c>
      <c r="G93" s="1" t="str">
        <f t="shared" si="84"/>
        <v>P</v>
      </c>
      <c r="H93" s="1" t="str">
        <f t="shared" si="84"/>
        <v>8 P XL</v>
      </c>
      <c r="I93" s="137">
        <f t="shared" si="84"/>
        <v>38.235283333333321</v>
      </c>
      <c r="J93" s="3">
        <f t="shared" si="84"/>
        <v>4.2483648148148134</v>
      </c>
      <c r="K93" s="1">
        <f t="shared" si="84"/>
        <v>50</v>
      </c>
      <c r="L93" s="1" t="str">
        <f>IFERROR(VLOOKUP(L13,'CODIGOS D'!$A$2:$S$451,13,FALSE),"")</f>
        <v>Aminoácidos, Materia Orgánica, N</v>
      </c>
      <c r="M93" s="1" t="str">
        <f>IFERROR(VLOOKUP(M13,'CODIGOS D'!$A$2:$S$451,13,FALSE),"")</f>
        <v/>
      </c>
      <c r="N93" s="1" t="str">
        <f>IFERROR(VLOOKUP(N13,'CODIGOS D'!$A$2:$S$451,13,FALSE),"")</f>
        <v/>
      </c>
      <c r="O93" s="1" t="str">
        <f>IFERROR(VLOOKUP(O13,'CODIGOS D'!$A$2:$S$451,13,FALSE),"")</f>
        <v/>
      </c>
      <c r="P93" s="1" t="str">
        <f>IFERROR(VLOOKUP(P13,'CODIGOS D'!$A$2:$S$451,13,FALSE),"")</f>
        <v/>
      </c>
      <c r="Q93" s="1" t="str">
        <f>IFERROR(VLOOKUP(Q13,'CODIGOS D'!$A$2:$S$451,13,FALSE),"")</f>
        <v/>
      </c>
      <c r="R93" s="1" t="str">
        <f>IFERROR(VLOOKUP(R13,'CODIGOS D'!$A$2:$S$451,13,FALSE),"")</f>
        <v/>
      </c>
      <c r="S93" s="1" t="str">
        <f>IFERROR(VLOOKUP(S13,'CODIGOS D'!$A$2:$S$451,13,FALSE),"")</f>
        <v/>
      </c>
      <c r="T93" s="1" t="str">
        <f>IFERROR(VLOOKUP(T13,'CODIGOS D'!$A$2:$S$451,13,FALSE),"")</f>
        <v/>
      </c>
      <c r="U93" s="1" t="str">
        <f>IFERROR(VLOOKUP(U13,'CODIGOS D'!$A$2:$S$451,13,FALSE),"")</f>
        <v/>
      </c>
      <c r="V93" s="1" t="str">
        <f>IFERROR(VLOOKUP(V13,'CODIGOS D'!$A$2:$S$451,13,FALSE),"")</f>
        <v/>
      </c>
      <c r="W93" s="1" t="str">
        <f>IFERROR(VLOOKUP(W13,'CODIGOS D'!$A$2:$S$451,13,FALSE),"")</f>
        <v/>
      </c>
      <c r="X93" s="1" t="str">
        <f>IFERROR(VLOOKUP(X13,'CODIGOS D'!$A$2:$S$451,13,FALSE),"")</f>
        <v/>
      </c>
      <c r="Y93" s="1" t="str">
        <f>IFERROR(VLOOKUP(Y13,'CODIGOS D'!$A$2:$S$451,13,FALSE),"")</f>
        <v/>
      </c>
      <c r="Z93" s="1" t="str">
        <f>IFERROR(VLOOKUP(Z13,'CODIGOS D'!$A$2:$S$451,13,FALSE),"")</f>
        <v/>
      </c>
      <c r="AA93" s="1" t="str">
        <f>IFERROR(VLOOKUP(AA13,'CODIGOS D'!$A$2:$S$451,13,FALSE),"")</f>
        <v/>
      </c>
      <c r="AB93" s="1" t="str">
        <f>IFERROR(VLOOKUP(AB13,'CODIGOS D'!$A$2:$S$451,13,FALSE),"")</f>
        <v/>
      </c>
      <c r="AC93" s="1" t="str">
        <f>IFERROR(VLOOKUP(AC13,'CODIGOS D'!$A$2:$S$451,13,FALSE),"")</f>
        <v/>
      </c>
      <c r="AD93" s="1" t="str">
        <f>IFERROR(VLOOKUP(AD13,'CODIGOS D'!$A$2:$S$451,13,FALSE),"")</f>
        <v/>
      </c>
      <c r="AE93" s="1" t="str">
        <f>IFERROR(VLOOKUP(AE13,'CODIGOS D'!$A$2:$S$451,13,FALSE),"")</f>
        <v/>
      </c>
      <c r="AF93" s="1" t="str">
        <f>IFERROR(VLOOKUP(AF13,'CODIGOS D'!$A$2:$S$451,13,FALSE),"")</f>
        <v/>
      </c>
      <c r="AG93" s="1" t="str">
        <f>IFERROR(VLOOKUP(AG13,'CODIGOS D'!$A$2:$S$451,13,FALSE),"")</f>
        <v/>
      </c>
      <c r="AH93" s="1" t="str">
        <f>IFERROR(VLOOKUP(AH13,'CODIGOS D'!$A$2:$S$451,13,FALSE),"")</f>
        <v/>
      </c>
      <c r="AI93" s="89">
        <f t="shared" si="85"/>
        <v>0.71</v>
      </c>
    </row>
    <row r="94" spans="1:35" ht="15" customHeight="1" x14ac:dyDescent="0.2">
      <c r="A94" s="1">
        <f t="shared" si="84"/>
        <v>8</v>
      </c>
      <c r="B94" s="1" t="str">
        <f t="shared" si="84"/>
        <v>26B</v>
      </c>
      <c r="C94" s="1">
        <f t="shared" si="84"/>
        <v>2612</v>
      </c>
      <c r="D94" s="1" t="str">
        <f t="shared" si="84"/>
        <v>CV</v>
      </c>
      <c r="E94" s="1" t="str">
        <f t="shared" si="84"/>
        <v>S</v>
      </c>
      <c r="F94" s="1" t="str">
        <f t="shared" si="84"/>
        <v>CLO</v>
      </c>
      <c r="G94" s="1" t="str">
        <f t="shared" si="84"/>
        <v>S</v>
      </c>
      <c r="H94" s="1" t="str">
        <f t="shared" si="84"/>
        <v>8 S CLO</v>
      </c>
      <c r="I94" s="137">
        <f t="shared" si="84"/>
        <v>22.774350000000002</v>
      </c>
      <c r="J94" s="3">
        <f t="shared" si="84"/>
        <v>2.5304833333333336</v>
      </c>
      <c r="K94" s="1">
        <f t="shared" si="84"/>
        <v>50</v>
      </c>
      <c r="L94" s="1" t="str">
        <f>IFERROR(VLOOKUP(L14,'CODIGOS D'!$A$2:$S$451,13,FALSE),"")</f>
        <v/>
      </c>
      <c r="M94" s="1" t="str">
        <f>IFERROR(VLOOKUP(M14,'CODIGOS D'!$A$2:$S$451,13,FALSE),"")</f>
        <v/>
      </c>
      <c r="N94" s="1" t="str">
        <f>IFERROR(VLOOKUP(N14,'CODIGOS D'!$A$2:$S$451,13,FALSE),"")</f>
        <v/>
      </c>
      <c r="O94" s="1" t="str">
        <f>IFERROR(VLOOKUP(O14,'CODIGOS D'!$A$2:$S$451,13,FALSE),"")</f>
        <v/>
      </c>
      <c r="P94" s="1" t="str">
        <f>IFERROR(VLOOKUP(P14,'CODIGOS D'!$A$2:$S$451,13,FALSE),"")</f>
        <v/>
      </c>
      <c r="Q94" s="1" t="str">
        <f>IFERROR(VLOOKUP(Q14,'CODIGOS D'!$A$2:$S$451,13,FALSE),"")</f>
        <v/>
      </c>
      <c r="R94" s="1" t="str">
        <f>IFERROR(VLOOKUP(R14,'CODIGOS D'!$A$2:$S$451,13,FALSE),"")</f>
        <v/>
      </c>
      <c r="S94" s="1" t="str">
        <f>IFERROR(VLOOKUP(S14,'CODIGOS D'!$A$2:$S$451,13,FALSE),"")</f>
        <v/>
      </c>
      <c r="T94" s="1" t="str">
        <f>IFERROR(VLOOKUP(T14,'CODIGOS D'!$A$2:$S$451,13,FALSE),"")</f>
        <v/>
      </c>
      <c r="U94" s="1" t="str">
        <f>IFERROR(VLOOKUP(U14,'CODIGOS D'!$A$2:$S$451,13,FALSE),"")</f>
        <v/>
      </c>
      <c r="V94" s="1" t="str">
        <f>IFERROR(VLOOKUP(V14,'CODIGOS D'!$A$2:$S$451,13,FALSE),"")</f>
        <v/>
      </c>
      <c r="W94" s="1" t="str">
        <f>IFERROR(VLOOKUP(W14,'CODIGOS D'!$A$2:$S$451,13,FALSE),"")</f>
        <v/>
      </c>
      <c r="X94" s="1" t="str">
        <f>IFERROR(VLOOKUP(X14,'CODIGOS D'!$A$2:$S$451,13,FALSE),"")</f>
        <v/>
      </c>
      <c r="Y94" s="1" t="str">
        <f>IFERROR(VLOOKUP(Y14,'CODIGOS D'!$A$2:$S$451,13,FALSE),"")</f>
        <v/>
      </c>
      <c r="Z94" s="1" t="str">
        <f>IFERROR(VLOOKUP(Z14,'CODIGOS D'!$A$2:$S$451,13,FALSE),"")</f>
        <v/>
      </c>
      <c r="AA94" s="1" t="str">
        <f>IFERROR(VLOOKUP(AA14,'CODIGOS D'!$A$2:$S$451,13,FALSE),"")</f>
        <v/>
      </c>
      <c r="AB94" s="1" t="str">
        <f>IFERROR(VLOOKUP(AB14,'CODIGOS D'!$A$2:$S$451,13,FALSE),"")</f>
        <v/>
      </c>
      <c r="AC94" s="1" t="str">
        <f>IFERROR(VLOOKUP(AC14,'CODIGOS D'!$A$2:$S$451,13,FALSE),"")</f>
        <v/>
      </c>
      <c r="AD94" s="1" t="str">
        <f>IFERROR(VLOOKUP(AD14,'CODIGOS D'!$A$2:$S$451,13,FALSE),"")</f>
        <v/>
      </c>
      <c r="AE94" s="1" t="str">
        <f>IFERROR(VLOOKUP(AE14,'CODIGOS D'!$A$2:$S$451,13,FALSE),"")</f>
        <v/>
      </c>
      <c r="AF94" s="1" t="str">
        <f>IFERROR(VLOOKUP(AF14,'CODIGOS D'!$A$2:$S$451,13,FALSE),"")</f>
        <v/>
      </c>
      <c r="AG94" s="1" t="str">
        <f>IFERROR(VLOOKUP(AG14,'CODIGOS D'!$A$2:$S$451,13,FALSE),"")</f>
        <v/>
      </c>
      <c r="AH94" s="1" t="str">
        <f>IFERROR(VLOOKUP(AH14,'CODIGOS D'!$A$2:$S$451,13,FALSE),"")</f>
        <v/>
      </c>
      <c r="AI94" s="89">
        <f t="shared" si="85"/>
        <v>0.7</v>
      </c>
    </row>
    <row r="95" spans="1:35" ht="15" customHeight="1" x14ac:dyDescent="0.2">
      <c r="A95" s="1">
        <f t="shared" si="84"/>
        <v>7</v>
      </c>
      <c r="B95" s="1">
        <f t="shared" si="84"/>
        <v>10</v>
      </c>
      <c r="C95" s="1">
        <f t="shared" si="84"/>
        <v>2613</v>
      </c>
      <c r="D95" s="1" t="str">
        <f t="shared" si="84"/>
        <v>CV</v>
      </c>
      <c r="E95" s="1" t="str">
        <f t="shared" si="84"/>
        <v>P2</v>
      </c>
      <c r="F95" s="1" t="str">
        <f t="shared" si="84"/>
        <v>XL</v>
      </c>
      <c r="G95" s="1" t="str">
        <f t="shared" si="84"/>
        <v>P</v>
      </c>
      <c r="H95" s="1" t="str">
        <f t="shared" si="84"/>
        <v>7 P XL</v>
      </c>
      <c r="I95" s="137">
        <f t="shared" si="84"/>
        <v>39.970333333333357</v>
      </c>
      <c r="J95" s="3">
        <f t="shared" si="84"/>
        <v>4.4411481481481507</v>
      </c>
      <c r="K95" s="1">
        <f t="shared" si="84"/>
        <v>50</v>
      </c>
      <c r="L95" s="1" t="str">
        <f>IFERROR(VLOOKUP(L15,'CODIGOS D'!$A$2:$S$451,13,FALSE),"")</f>
        <v/>
      </c>
      <c r="M95" s="1" t="str">
        <f>IFERROR(VLOOKUP(M15,'CODIGOS D'!$A$2:$S$451,13,FALSE),"")</f>
        <v/>
      </c>
      <c r="N95" s="1" t="str">
        <f>IFERROR(VLOOKUP(N15,'CODIGOS D'!$A$2:$S$451,13,FALSE),"")</f>
        <v/>
      </c>
      <c r="O95" s="1" t="str">
        <f>IFERROR(VLOOKUP(O15,'CODIGOS D'!$A$2:$S$451,13,FALSE),"")</f>
        <v/>
      </c>
      <c r="P95" s="1" t="str">
        <f>IFERROR(VLOOKUP(P15,'CODIGOS D'!$A$2:$S$451,13,FALSE),"")</f>
        <v/>
      </c>
      <c r="Q95" s="1" t="str">
        <f>IFERROR(VLOOKUP(Q15,'CODIGOS D'!$A$2:$S$451,13,FALSE),"")</f>
        <v/>
      </c>
      <c r="R95" s="1" t="str">
        <f>IFERROR(VLOOKUP(R15,'CODIGOS D'!$A$2:$S$451,13,FALSE),"")</f>
        <v/>
      </c>
      <c r="S95" s="1" t="str">
        <f>IFERROR(VLOOKUP(S15,'CODIGOS D'!$A$2:$S$451,13,FALSE),"")</f>
        <v/>
      </c>
      <c r="T95" s="1" t="str">
        <f>IFERROR(VLOOKUP(T15,'CODIGOS D'!$A$2:$S$451,13,FALSE),"")</f>
        <v/>
      </c>
      <c r="U95" s="1" t="str">
        <f>IFERROR(VLOOKUP(U15,'CODIGOS D'!$A$2:$S$451,13,FALSE),"")</f>
        <v/>
      </c>
      <c r="V95" s="1" t="str">
        <f>IFERROR(VLOOKUP(V15,'CODIGOS D'!$A$2:$S$451,13,FALSE),"")</f>
        <v/>
      </c>
      <c r="W95" s="1" t="str">
        <f>IFERROR(VLOOKUP(W15,'CODIGOS D'!$A$2:$S$451,13,FALSE),"")</f>
        <v/>
      </c>
      <c r="X95" s="1" t="str">
        <f>IFERROR(VLOOKUP(X15,'CODIGOS D'!$A$2:$S$451,13,FALSE),"")</f>
        <v/>
      </c>
      <c r="Y95" s="1" t="str">
        <f>IFERROR(VLOOKUP(Y15,'CODIGOS D'!$A$2:$S$451,13,FALSE),"")</f>
        <v/>
      </c>
      <c r="Z95" s="1" t="str">
        <f>IFERROR(VLOOKUP(Z15,'CODIGOS D'!$A$2:$S$451,13,FALSE),"")</f>
        <v/>
      </c>
      <c r="AA95" s="1" t="str">
        <f>IFERROR(VLOOKUP(AA15,'CODIGOS D'!$A$2:$S$451,13,FALSE),"")</f>
        <v/>
      </c>
      <c r="AB95" s="1" t="str">
        <f>IFERROR(VLOOKUP(AB15,'CODIGOS D'!$A$2:$S$451,13,FALSE),"")</f>
        <v/>
      </c>
      <c r="AC95" s="1" t="str">
        <f>IFERROR(VLOOKUP(AC15,'CODIGOS D'!$A$2:$S$451,13,FALSE),"")</f>
        <v/>
      </c>
      <c r="AD95" s="1" t="str">
        <f>IFERROR(VLOOKUP(AD15,'CODIGOS D'!$A$2:$S$451,13,FALSE),"")</f>
        <v/>
      </c>
      <c r="AE95" s="1" t="str">
        <f>IFERROR(VLOOKUP(AE15,'CODIGOS D'!$A$2:$S$451,13,FALSE),"")</f>
        <v/>
      </c>
      <c r="AF95" s="1" t="str">
        <f>IFERROR(VLOOKUP(AF15,'CODIGOS D'!$A$2:$S$451,13,FALSE),"")</f>
        <v/>
      </c>
      <c r="AG95" s="1" t="str">
        <f>IFERROR(VLOOKUP(AG15,'CODIGOS D'!$A$2:$S$451,13,FALSE),"")</f>
        <v/>
      </c>
      <c r="AH95" s="1" t="str">
        <f>IFERROR(VLOOKUP(AH15,'CODIGOS D'!$A$2:$S$451,13,FALSE),"")</f>
        <v/>
      </c>
      <c r="AI95" s="89">
        <f t="shared" si="85"/>
        <v>0.7</v>
      </c>
    </row>
    <row r="96" spans="1:35" ht="15" customHeight="1" x14ac:dyDescent="0.2">
      <c r="A96" s="1">
        <f t="shared" si="84"/>
        <v>7</v>
      </c>
      <c r="B96" s="1">
        <f t="shared" si="84"/>
        <v>11</v>
      </c>
      <c r="C96" s="1">
        <f t="shared" si="84"/>
        <v>2613</v>
      </c>
      <c r="D96" s="1" t="str">
        <f t="shared" si="84"/>
        <v>CV</v>
      </c>
      <c r="E96" s="1" t="str">
        <f t="shared" si="84"/>
        <v>P2</v>
      </c>
      <c r="F96" s="1" t="str">
        <f t="shared" si="84"/>
        <v>XL</v>
      </c>
      <c r="G96" s="1" t="str">
        <f t="shared" si="84"/>
        <v>P</v>
      </c>
      <c r="H96" s="1" t="str">
        <f t="shared" si="84"/>
        <v>7 P XL</v>
      </c>
      <c r="I96" s="137">
        <f t="shared" si="84"/>
        <v>38.554166666666688</v>
      </c>
      <c r="J96" s="3">
        <f t="shared" si="84"/>
        <v>4.2837962962962983</v>
      </c>
      <c r="K96" s="1">
        <f t="shared" si="84"/>
        <v>50</v>
      </c>
      <c r="L96" s="1" t="str">
        <f>IFERROR(VLOOKUP(L16,'CODIGOS D'!$A$2:$S$451,13,FALSE),"")</f>
        <v/>
      </c>
      <c r="M96" s="1" t="str">
        <f>IFERROR(VLOOKUP(M16,'CODIGOS D'!$A$2:$S$451,13,FALSE),"")</f>
        <v/>
      </c>
      <c r="N96" s="1" t="str">
        <f>IFERROR(VLOOKUP(N16,'CODIGOS D'!$A$2:$S$451,13,FALSE),"")</f>
        <v/>
      </c>
      <c r="O96" s="1" t="str">
        <f>IFERROR(VLOOKUP(O16,'CODIGOS D'!$A$2:$S$451,13,FALSE),"")</f>
        <v/>
      </c>
      <c r="P96" s="1" t="str">
        <f>IFERROR(VLOOKUP(P16,'CODIGOS D'!$A$2:$S$451,13,FALSE),"")</f>
        <v/>
      </c>
      <c r="Q96" s="1" t="str">
        <f>IFERROR(VLOOKUP(Q16,'CODIGOS D'!$A$2:$S$451,13,FALSE),"")</f>
        <v/>
      </c>
      <c r="R96" s="1" t="str">
        <f>IFERROR(VLOOKUP(R16,'CODIGOS D'!$A$2:$S$451,13,FALSE),"")</f>
        <v/>
      </c>
      <c r="S96" s="1" t="str">
        <f>IFERROR(VLOOKUP(S16,'CODIGOS D'!$A$2:$S$451,13,FALSE),"")</f>
        <v/>
      </c>
      <c r="T96" s="1" t="str">
        <f>IFERROR(VLOOKUP(T16,'CODIGOS D'!$A$2:$S$451,13,FALSE),"")</f>
        <v/>
      </c>
      <c r="U96" s="1" t="str">
        <f>IFERROR(VLOOKUP(U16,'CODIGOS D'!$A$2:$S$451,13,FALSE),"")</f>
        <v/>
      </c>
      <c r="V96" s="1" t="str">
        <f>IFERROR(VLOOKUP(V16,'CODIGOS D'!$A$2:$S$451,13,FALSE),"")</f>
        <v/>
      </c>
      <c r="W96" s="1" t="str">
        <f>IFERROR(VLOOKUP(W16,'CODIGOS D'!$A$2:$S$451,13,FALSE),"")</f>
        <v/>
      </c>
      <c r="X96" s="1" t="str">
        <f>IFERROR(VLOOKUP(X16,'CODIGOS D'!$A$2:$S$451,13,FALSE),"")</f>
        <v/>
      </c>
      <c r="Y96" s="1" t="str">
        <f>IFERROR(VLOOKUP(Y16,'CODIGOS D'!$A$2:$S$451,13,FALSE),"")</f>
        <v/>
      </c>
      <c r="Z96" s="1" t="str">
        <f>IFERROR(VLOOKUP(Z16,'CODIGOS D'!$A$2:$S$451,13,FALSE),"")</f>
        <v/>
      </c>
      <c r="AA96" s="1" t="str">
        <f>IFERROR(VLOOKUP(AA16,'CODIGOS D'!$A$2:$S$451,13,FALSE),"")</f>
        <v/>
      </c>
      <c r="AB96" s="1" t="str">
        <f>IFERROR(VLOOKUP(AB16,'CODIGOS D'!$A$2:$S$451,13,FALSE),"")</f>
        <v/>
      </c>
      <c r="AC96" s="1" t="str">
        <f>IFERROR(VLOOKUP(AC16,'CODIGOS D'!$A$2:$S$451,13,FALSE),"")</f>
        <v/>
      </c>
      <c r="AD96" s="1" t="str">
        <f>IFERROR(VLOOKUP(AD16,'CODIGOS D'!$A$2:$S$451,13,FALSE),"")</f>
        <v/>
      </c>
      <c r="AE96" s="1" t="str">
        <f>IFERROR(VLOOKUP(AE16,'CODIGOS D'!$A$2:$S$451,13,FALSE),"")</f>
        <v/>
      </c>
      <c r="AF96" s="1" t="str">
        <f>IFERROR(VLOOKUP(AF16,'CODIGOS D'!$A$2:$S$451,13,FALSE),"")</f>
        <v/>
      </c>
      <c r="AG96" s="1" t="str">
        <f>IFERROR(VLOOKUP(AG16,'CODIGOS D'!$A$2:$S$451,13,FALSE),"")</f>
        <v/>
      </c>
      <c r="AH96" s="1" t="str">
        <f>IFERROR(VLOOKUP(AH16,'CODIGOS D'!$A$2:$S$451,13,FALSE),"")</f>
        <v/>
      </c>
      <c r="AI96" s="89">
        <f t="shared" si="85"/>
        <v>0.7</v>
      </c>
    </row>
    <row r="97" spans="1:35" ht="15" customHeight="1" x14ac:dyDescent="0.2">
      <c r="A97" s="1">
        <f t="shared" si="84"/>
        <v>7</v>
      </c>
      <c r="B97" s="1">
        <f t="shared" si="84"/>
        <v>13</v>
      </c>
      <c r="C97" s="1">
        <f t="shared" si="84"/>
        <v>2613</v>
      </c>
      <c r="D97" s="1" t="str">
        <f t="shared" si="84"/>
        <v>CV</v>
      </c>
      <c r="E97" s="1" t="str">
        <f t="shared" si="84"/>
        <v>P2</v>
      </c>
      <c r="F97" s="1" t="str">
        <f t="shared" si="84"/>
        <v>CLO</v>
      </c>
      <c r="G97" s="1" t="str">
        <f t="shared" si="84"/>
        <v>P</v>
      </c>
      <c r="H97" s="1" t="str">
        <f t="shared" si="84"/>
        <v>7 P CLO</v>
      </c>
      <c r="I97" s="137">
        <f t="shared" si="84"/>
        <v>33.11039999999997</v>
      </c>
      <c r="J97" s="3">
        <f t="shared" si="84"/>
        <v>3.6789333333333301</v>
      </c>
      <c r="K97" s="1">
        <f t="shared" si="84"/>
        <v>50</v>
      </c>
      <c r="L97" s="1" t="str">
        <f>IFERROR(VLOOKUP(L17,'CODIGOS D'!$A$2:$S$451,13,FALSE),"")</f>
        <v>Oxido de calcio</v>
      </c>
      <c r="M97" s="1" t="str">
        <f>IFERROR(VLOOKUP(M17,'CODIGOS D'!$A$2:$S$451,13,FALSE),"")</f>
        <v/>
      </c>
      <c r="N97" s="1" t="str">
        <f>IFERROR(VLOOKUP(N17,'CODIGOS D'!$A$2:$S$451,13,FALSE),"")</f>
        <v/>
      </c>
      <c r="O97" s="1" t="str">
        <f>IFERROR(VLOOKUP(O17,'CODIGOS D'!$A$2:$S$451,13,FALSE),"")</f>
        <v/>
      </c>
      <c r="P97" s="1" t="str">
        <f>IFERROR(VLOOKUP(P17,'CODIGOS D'!$A$2:$S$451,13,FALSE),"")</f>
        <v/>
      </c>
      <c r="Q97" s="1" t="str">
        <f>IFERROR(VLOOKUP(Q17,'CODIGOS D'!$A$2:$S$451,13,FALSE),"")</f>
        <v/>
      </c>
      <c r="R97" s="1" t="str">
        <f>IFERROR(VLOOKUP(R17,'CODIGOS D'!$A$2:$S$451,13,FALSE),"")</f>
        <v/>
      </c>
      <c r="S97" s="1" t="str">
        <f>IFERROR(VLOOKUP(S17,'CODIGOS D'!$A$2:$S$451,13,FALSE),"")</f>
        <v/>
      </c>
      <c r="T97" s="1" t="str">
        <f>IFERROR(VLOOKUP(T17,'CODIGOS D'!$A$2:$S$451,13,FALSE),"")</f>
        <v/>
      </c>
      <c r="U97" s="1" t="str">
        <f>IFERROR(VLOOKUP(U17,'CODIGOS D'!$A$2:$S$451,13,FALSE),"")</f>
        <v/>
      </c>
      <c r="V97" s="1" t="str">
        <f>IFERROR(VLOOKUP(V17,'CODIGOS D'!$A$2:$S$451,13,FALSE),"")</f>
        <v/>
      </c>
      <c r="W97" s="1" t="str">
        <f>IFERROR(VLOOKUP(W17,'CODIGOS D'!$A$2:$S$451,13,FALSE),"")</f>
        <v/>
      </c>
      <c r="X97" s="1" t="str">
        <f>IFERROR(VLOOKUP(X17,'CODIGOS D'!$A$2:$S$451,13,FALSE),"")</f>
        <v/>
      </c>
      <c r="Y97" s="1" t="str">
        <f>IFERROR(VLOOKUP(Y17,'CODIGOS D'!$A$2:$S$451,13,FALSE),"")</f>
        <v/>
      </c>
      <c r="Z97" s="1" t="str">
        <f>IFERROR(VLOOKUP(Z17,'CODIGOS D'!$A$2:$S$451,13,FALSE),"")</f>
        <v/>
      </c>
      <c r="AA97" s="1" t="str">
        <f>IFERROR(VLOOKUP(AA17,'CODIGOS D'!$A$2:$S$451,13,FALSE),"")</f>
        <v/>
      </c>
      <c r="AB97" s="1" t="str">
        <f>IFERROR(VLOOKUP(AB17,'CODIGOS D'!$A$2:$S$451,13,FALSE),"")</f>
        <v/>
      </c>
      <c r="AC97" s="1" t="str">
        <f>IFERROR(VLOOKUP(AC17,'CODIGOS D'!$A$2:$S$451,13,FALSE),"")</f>
        <v/>
      </c>
      <c r="AD97" s="1" t="str">
        <f>IFERROR(VLOOKUP(AD17,'CODIGOS D'!$A$2:$S$451,13,FALSE),"")</f>
        <v/>
      </c>
      <c r="AE97" s="1" t="str">
        <f>IFERROR(VLOOKUP(AE17,'CODIGOS D'!$A$2:$S$451,13,FALSE),"")</f>
        <v/>
      </c>
      <c r="AF97" s="1" t="str">
        <f>IFERROR(VLOOKUP(AF17,'CODIGOS D'!$A$2:$S$451,13,FALSE),"")</f>
        <v/>
      </c>
      <c r="AG97" s="1" t="str">
        <f>IFERROR(VLOOKUP(AG17,'CODIGOS D'!$A$2:$S$451,13,FALSE),"")</f>
        <v/>
      </c>
      <c r="AH97" s="1" t="str">
        <f>IFERROR(VLOOKUP(AH17,'CODIGOS D'!$A$2:$S$451,13,FALSE),"")</f>
        <v/>
      </c>
      <c r="AI97" s="89">
        <f t="shared" si="85"/>
        <v>1.1000000000000001</v>
      </c>
    </row>
    <row r="98" spans="1:35" ht="15" customHeight="1" x14ac:dyDescent="0.2">
      <c r="A98" s="1">
        <f t="shared" si="84"/>
        <v>5</v>
      </c>
      <c r="B98" s="1" t="str">
        <f t="shared" si="84"/>
        <v>20A</v>
      </c>
      <c r="C98" s="1">
        <f t="shared" si="84"/>
        <v>2615</v>
      </c>
      <c r="D98" s="1" t="str">
        <f t="shared" si="84"/>
        <v>CV</v>
      </c>
      <c r="E98" s="1" t="str">
        <f t="shared" si="84"/>
        <v>P1</v>
      </c>
      <c r="F98" s="1" t="str">
        <f>F18</f>
        <v>CLO</v>
      </c>
      <c r="G98" s="1" t="str">
        <f t="shared" si="84"/>
        <v>P</v>
      </c>
      <c r="H98" s="1" t="str">
        <f t="shared" si="84"/>
        <v>5 P CLO</v>
      </c>
      <c r="I98" s="137">
        <f t="shared" si="84"/>
        <v>20.656166666666664</v>
      </c>
      <c r="J98" s="3">
        <f t="shared" si="84"/>
        <v>2.2951296296296295</v>
      </c>
      <c r="K98" s="1">
        <f t="shared" si="84"/>
        <v>50</v>
      </c>
      <c r="L98" s="1" t="str">
        <f>IFERROR(VLOOKUP(L18,'CODIGOS D'!$A$2:$S$451,13,FALSE),"")</f>
        <v>Aminoácidos, Materia Orgánica, N</v>
      </c>
      <c r="M98" s="1" t="str">
        <f>IFERROR(VLOOKUP(M18,'CODIGOS D'!$A$2:$S$451,13,FALSE),"")</f>
        <v/>
      </c>
      <c r="N98" s="1" t="str">
        <f>IFERROR(VLOOKUP(N18,'CODIGOS D'!$A$2:$S$451,13,FALSE),"")</f>
        <v/>
      </c>
      <c r="O98" s="1" t="str">
        <f>IFERROR(VLOOKUP(O18,'CODIGOS D'!$A$2:$S$451,13,FALSE),"")</f>
        <v/>
      </c>
      <c r="P98" s="1" t="str">
        <f>IFERROR(VLOOKUP(P18,'CODIGOS D'!$A$2:$S$451,13,FALSE),"")</f>
        <v/>
      </c>
      <c r="Q98" s="1" t="str">
        <f>IFERROR(VLOOKUP(Q18,'CODIGOS D'!$A$2:$S$451,13,FALSE),"")</f>
        <v/>
      </c>
      <c r="R98" s="1" t="str">
        <f>IFERROR(VLOOKUP(R18,'CODIGOS D'!$A$2:$S$451,13,FALSE),"")</f>
        <v/>
      </c>
      <c r="S98" s="1" t="str">
        <f>IFERROR(VLOOKUP(S18,'CODIGOS D'!$A$2:$S$451,13,FALSE),"")</f>
        <v/>
      </c>
      <c r="T98" s="1" t="str">
        <f>IFERROR(VLOOKUP(T18,'CODIGOS D'!$A$2:$S$451,13,FALSE),"")</f>
        <v>Beauveria</v>
      </c>
      <c r="U98" s="1" t="str">
        <f>IFERROR(VLOOKUP(U18,'CODIGOS D'!$A$2:$S$451,13,FALSE),"")</f>
        <v/>
      </c>
      <c r="V98" s="1" t="str">
        <f>IFERROR(VLOOKUP(V18,'CODIGOS D'!$A$2:$S$451,13,FALSE),"")</f>
        <v/>
      </c>
      <c r="W98" s="1" t="str">
        <f>IFERROR(VLOOKUP(W18,'CODIGOS D'!$A$2:$S$451,13,FALSE),"")</f>
        <v/>
      </c>
      <c r="X98" s="1" t="str">
        <f>IFERROR(VLOOKUP(X18,'CODIGOS D'!$A$2:$S$451,13,FALSE),"")</f>
        <v>Paecilomyces</v>
      </c>
      <c r="Y98" s="1" t="str">
        <f>IFERROR(VLOOKUP(Y18,'CODIGOS D'!$A$2:$S$451,13,FALSE),"")</f>
        <v/>
      </c>
      <c r="Z98" s="1" t="str">
        <f>IFERROR(VLOOKUP(Z18,'CODIGOS D'!$A$2:$S$451,13,FALSE),"")</f>
        <v/>
      </c>
      <c r="AA98" s="1" t="str">
        <f>IFERROR(VLOOKUP(AA18,'CODIGOS D'!$A$2:$S$451,13,FALSE),"")</f>
        <v/>
      </c>
      <c r="AB98" s="1" t="str">
        <f>IFERROR(VLOOKUP(AB18,'CODIGOS D'!$A$2:$S$451,13,FALSE),"")</f>
        <v>Trichoderma</v>
      </c>
      <c r="AC98" s="1" t="str">
        <f>IFERROR(VLOOKUP(AC18,'CODIGOS D'!$A$2:$S$451,13,FALSE),"")</f>
        <v/>
      </c>
      <c r="AD98" s="1" t="str">
        <f>IFERROR(VLOOKUP(AD18,'CODIGOS D'!$A$2:$S$451,13,FALSE),"")</f>
        <v/>
      </c>
      <c r="AE98" s="1" t="str">
        <f>IFERROR(VLOOKUP(AE18,'CODIGOS D'!$A$2:$S$451,13,FALSE),"")</f>
        <v/>
      </c>
      <c r="AF98" s="1" t="str">
        <f>IFERROR(VLOOKUP(AF18,'CODIGOS D'!$A$2:$S$451,13,FALSE),"")</f>
        <v/>
      </c>
      <c r="AG98" s="1" t="str">
        <f>IFERROR(VLOOKUP(AG18,'CODIGOS D'!$A$2:$S$451,13,FALSE),"")</f>
        <v/>
      </c>
      <c r="AH98" s="1" t="str">
        <f>IFERROR(VLOOKUP(AH18,'CODIGOS D'!$A$2:$S$451,13,FALSE),"")</f>
        <v/>
      </c>
      <c r="AI98" s="89">
        <f t="shared" si="85"/>
        <v>15.530000000000001</v>
      </c>
    </row>
    <row r="99" spans="1:35" s="32" customFormat="1" ht="15" customHeight="1" x14ac:dyDescent="0.2">
      <c r="A99" s="30">
        <f t="shared" si="84"/>
        <v>4</v>
      </c>
      <c r="B99" s="30" t="str">
        <f t="shared" si="84"/>
        <v>20B</v>
      </c>
      <c r="C99" s="30">
        <f t="shared" si="84"/>
        <v>2616</v>
      </c>
      <c r="D99" s="30" t="str">
        <f t="shared" si="84"/>
        <v>CV</v>
      </c>
      <c r="E99" s="30" t="str">
        <f t="shared" si="84"/>
        <v>P1</v>
      </c>
      <c r="F99" s="30" t="str">
        <f>F19</f>
        <v>CLO</v>
      </c>
      <c r="G99" s="30" t="str">
        <f t="shared" si="84"/>
        <v>P</v>
      </c>
      <c r="H99" s="30" t="str">
        <f t="shared" si="84"/>
        <v>4 P CLO</v>
      </c>
      <c r="I99" s="36">
        <f t="shared" si="84"/>
        <v>20.656166666666664</v>
      </c>
      <c r="J99" s="89">
        <f t="shared" si="84"/>
        <v>2.2951296296296295</v>
      </c>
      <c r="K99" s="30">
        <f t="shared" si="84"/>
        <v>7</v>
      </c>
      <c r="L99" s="10" t="str">
        <f>IFERROR(VLOOKUP(L19,'CODIGOS D'!$A$2:$S$451,13,FALSE),"")</f>
        <v/>
      </c>
      <c r="M99" s="30" t="str">
        <f>IFERROR(VLOOKUP(M19,'CODIGOS D'!$A$2:$S$451,13,FALSE),"")</f>
        <v/>
      </c>
      <c r="N99" s="30" t="str">
        <f>IFERROR(VLOOKUP(N19,'CODIGOS D'!$A$2:$S$451,13,FALSE),"")</f>
        <v/>
      </c>
      <c r="O99" s="30" t="str">
        <f>IFERROR(VLOOKUP(O19,'CODIGOS D'!$A$2:$S$451,13,FALSE),"")</f>
        <v/>
      </c>
      <c r="P99" s="30" t="str">
        <f>IFERROR(VLOOKUP(P19,'CODIGOS D'!$A$2:$S$451,13,FALSE),"")</f>
        <v>Oxido de nonilfenoletileno</v>
      </c>
      <c r="Q99" s="30" t="str">
        <f>IFERROR(VLOOKUP(Q19,'CODIGOS D'!$A$2:$S$451,13,FALSE),"")</f>
        <v/>
      </c>
      <c r="R99" s="30" t="str">
        <f>IFERROR(VLOOKUP(R19,'CODIGOS D'!$A$2:$S$451,13,FALSE),"")</f>
        <v/>
      </c>
      <c r="S99" s="30" t="str">
        <f>IFERROR(VLOOKUP(S19,'CODIGOS D'!$A$2:$S$451,13,FALSE),"")</f>
        <v/>
      </c>
      <c r="T99" s="30" t="str">
        <f>IFERROR(VLOOKUP(T19,'CODIGOS D'!$A$2:$S$451,13,FALSE),"")</f>
        <v/>
      </c>
      <c r="U99" s="30" t="str">
        <f>IFERROR(VLOOKUP(U19,'CODIGOS D'!$A$2:$S$451,13,FALSE),"")</f>
        <v/>
      </c>
      <c r="V99" s="30" t="str">
        <f>IFERROR(VLOOKUP(V19,'CODIGOS D'!$A$2:$S$451,13,FALSE),"")</f>
        <v/>
      </c>
      <c r="W99" s="30" t="str">
        <f>IFERROR(VLOOKUP(W19,'CODIGOS D'!$A$2:$S$451,13,FALSE),"")</f>
        <v/>
      </c>
      <c r="X99" s="30" t="str">
        <f>IFERROR(VLOOKUP(X19,'CODIGOS D'!$A$2:$S$451,13,FALSE),"")</f>
        <v/>
      </c>
      <c r="Y99" s="30" t="str">
        <f>IFERROR(VLOOKUP(Y19,'CODIGOS D'!$A$2:$S$451,13,FALSE),"")</f>
        <v/>
      </c>
      <c r="Z99" s="30" t="str">
        <f>IFERROR(VLOOKUP(Z19,'CODIGOS D'!$A$2:$S$451,13,FALSE),"")</f>
        <v/>
      </c>
      <c r="AA99" s="30" t="str">
        <f>IFERROR(VLOOKUP(AA19,'CODIGOS D'!$A$2:$S$451,13,FALSE),"")</f>
        <v/>
      </c>
      <c r="AB99" s="30" t="str">
        <f>IFERROR(VLOOKUP(AB19,'CODIGOS D'!$A$2:$S$451,13,FALSE),"")</f>
        <v/>
      </c>
      <c r="AC99" s="30" t="str">
        <f>IFERROR(VLOOKUP(AC19,'CODIGOS D'!$A$2:$S$451,13,FALSE),"")</f>
        <v/>
      </c>
      <c r="AD99" s="30" t="str">
        <f>IFERROR(VLOOKUP(AD19,'CODIGOS D'!$A$2:$S$451,13,FALSE),"")</f>
        <v/>
      </c>
      <c r="AE99" s="1" t="str">
        <f>IFERROR(VLOOKUP(AE19,'CODIGOS D'!$A$2:$S$451,13,FALSE),"")</f>
        <v/>
      </c>
      <c r="AF99" s="1" t="str">
        <f>IFERROR(VLOOKUP(AF19,'CODIGOS D'!$A$2:$S$451,13,FALSE),"")</f>
        <v/>
      </c>
      <c r="AG99" s="1" t="str">
        <f>IFERROR(VLOOKUP(AG19,'CODIGOS D'!$A$2:$S$451,13,FALSE),"")</f>
        <v/>
      </c>
      <c r="AH99" s="1" t="str">
        <f>IFERROR(VLOOKUP(AH19,'CODIGOS D'!$A$2:$S$451,13,FALSE),"")</f>
        <v/>
      </c>
      <c r="AI99" s="89">
        <f t="shared" si="85"/>
        <v>2.2000000000000002</v>
      </c>
    </row>
    <row r="100" spans="1:35" ht="15" customHeight="1" x14ac:dyDescent="0.2">
      <c r="A100" s="1">
        <f t="shared" si="84"/>
        <v>3</v>
      </c>
      <c r="B100" s="1">
        <f t="shared" si="84"/>
        <v>16</v>
      </c>
      <c r="C100" s="1">
        <f t="shared" si="84"/>
        <v>2617</v>
      </c>
      <c r="D100" s="1" t="str">
        <f t="shared" si="84"/>
        <v>CV</v>
      </c>
      <c r="E100" s="1" t="str">
        <f t="shared" si="84"/>
        <v>P2</v>
      </c>
      <c r="F100" s="1" t="str">
        <f t="shared" si="84"/>
        <v>XL</v>
      </c>
      <c r="G100" s="1" t="str">
        <f t="shared" si="84"/>
        <v>P</v>
      </c>
      <c r="H100" s="1" t="str">
        <f t="shared" si="84"/>
        <v>3 P XL</v>
      </c>
      <c r="I100" s="137">
        <f t="shared" si="84"/>
        <v>40.747483333333378</v>
      </c>
      <c r="J100" s="3">
        <f t="shared" si="84"/>
        <v>4.5274981481481529</v>
      </c>
      <c r="K100" s="1">
        <f t="shared" si="84"/>
        <v>50</v>
      </c>
      <c r="L100" s="1" t="str">
        <f>IFERROR(VLOOKUP(L20,'CODIGOS D'!$A$2:$S$451,13,FALSE),"")</f>
        <v/>
      </c>
      <c r="M100" s="1" t="str">
        <f>IFERROR(VLOOKUP(M20,'CODIGOS D'!$A$2:$S$451,13,FALSE),"")</f>
        <v/>
      </c>
      <c r="N100" s="1" t="str">
        <f>IFERROR(VLOOKUP(N20,'CODIGOS D'!$A$2:$S$451,13,FALSE),"")</f>
        <v/>
      </c>
      <c r="O100" s="1" t="str">
        <f>IFERROR(VLOOKUP(O20,'CODIGOS D'!$A$2:$S$451,13,FALSE),"")</f>
        <v/>
      </c>
      <c r="P100" s="1" t="str">
        <f>IFERROR(VLOOKUP(P20,'CODIGOS D'!$A$2:$S$451,13,FALSE),"")</f>
        <v/>
      </c>
      <c r="Q100" s="1" t="str">
        <f>IFERROR(VLOOKUP(Q20,'CODIGOS D'!$A$2:$S$451,13,FALSE),"")</f>
        <v/>
      </c>
      <c r="R100" s="1" t="str">
        <f>IFERROR(VLOOKUP(R20,'CODIGOS D'!$A$2:$S$451,13,FALSE),"")</f>
        <v/>
      </c>
      <c r="S100" s="1" t="str">
        <f>IFERROR(VLOOKUP(S20,'CODIGOS D'!$A$2:$S$451,13,FALSE),"")</f>
        <v/>
      </c>
      <c r="T100" s="1" t="str">
        <f>IFERROR(VLOOKUP(T20,'CODIGOS D'!$A$2:$S$451,13,FALSE),"")</f>
        <v/>
      </c>
      <c r="U100" s="1" t="str">
        <f>IFERROR(VLOOKUP(U20,'CODIGOS D'!$A$2:$S$451,13,FALSE),"")</f>
        <v/>
      </c>
      <c r="V100" s="1" t="str">
        <f>IFERROR(VLOOKUP(V20,'CODIGOS D'!$A$2:$S$451,13,FALSE),"")</f>
        <v/>
      </c>
      <c r="W100" s="1" t="str">
        <f>IFERROR(VLOOKUP(W20,'CODIGOS D'!$A$2:$S$451,13,FALSE),"")</f>
        <v/>
      </c>
      <c r="X100" s="1" t="str">
        <f>IFERROR(VLOOKUP(X20,'CODIGOS D'!$A$2:$S$451,13,FALSE),"")</f>
        <v/>
      </c>
      <c r="Y100" s="1" t="str">
        <f>IFERROR(VLOOKUP(Y20,'CODIGOS D'!$A$2:$S$451,13,FALSE),"")</f>
        <v/>
      </c>
      <c r="Z100" s="1" t="str">
        <f>IFERROR(VLOOKUP(Z20,'CODIGOS D'!$A$2:$S$451,13,FALSE),"")</f>
        <v/>
      </c>
      <c r="AA100" s="1" t="str">
        <f>IFERROR(VLOOKUP(AA20,'CODIGOS D'!$A$2:$S$451,13,FALSE),"")</f>
        <v/>
      </c>
      <c r="AB100" s="1" t="str">
        <f>IFERROR(VLOOKUP(AB20,'CODIGOS D'!$A$2:$S$451,13,FALSE),"")</f>
        <v/>
      </c>
      <c r="AC100" s="1" t="str">
        <f>IFERROR(VLOOKUP(AC20,'CODIGOS D'!$A$2:$S$451,13,FALSE),"")</f>
        <v/>
      </c>
      <c r="AD100" s="1" t="str">
        <f>IFERROR(VLOOKUP(AD20,'CODIGOS D'!$A$2:$S$451,13,FALSE),"")</f>
        <v/>
      </c>
      <c r="AE100" s="1" t="str">
        <f>IFERROR(VLOOKUP(AE20,'CODIGOS D'!$A$2:$S$451,13,FALSE),"")</f>
        <v/>
      </c>
      <c r="AF100" s="1" t="str">
        <f>IFERROR(VLOOKUP(AF20,'CODIGOS D'!$A$2:$S$451,13,FALSE),"")</f>
        <v/>
      </c>
      <c r="AG100" s="1" t="str">
        <f>IFERROR(VLOOKUP(AG20,'CODIGOS D'!$A$2:$S$451,13,FALSE),"")</f>
        <v/>
      </c>
      <c r="AH100" s="1" t="str">
        <f>IFERROR(VLOOKUP(AH20,'CODIGOS D'!$A$2:$S$451,13,FALSE),"")</f>
        <v/>
      </c>
      <c r="AI100" s="89">
        <f t="shared" si="85"/>
        <v>0.64</v>
      </c>
    </row>
    <row r="101" spans="1:35" ht="15" customHeight="1" x14ac:dyDescent="0.2">
      <c r="A101" s="1">
        <f t="shared" si="84"/>
        <v>3</v>
      </c>
      <c r="B101" s="1" t="str">
        <f t="shared" si="84"/>
        <v>1A</v>
      </c>
      <c r="C101" s="1">
        <f t="shared" si="84"/>
        <v>2617</v>
      </c>
      <c r="D101" s="1" t="str">
        <f t="shared" si="84"/>
        <v>CV</v>
      </c>
      <c r="E101" s="1" t="str">
        <f t="shared" si="84"/>
        <v>P2</v>
      </c>
      <c r="F101" s="1" t="str">
        <f t="shared" si="84"/>
        <v>CLO</v>
      </c>
      <c r="G101" s="1" t="str">
        <f t="shared" si="84"/>
        <v>P</v>
      </c>
      <c r="H101" s="1" t="str">
        <f t="shared" si="84"/>
        <v>3 P CLO</v>
      </c>
      <c r="I101" s="137">
        <f t="shared" si="84"/>
        <v>20.34963333333333</v>
      </c>
      <c r="J101" s="3">
        <f t="shared" si="84"/>
        <v>2.2610703703703701</v>
      </c>
      <c r="K101" s="1">
        <f t="shared" si="84"/>
        <v>50</v>
      </c>
      <c r="L101" s="1" t="str">
        <f>IFERROR(VLOOKUP(L21,'CODIGOS D'!$A$2:$S$451,13,FALSE),"")</f>
        <v/>
      </c>
      <c r="M101" s="1" t="str">
        <f>IFERROR(VLOOKUP(M21,'CODIGOS D'!$A$2:$S$451,13,FALSE),"")</f>
        <v/>
      </c>
      <c r="N101" s="1" t="str">
        <f>IFERROR(VLOOKUP(N21,'CODIGOS D'!$A$2:$S$451,13,FALSE),"")</f>
        <v/>
      </c>
      <c r="O101" s="1" t="str">
        <f>IFERROR(VLOOKUP(O21,'CODIGOS D'!$A$2:$S$451,13,FALSE),"")</f>
        <v/>
      </c>
      <c r="P101" s="1" t="str">
        <f>IFERROR(VLOOKUP(P21,'CODIGOS D'!$A$2:$S$451,13,FALSE),"")</f>
        <v/>
      </c>
      <c r="Q101" s="1" t="str">
        <f>IFERROR(VLOOKUP(Q21,'CODIGOS D'!$A$2:$S$451,13,FALSE),"")</f>
        <v/>
      </c>
      <c r="R101" s="1" t="str">
        <f>IFERROR(VLOOKUP(R21,'CODIGOS D'!$A$2:$S$451,13,FALSE),"")</f>
        <v/>
      </c>
      <c r="S101" s="1" t="str">
        <f>IFERROR(VLOOKUP(S21,'CODIGOS D'!$A$2:$S$451,13,FALSE),"")</f>
        <v/>
      </c>
      <c r="T101" s="1" t="str">
        <f>IFERROR(VLOOKUP(T21,'CODIGOS D'!$A$2:$S$451,13,FALSE),"")</f>
        <v/>
      </c>
      <c r="U101" s="1" t="str">
        <f>IFERROR(VLOOKUP(U21,'CODIGOS D'!$A$2:$S$451,13,FALSE),"")</f>
        <v/>
      </c>
      <c r="V101" s="1" t="str">
        <f>IFERROR(VLOOKUP(V21,'CODIGOS D'!$A$2:$S$451,13,FALSE),"")</f>
        <v/>
      </c>
      <c r="W101" s="1" t="str">
        <f>IFERROR(VLOOKUP(W21,'CODIGOS D'!$A$2:$S$451,13,FALSE),"")</f>
        <v/>
      </c>
      <c r="X101" s="1" t="str">
        <f>IFERROR(VLOOKUP(X21,'CODIGOS D'!$A$2:$S$451,13,FALSE),"")</f>
        <v/>
      </c>
      <c r="Y101" s="1" t="str">
        <f>IFERROR(VLOOKUP(Y21,'CODIGOS D'!$A$2:$S$451,13,FALSE),"")</f>
        <v/>
      </c>
      <c r="Z101" s="1" t="str">
        <f>IFERROR(VLOOKUP(Z21,'CODIGOS D'!$A$2:$S$451,13,FALSE),"")</f>
        <v/>
      </c>
      <c r="AA101" s="1" t="str">
        <f>IFERROR(VLOOKUP(AA21,'CODIGOS D'!$A$2:$S$451,13,FALSE),"")</f>
        <v/>
      </c>
      <c r="AB101" s="1" t="str">
        <f>IFERROR(VLOOKUP(AB21,'CODIGOS D'!$A$2:$S$451,13,FALSE),"")</f>
        <v/>
      </c>
      <c r="AC101" s="1" t="str">
        <f>IFERROR(VLOOKUP(AC21,'CODIGOS D'!$A$2:$S$451,13,FALSE),"")</f>
        <v/>
      </c>
      <c r="AD101" s="1" t="str">
        <f>IFERROR(VLOOKUP(AD21,'CODIGOS D'!$A$2:$S$451,13,FALSE),"")</f>
        <v/>
      </c>
      <c r="AE101" s="1" t="str">
        <f>IFERROR(VLOOKUP(AE21,'CODIGOS D'!$A$2:$S$451,13,FALSE),"")</f>
        <v/>
      </c>
      <c r="AF101" s="1" t="str">
        <f>IFERROR(VLOOKUP(AF21,'CODIGOS D'!$A$2:$S$451,13,FALSE),"")</f>
        <v/>
      </c>
      <c r="AG101" s="1" t="str">
        <f>IFERROR(VLOOKUP(AG21,'CODIGOS D'!$A$2:$S$451,13,FALSE),"")</f>
        <v/>
      </c>
      <c r="AH101" s="1" t="str">
        <f>IFERROR(VLOOKUP(AH21,'CODIGOS D'!$A$2:$S$451,13,FALSE),"")</f>
        <v/>
      </c>
      <c r="AI101" s="89">
        <f t="shared" si="85"/>
        <v>0.64</v>
      </c>
    </row>
    <row r="102" spans="1:35" ht="15" customHeight="1" x14ac:dyDescent="0.2">
      <c r="A102" s="1">
        <f t="shared" si="84"/>
        <v>2</v>
      </c>
      <c r="B102" s="1" t="str">
        <f t="shared" si="84"/>
        <v>1B</v>
      </c>
      <c r="C102" s="1">
        <f t="shared" si="84"/>
        <v>2618</v>
      </c>
      <c r="D102" s="1" t="str">
        <f t="shared" si="84"/>
        <v>CV</v>
      </c>
      <c r="E102" s="1" t="str">
        <f t="shared" si="84"/>
        <v>P2</v>
      </c>
      <c r="F102" s="1" t="str">
        <f t="shared" si="84"/>
        <v>CLO</v>
      </c>
      <c r="G102" s="1" t="str">
        <f t="shared" si="84"/>
        <v>P</v>
      </c>
      <c r="H102" s="1" t="str">
        <f t="shared" si="84"/>
        <v>2 P CLO</v>
      </c>
      <c r="I102" s="137">
        <f t="shared" si="84"/>
        <v>19.278599999999997</v>
      </c>
      <c r="J102" s="3">
        <f t="shared" si="84"/>
        <v>2.1420666666666666</v>
      </c>
      <c r="K102" s="1">
        <f t="shared" si="84"/>
        <v>50</v>
      </c>
      <c r="L102" s="1" t="str">
        <f>IFERROR(VLOOKUP(L22,'CODIGOS D'!$A$2:$S$451,13,FALSE),"")</f>
        <v>Aminoácidos, Materia Orgánica, N</v>
      </c>
      <c r="M102" s="1" t="str">
        <f>IFERROR(VLOOKUP(M22,'CODIGOS D'!$A$2:$S$451,13,FALSE),"")</f>
        <v/>
      </c>
      <c r="N102" s="1" t="str">
        <f>IFERROR(VLOOKUP(N22,'CODIGOS D'!$A$2:$S$451,13,FALSE),"")</f>
        <v/>
      </c>
      <c r="O102" s="1" t="str">
        <f>IFERROR(VLOOKUP(O22,'CODIGOS D'!$A$2:$S$451,13,FALSE),"")</f>
        <v/>
      </c>
      <c r="P102" s="1" t="str">
        <f>IFERROR(VLOOKUP(P22,'CODIGOS D'!$A$2:$S$451,13,FALSE),"")</f>
        <v/>
      </c>
      <c r="Q102" s="1" t="str">
        <f>IFERROR(VLOOKUP(Q22,'CODIGOS D'!$A$2:$S$451,13,FALSE),"")</f>
        <v/>
      </c>
      <c r="R102" s="1" t="str">
        <f>IFERROR(VLOOKUP(R22,'CODIGOS D'!$A$2:$S$451,13,FALSE),"")</f>
        <v/>
      </c>
      <c r="S102" s="1" t="str">
        <f>IFERROR(VLOOKUP(S22,'CODIGOS D'!$A$2:$S$451,13,FALSE),"")</f>
        <v/>
      </c>
      <c r="T102" s="1" t="str">
        <f>IFERROR(VLOOKUP(T22,'CODIGOS D'!$A$2:$S$451,13,FALSE),"")</f>
        <v/>
      </c>
      <c r="U102" s="1" t="str">
        <f>IFERROR(VLOOKUP(U22,'CODIGOS D'!$A$2:$S$451,13,FALSE),"")</f>
        <v/>
      </c>
      <c r="V102" s="1" t="str">
        <f>IFERROR(VLOOKUP(V22,'CODIGOS D'!$A$2:$S$451,13,FALSE),"")</f>
        <v/>
      </c>
      <c r="W102" s="1" t="str">
        <f>IFERROR(VLOOKUP(W22,'CODIGOS D'!$A$2:$S$451,13,FALSE),"")</f>
        <v/>
      </c>
      <c r="X102" s="1" t="str">
        <f>IFERROR(VLOOKUP(X22,'CODIGOS D'!$A$2:$S$451,13,FALSE),"")</f>
        <v/>
      </c>
      <c r="Y102" s="1" t="str">
        <f>IFERROR(VLOOKUP(Y22,'CODIGOS D'!$A$2:$S$451,13,FALSE),"")</f>
        <v/>
      </c>
      <c r="Z102" s="1" t="str">
        <f>IFERROR(VLOOKUP(Z22,'CODIGOS D'!$A$2:$S$451,13,FALSE),"")</f>
        <v/>
      </c>
      <c r="AA102" s="1" t="str">
        <f>IFERROR(VLOOKUP(AA22,'CODIGOS D'!$A$2:$S$451,13,FALSE),"")</f>
        <v/>
      </c>
      <c r="AB102" s="1" t="str">
        <f>IFERROR(VLOOKUP(AB22,'CODIGOS D'!$A$2:$S$451,13,FALSE),"")</f>
        <v/>
      </c>
      <c r="AC102" s="1" t="str">
        <f>IFERROR(VLOOKUP(AC22,'CODIGOS D'!$A$2:$S$451,13,FALSE),"")</f>
        <v/>
      </c>
      <c r="AD102" s="1" t="str">
        <f>IFERROR(VLOOKUP(AD22,'CODIGOS D'!$A$2:$S$451,13,FALSE),"")</f>
        <v/>
      </c>
      <c r="AE102" s="1" t="str">
        <f>IFERROR(VLOOKUP(AE22,'CODIGOS D'!$A$2:$S$451,13,FALSE),"")</f>
        <v/>
      </c>
      <c r="AF102" s="1" t="str">
        <f>IFERROR(VLOOKUP(AF22,'CODIGOS D'!$A$2:$S$451,13,FALSE),"")</f>
        <v/>
      </c>
      <c r="AG102" s="1" t="str">
        <f>IFERROR(VLOOKUP(AG22,'CODIGOS D'!$A$2:$S$451,13,FALSE),"")</f>
        <v/>
      </c>
      <c r="AH102" s="1" t="str">
        <f>IFERROR(VLOOKUP(AH22,'CODIGOS D'!$A$2:$S$451,13,FALSE),"")</f>
        <v/>
      </c>
      <c r="AI102" s="89">
        <f t="shared" si="85"/>
        <v>0.71</v>
      </c>
    </row>
    <row r="103" spans="1:35" s="32" customFormat="1" ht="15" customHeight="1" x14ac:dyDescent="0.2">
      <c r="A103" s="30">
        <f t="shared" si="84"/>
        <v>2</v>
      </c>
      <c r="B103" s="30">
        <f t="shared" si="84"/>
        <v>8</v>
      </c>
      <c r="C103" s="30">
        <f t="shared" ref="B103:K118" si="86">C23</f>
        <v>2618</v>
      </c>
      <c r="D103" s="30" t="str">
        <f t="shared" si="86"/>
        <v>CV</v>
      </c>
      <c r="E103" s="30" t="str">
        <f t="shared" si="86"/>
        <v>P1</v>
      </c>
      <c r="F103" s="30" t="str">
        <f t="shared" si="86"/>
        <v>XL</v>
      </c>
      <c r="G103" s="30" t="str">
        <f t="shared" si="86"/>
        <v>P</v>
      </c>
      <c r="H103" s="30" t="str">
        <f t="shared" si="86"/>
        <v>2 P XL</v>
      </c>
      <c r="I103" s="36">
        <f t="shared" si="86"/>
        <v>40.908266666666691</v>
      </c>
      <c r="J103" s="89">
        <f t="shared" si="86"/>
        <v>4.5453629629629653</v>
      </c>
      <c r="K103" s="30">
        <f t="shared" si="86"/>
        <v>50</v>
      </c>
      <c r="L103" s="10" t="str">
        <f>IFERROR(VLOOKUP(L23,'CODIGOS D'!$A$2:$S$451,13,FALSE),"")</f>
        <v>Aminoácidos, Materia Orgánica, N</v>
      </c>
      <c r="M103" s="30" t="str">
        <f>IFERROR(VLOOKUP(M23,'CODIGOS D'!$A$2:$S$451,13,FALSE),"")</f>
        <v/>
      </c>
      <c r="N103" s="30" t="str">
        <f>IFERROR(VLOOKUP(N23,'CODIGOS D'!$A$2:$S$451,13,FALSE),"")</f>
        <v/>
      </c>
      <c r="O103" s="30" t="str">
        <f>IFERROR(VLOOKUP(O23,'CODIGOS D'!$A$2:$S$451,13,FALSE),"")</f>
        <v/>
      </c>
      <c r="P103" s="30" t="str">
        <f>IFERROR(VLOOKUP(P23,'CODIGOS D'!$A$2:$S$451,13,FALSE),"")</f>
        <v/>
      </c>
      <c r="Q103" s="30" t="str">
        <f>IFERROR(VLOOKUP(Q23,'CODIGOS D'!$A$2:$S$451,13,FALSE),"")</f>
        <v/>
      </c>
      <c r="R103" s="30" t="str">
        <f>IFERROR(VLOOKUP(R23,'CODIGOS D'!$A$2:$S$451,13,FALSE),"")</f>
        <v/>
      </c>
      <c r="S103" s="30" t="str">
        <f>IFERROR(VLOOKUP(S23,'CODIGOS D'!$A$2:$S$451,13,FALSE),"")</f>
        <v/>
      </c>
      <c r="T103" s="30" t="str">
        <f>IFERROR(VLOOKUP(T23,'CODIGOS D'!$A$2:$S$451,13,FALSE),"")</f>
        <v/>
      </c>
      <c r="U103" s="30" t="str">
        <f>IFERROR(VLOOKUP(U23,'CODIGOS D'!$A$2:$S$451,13,FALSE),"")</f>
        <v/>
      </c>
      <c r="V103" s="30" t="str">
        <f>IFERROR(VLOOKUP(V23,'CODIGOS D'!$A$2:$S$451,13,FALSE),"")</f>
        <v/>
      </c>
      <c r="W103" s="30" t="str">
        <f>IFERROR(VLOOKUP(W23,'CODIGOS D'!$A$2:$S$451,13,FALSE),"")</f>
        <v/>
      </c>
      <c r="X103" s="30" t="str">
        <f>IFERROR(VLOOKUP(X23,'CODIGOS D'!$A$2:$S$451,13,FALSE),"")</f>
        <v/>
      </c>
      <c r="Y103" s="30" t="str">
        <f>IFERROR(VLOOKUP(Y23,'CODIGOS D'!$A$2:$S$451,13,FALSE),"")</f>
        <v/>
      </c>
      <c r="Z103" s="30" t="str">
        <f>IFERROR(VLOOKUP(Z23,'CODIGOS D'!$A$2:$S$451,13,FALSE),"")</f>
        <v/>
      </c>
      <c r="AA103" s="30" t="str">
        <f>IFERROR(VLOOKUP(AA23,'CODIGOS D'!$A$2:$S$451,13,FALSE),"")</f>
        <v/>
      </c>
      <c r="AB103" s="30" t="str">
        <f>IFERROR(VLOOKUP(AB23,'CODIGOS D'!$A$2:$S$451,13,FALSE),"")</f>
        <v/>
      </c>
      <c r="AC103" s="30" t="str">
        <f>IFERROR(VLOOKUP(AC23,'CODIGOS D'!$A$2:$S$451,13,FALSE),"")</f>
        <v/>
      </c>
      <c r="AD103" s="30" t="str">
        <f>IFERROR(VLOOKUP(AD23,'CODIGOS D'!$A$2:$S$451,13,FALSE),"")</f>
        <v/>
      </c>
      <c r="AE103" s="1" t="str">
        <f>IFERROR(VLOOKUP(AE23,'CODIGOS D'!$A$2:$S$451,13,FALSE),"")</f>
        <v/>
      </c>
      <c r="AF103" s="1" t="str">
        <f>IFERROR(VLOOKUP(AF23,'CODIGOS D'!$A$2:$S$451,13,FALSE),"")</f>
        <v/>
      </c>
      <c r="AG103" s="1" t="str">
        <f>IFERROR(VLOOKUP(AG23,'CODIGOS D'!$A$2:$S$451,13,FALSE),"")</f>
        <v/>
      </c>
      <c r="AH103" s="1" t="str">
        <f>IFERROR(VLOOKUP(AH23,'CODIGOS D'!$A$2:$S$451,13,FALSE),"")</f>
        <v/>
      </c>
      <c r="AI103" s="89">
        <f t="shared" si="85"/>
        <v>0.71</v>
      </c>
    </row>
    <row r="104" spans="1:35" ht="15" customHeight="1" x14ac:dyDescent="0.2">
      <c r="A104" s="1">
        <f t="shared" si="84"/>
        <v>1</v>
      </c>
      <c r="B104" s="1">
        <f t="shared" si="86"/>
        <v>12</v>
      </c>
      <c r="C104" s="1">
        <f t="shared" si="86"/>
        <v>2619</v>
      </c>
      <c r="D104" s="1" t="str">
        <f t="shared" si="86"/>
        <v>CV</v>
      </c>
      <c r="E104" s="1" t="str">
        <f t="shared" si="86"/>
        <v>P3</v>
      </c>
      <c r="F104" s="1" t="str">
        <f t="shared" si="86"/>
        <v>XL</v>
      </c>
      <c r="G104" s="1" t="str">
        <f t="shared" si="86"/>
        <v>P</v>
      </c>
      <c r="H104" s="1" t="str">
        <f t="shared" si="86"/>
        <v>1 P XL</v>
      </c>
      <c r="I104" s="137">
        <f t="shared" si="86"/>
        <v>39.146699999999981</v>
      </c>
      <c r="J104" s="3">
        <f t="shared" si="86"/>
        <v>4.3496333333333315</v>
      </c>
      <c r="K104" s="1">
        <f t="shared" si="86"/>
        <v>7</v>
      </c>
      <c r="L104" s="1" t="str">
        <f>IFERROR(VLOOKUP(L24,'CODIGOS D'!$A$2:$S$451,13,FALSE),"")</f>
        <v>CARBOXIN THIRAM</v>
      </c>
      <c r="M104" s="1" t="str">
        <f>IFERROR(VLOOKUP(M24,'CODIGOS D'!$A$2:$S$451,13,FALSE),"")</f>
        <v/>
      </c>
      <c r="N104" s="1" t="str">
        <f>IFERROR(VLOOKUP(N24,'CODIGOS D'!$A$2:$S$451,13,FALSE),"")</f>
        <v/>
      </c>
      <c r="O104" s="1" t="str">
        <f>IFERROR(VLOOKUP(O24,'CODIGOS D'!$A$2:$S$451,13,FALSE),"")</f>
        <v/>
      </c>
      <c r="P104" s="1" t="str">
        <f>IFERROR(VLOOKUP(P24,'CODIGOS D'!$A$2:$S$451,13,FALSE),"")</f>
        <v/>
      </c>
      <c r="Q104" s="1" t="str">
        <f>IFERROR(VLOOKUP(Q24,'CODIGOS D'!$A$2:$S$451,13,FALSE),"")</f>
        <v/>
      </c>
      <c r="R104" s="1" t="str">
        <f>IFERROR(VLOOKUP(R24,'CODIGOS D'!$A$2:$S$451,13,FALSE),"")</f>
        <v/>
      </c>
      <c r="S104" s="1" t="str">
        <f>IFERROR(VLOOKUP(S24,'CODIGOS D'!$A$2:$S$451,13,FALSE),"")</f>
        <v/>
      </c>
      <c r="T104" s="1" t="str">
        <f>IFERROR(VLOOKUP(T24,'CODIGOS D'!$A$2:$S$451,13,FALSE),"")</f>
        <v>Oxido de nonilfenoletileno</v>
      </c>
      <c r="U104" s="1" t="str">
        <f>IFERROR(VLOOKUP(U24,'CODIGOS D'!$A$2:$S$451,13,FALSE),"")</f>
        <v/>
      </c>
      <c r="V104" s="1" t="str">
        <f>IFERROR(VLOOKUP(V24,'CODIGOS D'!$A$2:$S$451,13,FALSE),"")</f>
        <v/>
      </c>
      <c r="W104" s="1" t="str">
        <f>IFERROR(VLOOKUP(W24,'CODIGOS D'!$A$2:$S$451,13,FALSE),"")</f>
        <v/>
      </c>
      <c r="X104" s="1" t="str">
        <f>IFERROR(VLOOKUP(X24,'CODIGOS D'!$A$2:$S$451,13,FALSE),"")</f>
        <v/>
      </c>
      <c r="Y104" s="1" t="str">
        <f>IFERROR(VLOOKUP(Y24,'CODIGOS D'!$A$2:$S$451,13,FALSE),"")</f>
        <v/>
      </c>
      <c r="Z104" s="1" t="str">
        <f>IFERROR(VLOOKUP(Z24,'CODIGOS D'!$A$2:$S$451,13,FALSE),"")</f>
        <v/>
      </c>
      <c r="AA104" s="1" t="str">
        <f>IFERROR(VLOOKUP(AA24,'CODIGOS D'!$A$2:$S$451,13,FALSE),"")</f>
        <v/>
      </c>
      <c r="AB104" s="1" t="str">
        <f>IFERROR(VLOOKUP(AB24,'CODIGOS D'!$A$2:$S$451,13,FALSE),"")</f>
        <v/>
      </c>
      <c r="AC104" s="1" t="str">
        <f>IFERROR(VLOOKUP(AC24,'CODIGOS D'!$A$2:$S$451,13,FALSE),"")</f>
        <v/>
      </c>
      <c r="AD104" s="1" t="str">
        <f>IFERROR(VLOOKUP(AD24,'CODIGOS D'!$A$2:$S$451,13,FALSE),"")</f>
        <v/>
      </c>
      <c r="AE104" s="1" t="str">
        <f>IFERROR(VLOOKUP(AE24,'CODIGOS D'!$A$2:$S$451,13,FALSE),"")</f>
        <v/>
      </c>
      <c r="AF104" s="1" t="str">
        <f>IFERROR(VLOOKUP(AF24,'CODIGOS D'!$A$2:$S$451,13,FALSE),"")</f>
        <v/>
      </c>
      <c r="AG104" s="1" t="str">
        <f>IFERROR(VLOOKUP(AG24,'CODIGOS D'!$A$2:$S$451,13,FALSE),"")</f>
        <v/>
      </c>
      <c r="AH104" s="1" t="str">
        <f>IFERROR(VLOOKUP(AH24,'CODIGOS D'!$A$2:$S$451,13,FALSE),"")</f>
        <v/>
      </c>
      <c r="AI104" s="89">
        <f t="shared" si="85"/>
        <v>4.2</v>
      </c>
    </row>
    <row r="105" spans="1:35" ht="15" hidden="1" customHeight="1" x14ac:dyDescent="0.2">
      <c r="A105" s="1">
        <f t="shared" si="84"/>
        <v>2572</v>
      </c>
      <c r="B105" s="1">
        <f t="shared" si="86"/>
        <v>0</v>
      </c>
      <c r="C105" s="1">
        <f t="shared" si="86"/>
        <v>0</v>
      </c>
      <c r="D105" s="1">
        <f t="shared" si="86"/>
        <v>0</v>
      </c>
      <c r="E105" s="1">
        <f t="shared" si="86"/>
        <v>0</v>
      </c>
      <c r="F105" s="1">
        <f t="shared" si="86"/>
        <v>0</v>
      </c>
      <c r="G105" s="1" t="str">
        <f t="shared" si="86"/>
        <v/>
      </c>
      <c r="H105" s="1" t="str">
        <f t="shared" si="86"/>
        <v xml:space="preserve">2572  </v>
      </c>
      <c r="I105" s="137" t="e">
        <f t="shared" si="86"/>
        <v>#N/A</v>
      </c>
      <c r="J105" s="3" t="e">
        <f t="shared" si="86"/>
        <v>#N/A</v>
      </c>
      <c r="K105" s="1">
        <f t="shared" si="86"/>
        <v>0</v>
      </c>
      <c r="L105" s="1" t="str">
        <f>IFERROR(VLOOKUP(L25,'CODIGOS D'!$A$2:$S$451,13,FALSE),"")</f>
        <v/>
      </c>
      <c r="M105" s="1" t="str">
        <f>IFERROR(VLOOKUP(M25,'CODIGOS D'!$A$2:$S$451,13,FALSE),"")</f>
        <v/>
      </c>
      <c r="N105" s="1" t="str">
        <f>IFERROR(VLOOKUP(N25,'CODIGOS D'!$A$2:$S$451,13,FALSE),"")</f>
        <v/>
      </c>
      <c r="O105" s="1" t="str">
        <f>IFERROR(VLOOKUP(O25,'CODIGOS D'!$A$2:$S$451,13,FALSE),"")</f>
        <v/>
      </c>
      <c r="P105" s="1" t="str">
        <f>IFERROR(VLOOKUP(P25,'CODIGOS D'!$A$2:$S$451,13,FALSE),"")</f>
        <v/>
      </c>
      <c r="Q105" s="1" t="str">
        <f>IFERROR(VLOOKUP(Q25,'CODIGOS D'!$A$2:$S$451,13,FALSE),"")</f>
        <v/>
      </c>
      <c r="R105" s="1" t="str">
        <f>IFERROR(VLOOKUP(R25,'CODIGOS D'!$A$2:$S$451,13,FALSE),"")</f>
        <v/>
      </c>
      <c r="S105" s="1" t="str">
        <f>IFERROR(VLOOKUP(S25,'CODIGOS D'!$A$2:$S$451,13,FALSE),"")</f>
        <v/>
      </c>
      <c r="T105" s="1" t="str">
        <f>IFERROR(VLOOKUP(T25,'CODIGOS D'!$A$2:$S$451,13,FALSE),"")</f>
        <v/>
      </c>
      <c r="U105" s="1" t="str">
        <f>IFERROR(VLOOKUP(U25,'CODIGOS D'!$A$2:$S$451,13,FALSE),"")</f>
        <v/>
      </c>
      <c r="V105" s="1" t="str">
        <f>IFERROR(VLOOKUP(V25,'CODIGOS D'!$A$2:$S$451,13,FALSE),"")</f>
        <v/>
      </c>
      <c r="W105" s="1" t="str">
        <f>IFERROR(VLOOKUP(W25,'CODIGOS D'!$A$2:$S$451,13,FALSE),"")</f>
        <v/>
      </c>
      <c r="X105" s="1" t="str">
        <f>IFERROR(VLOOKUP(X25,'CODIGOS D'!$A$2:$S$451,13,FALSE),"")</f>
        <v/>
      </c>
      <c r="Y105" s="1" t="str">
        <f>IFERROR(VLOOKUP(Y25,'CODIGOS D'!$A$2:$S$451,13,FALSE),"")</f>
        <v/>
      </c>
      <c r="Z105" s="1" t="str">
        <f>IFERROR(VLOOKUP(Z25,'CODIGOS D'!$A$2:$S$451,13,FALSE),"")</f>
        <v/>
      </c>
      <c r="AA105" s="1" t="str">
        <f>IFERROR(VLOOKUP(AA25,'CODIGOS D'!$A$2:$S$451,13,FALSE),"")</f>
        <v/>
      </c>
      <c r="AB105" s="1" t="str">
        <f>IFERROR(VLOOKUP(AB25,'CODIGOS D'!$A$2:$S$451,13,FALSE),"")</f>
        <v/>
      </c>
      <c r="AC105" s="1" t="str">
        <f>IFERROR(VLOOKUP(AC25,'CODIGOS D'!$A$2:$S$451,13,FALSE),"")</f>
        <v/>
      </c>
      <c r="AD105" s="1" t="str">
        <f>IFERROR(VLOOKUP(AD25,'CODIGOS D'!$A$2:$S$451,13,FALSE),"")</f>
        <v/>
      </c>
      <c r="AE105" s="1" t="str">
        <f>IFERROR(VLOOKUP(AE25,'CODIGOS D'!$A$2:$S$451,13,FALSE),"")</f>
        <v/>
      </c>
      <c r="AF105" s="1" t="str">
        <f>IFERROR(VLOOKUP(AF25,'CODIGOS D'!$A$2:$S$451,13,FALSE),"")</f>
        <v/>
      </c>
      <c r="AG105" s="1" t="str">
        <f>IFERROR(VLOOKUP(AG25,'CODIGOS D'!$A$2:$S$451,13,FALSE),"")</f>
        <v/>
      </c>
      <c r="AH105" s="1" t="str">
        <f>IFERROR(VLOOKUP(AH25,'CODIGOS D'!$A$2:$S$451,13,FALSE),"")</f>
        <v/>
      </c>
      <c r="AI105" s="89">
        <f t="shared" si="85"/>
        <v>0</v>
      </c>
    </row>
    <row r="106" spans="1:35" ht="15" hidden="1" customHeight="1" x14ac:dyDescent="0.2">
      <c r="A106" s="1">
        <f t="shared" si="84"/>
        <v>2572</v>
      </c>
      <c r="B106" s="1">
        <f t="shared" si="86"/>
        <v>0</v>
      </c>
      <c r="C106" s="1">
        <f t="shared" si="86"/>
        <v>0</v>
      </c>
      <c r="D106" s="1">
        <f t="shared" si="86"/>
        <v>0</v>
      </c>
      <c r="E106" s="1">
        <f t="shared" si="86"/>
        <v>0</v>
      </c>
      <c r="F106" s="1">
        <f t="shared" si="86"/>
        <v>0</v>
      </c>
      <c r="G106" s="1" t="str">
        <f t="shared" si="86"/>
        <v/>
      </c>
      <c r="H106" s="1" t="str">
        <f t="shared" si="86"/>
        <v xml:space="preserve">2572  </v>
      </c>
      <c r="I106" s="137" t="e">
        <f t="shared" si="86"/>
        <v>#N/A</v>
      </c>
      <c r="J106" s="3" t="e">
        <f t="shared" si="86"/>
        <v>#N/A</v>
      </c>
      <c r="K106" s="1">
        <f t="shared" si="86"/>
        <v>0</v>
      </c>
      <c r="L106" s="1" t="str">
        <f>IFERROR(VLOOKUP(L26,'CODIGOS D'!$A$2:$S$451,13,FALSE),"")</f>
        <v/>
      </c>
      <c r="M106" s="1" t="str">
        <f>IFERROR(VLOOKUP(M26,'CODIGOS D'!$A$2:$S$451,13,FALSE),"")</f>
        <v/>
      </c>
      <c r="N106" s="1" t="str">
        <f>IFERROR(VLOOKUP(N26,'CODIGOS D'!$A$2:$S$451,13,FALSE),"")</f>
        <v/>
      </c>
      <c r="O106" s="1" t="str">
        <f>IFERROR(VLOOKUP(O26,'CODIGOS D'!$A$2:$S$451,13,FALSE),"")</f>
        <v/>
      </c>
      <c r="P106" s="1" t="str">
        <f>IFERROR(VLOOKUP(P26,'CODIGOS D'!$A$2:$S$451,13,FALSE),"")</f>
        <v/>
      </c>
      <c r="Q106" s="1" t="str">
        <f>IFERROR(VLOOKUP(Q26,'CODIGOS D'!$A$2:$S$451,13,FALSE),"")</f>
        <v/>
      </c>
      <c r="R106" s="1" t="str">
        <f>IFERROR(VLOOKUP(R26,'CODIGOS D'!$A$2:$S$451,13,FALSE),"")</f>
        <v/>
      </c>
      <c r="S106" s="1" t="str">
        <f>IFERROR(VLOOKUP(S26,'CODIGOS D'!$A$2:$S$451,13,FALSE),"")</f>
        <v/>
      </c>
      <c r="T106" s="1" t="str">
        <f>IFERROR(VLOOKUP(T26,'CODIGOS D'!$A$2:$S$451,13,FALSE),"")</f>
        <v/>
      </c>
      <c r="U106" s="1" t="str">
        <f>IFERROR(VLOOKUP(U26,'CODIGOS D'!$A$2:$S$451,13,FALSE),"")</f>
        <v/>
      </c>
      <c r="V106" s="1" t="str">
        <f>IFERROR(VLOOKUP(V26,'CODIGOS D'!$A$2:$S$451,13,FALSE),"")</f>
        <v/>
      </c>
      <c r="W106" s="1" t="str">
        <f>IFERROR(VLOOKUP(W26,'CODIGOS D'!$A$2:$S$451,13,FALSE),"")</f>
        <v/>
      </c>
      <c r="X106" s="1" t="str">
        <f>IFERROR(VLOOKUP(X26,'CODIGOS D'!$A$2:$S$451,13,FALSE),"")</f>
        <v/>
      </c>
      <c r="Y106" s="1" t="str">
        <f>IFERROR(VLOOKUP(Y26,'CODIGOS D'!$A$2:$S$451,13,FALSE),"")</f>
        <v/>
      </c>
      <c r="Z106" s="1" t="str">
        <f>IFERROR(VLOOKUP(Z26,'CODIGOS D'!$A$2:$S$451,13,FALSE),"")</f>
        <v/>
      </c>
      <c r="AA106" s="1" t="str">
        <f>IFERROR(VLOOKUP(AA26,'CODIGOS D'!$A$2:$S$451,13,FALSE),"")</f>
        <v/>
      </c>
      <c r="AB106" s="1" t="str">
        <f>IFERROR(VLOOKUP(AB26,'CODIGOS D'!$A$2:$S$451,13,FALSE),"")</f>
        <v/>
      </c>
      <c r="AC106" s="1" t="str">
        <f>IFERROR(VLOOKUP(AC26,'CODIGOS D'!$A$2:$S$451,13,FALSE),"")</f>
        <v/>
      </c>
      <c r="AD106" s="1" t="str">
        <f>IFERROR(VLOOKUP(AD26,'CODIGOS D'!$A$2:$S$451,13,FALSE),"")</f>
        <v/>
      </c>
      <c r="AE106" s="1" t="str">
        <f>IFERROR(VLOOKUP(AE26,'CODIGOS D'!$A$2:$S$451,13,FALSE),"")</f>
        <v/>
      </c>
      <c r="AF106" s="1" t="str">
        <f>IFERROR(VLOOKUP(AF26,'CODIGOS D'!$A$2:$S$451,13,FALSE),"")</f>
        <v/>
      </c>
      <c r="AG106" s="1" t="str">
        <f>IFERROR(VLOOKUP(AG26,'CODIGOS D'!$A$2:$S$451,13,FALSE),"")</f>
        <v/>
      </c>
      <c r="AH106" s="1" t="str">
        <f>IFERROR(VLOOKUP(AH26,'CODIGOS D'!$A$2:$S$451,13,FALSE),"")</f>
        <v/>
      </c>
      <c r="AI106" s="89">
        <f t="shared" si="85"/>
        <v>0</v>
      </c>
    </row>
    <row r="107" spans="1:35" ht="15" hidden="1" customHeight="1" x14ac:dyDescent="0.2">
      <c r="A107" s="1">
        <f t="shared" si="84"/>
        <v>2572</v>
      </c>
      <c r="B107" s="1">
        <f t="shared" si="86"/>
        <v>0</v>
      </c>
      <c r="C107" s="1">
        <f t="shared" si="86"/>
        <v>0</v>
      </c>
      <c r="D107" s="1">
        <f t="shared" si="86"/>
        <v>0</v>
      </c>
      <c r="E107" s="1">
        <f t="shared" si="86"/>
        <v>0</v>
      </c>
      <c r="F107" s="1">
        <f t="shared" si="86"/>
        <v>0</v>
      </c>
      <c r="G107" s="1" t="str">
        <f t="shared" si="86"/>
        <v/>
      </c>
      <c r="H107" s="1" t="str">
        <f t="shared" si="86"/>
        <v xml:space="preserve">2572  </v>
      </c>
      <c r="I107" s="137" t="e">
        <f t="shared" si="86"/>
        <v>#N/A</v>
      </c>
      <c r="J107" s="3" t="e">
        <f t="shared" si="86"/>
        <v>#N/A</v>
      </c>
      <c r="K107" s="1">
        <f t="shared" si="86"/>
        <v>0</v>
      </c>
      <c r="L107" s="1" t="str">
        <f>IFERROR(VLOOKUP(L27,'CODIGOS D'!$A$2:$S$451,13,FALSE),"")</f>
        <v/>
      </c>
      <c r="M107" s="1" t="str">
        <f>IFERROR(VLOOKUP(M27,'CODIGOS D'!$A$2:$S$451,13,FALSE),"")</f>
        <v/>
      </c>
      <c r="N107" s="1" t="str">
        <f>IFERROR(VLOOKUP(N27,'CODIGOS D'!$A$2:$S$451,13,FALSE),"")</f>
        <v/>
      </c>
      <c r="O107" s="1" t="str">
        <f>IFERROR(VLOOKUP(O27,'CODIGOS D'!$A$2:$S$451,13,FALSE),"")</f>
        <v/>
      </c>
      <c r="P107" s="1" t="str">
        <f>IFERROR(VLOOKUP(P27,'CODIGOS D'!$A$2:$S$451,13,FALSE),"")</f>
        <v/>
      </c>
      <c r="Q107" s="1" t="str">
        <f>IFERROR(VLOOKUP(Q27,'CODIGOS D'!$A$2:$S$451,13,FALSE),"")</f>
        <v/>
      </c>
      <c r="R107" s="1" t="str">
        <f>IFERROR(VLOOKUP(R27,'CODIGOS D'!$A$2:$S$451,13,FALSE),"")</f>
        <v/>
      </c>
      <c r="S107" s="1" t="str">
        <f>IFERROR(VLOOKUP(S27,'CODIGOS D'!$A$2:$S$451,13,FALSE),"")</f>
        <v/>
      </c>
      <c r="T107" s="1" t="str">
        <f>IFERROR(VLOOKUP(T27,'CODIGOS D'!$A$2:$S$451,13,FALSE),"")</f>
        <v/>
      </c>
      <c r="U107" s="1" t="str">
        <f>IFERROR(VLOOKUP(U27,'CODIGOS D'!$A$2:$S$451,13,FALSE),"")</f>
        <v/>
      </c>
      <c r="V107" s="1" t="str">
        <f>IFERROR(VLOOKUP(V27,'CODIGOS D'!$A$2:$S$451,13,FALSE),"")</f>
        <v/>
      </c>
      <c r="W107" s="1" t="str">
        <f>IFERROR(VLOOKUP(W27,'CODIGOS D'!$A$2:$S$451,13,FALSE),"")</f>
        <v/>
      </c>
      <c r="X107" s="1" t="str">
        <f>IFERROR(VLOOKUP(X27,'CODIGOS D'!$A$2:$S$451,13,FALSE),"")</f>
        <v/>
      </c>
      <c r="Y107" s="1" t="str">
        <f>IFERROR(VLOOKUP(Y27,'CODIGOS D'!$A$2:$S$451,13,FALSE),"")</f>
        <v/>
      </c>
      <c r="Z107" s="1" t="str">
        <f>IFERROR(VLOOKUP(Z27,'CODIGOS D'!$A$2:$S$451,13,FALSE),"")</f>
        <v/>
      </c>
      <c r="AA107" s="1" t="str">
        <f>IFERROR(VLOOKUP(AA27,'CODIGOS D'!$A$2:$S$451,13,FALSE),"")</f>
        <v/>
      </c>
      <c r="AB107" s="1" t="str">
        <f>IFERROR(VLOOKUP(AB27,'CODIGOS D'!$A$2:$S$451,13,FALSE),"")</f>
        <v/>
      </c>
      <c r="AC107" s="1" t="str">
        <f>IFERROR(VLOOKUP(AC27,'CODIGOS D'!$A$2:$S$451,13,FALSE),"")</f>
        <v/>
      </c>
      <c r="AD107" s="1" t="str">
        <f>IFERROR(VLOOKUP(AD27,'CODIGOS D'!$A$2:$S$451,13,FALSE),"")</f>
        <v/>
      </c>
      <c r="AE107" s="1" t="str">
        <f>IFERROR(VLOOKUP(AE27,'CODIGOS D'!$A$2:$S$451,13,FALSE),"")</f>
        <v/>
      </c>
      <c r="AF107" s="1" t="str">
        <f>IFERROR(VLOOKUP(AF27,'CODIGOS D'!$A$2:$S$451,13,FALSE),"")</f>
        <v/>
      </c>
      <c r="AG107" s="1" t="str">
        <f>IFERROR(VLOOKUP(AG27,'CODIGOS D'!$A$2:$S$451,13,FALSE),"")</f>
        <v/>
      </c>
      <c r="AH107" s="1" t="str">
        <f>IFERROR(VLOOKUP(AH27,'CODIGOS D'!$A$2:$S$451,13,FALSE),"")</f>
        <v/>
      </c>
      <c r="AI107" s="89">
        <f t="shared" si="85"/>
        <v>0</v>
      </c>
    </row>
    <row r="108" spans="1:35" ht="15" hidden="1" customHeight="1" x14ac:dyDescent="0.2">
      <c r="A108" s="1">
        <f t="shared" si="84"/>
        <v>2572</v>
      </c>
      <c r="B108" s="1">
        <f t="shared" si="86"/>
        <v>0</v>
      </c>
      <c r="C108" s="1">
        <f t="shared" si="86"/>
        <v>0</v>
      </c>
      <c r="D108" s="1">
        <f t="shared" si="86"/>
        <v>0</v>
      </c>
      <c r="E108" s="1">
        <f t="shared" si="86"/>
        <v>0</v>
      </c>
      <c r="F108" s="1">
        <f t="shared" si="86"/>
        <v>0</v>
      </c>
      <c r="G108" s="1" t="str">
        <f t="shared" si="86"/>
        <v/>
      </c>
      <c r="H108" s="1" t="str">
        <f t="shared" si="86"/>
        <v xml:space="preserve">2572  </v>
      </c>
      <c r="I108" s="137" t="e">
        <f t="shared" si="86"/>
        <v>#N/A</v>
      </c>
      <c r="J108" s="3" t="e">
        <f t="shared" si="86"/>
        <v>#N/A</v>
      </c>
      <c r="K108" s="1">
        <f t="shared" si="86"/>
        <v>0</v>
      </c>
      <c r="L108" s="1" t="str">
        <f>IFERROR(VLOOKUP(L28,'CODIGOS D'!$A$2:$S$451,13,FALSE),"")</f>
        <v/>
      </c>
      <c r="M108" s="1" t="str">
        <f>IFERROR(VLOOKUP(M28,'CODIGOS D'!$A$2:$S$451,13,FALSE),"")</f>
        <v/>
      </c>
      <c r="N108" s="1" t="str">
        <f>IFERROR(VLOOKUP(N28,'CODIGOS D'!$A$2:$S$451,13,FALSE),"")</f>
        <v/>
      </c>
      <c r="O108" s="1" t="str">
        <f>IFERROR(VLOOKUP(O28,'CODIGOS D'!$A$2:$S$451,13,FALSE),"")</f>
        <v/>
      </c>
      <c r="P108" s="1" t="str">
        <f>IFERROR(VLOOKUP(P28,'CODIGOS D'!$A$2:$S$451,13,FALSE),"")</f>
        <v/>
      </c>
      <c r="Q108" s="1" t="str">
        <f>IFERROR(VLOOKUP(Q28,'CODIGOS D'!$A$2:$S$451,13,FALSE),"")</f>
        <v/>
      </c>
      <c r="R108" s="1" t="str">
        <f>IFERROR(VLOOKUP(R28,'CODIGOS D'!$A$2:$S$451,13,FALSE),"")</f>
        <v/>
      </c>
      <c r="S108" s="1" t="str">
        <f>IFERROR(VLOOKUP(S28,'CODIGOS D'!$A$2:$S$451,13,FALSE),"")</f>
        <v/>
      </c>
      <c r="T108" s="1" t="str">
        <f>IFERROR(VLOOKUP(T28,'CODIGOS D'!$A$2:$S$451,13,FALSE),"")</f>
        <v/>
      </c>
      <c r="U108" s="1" t="str">
        <f>IFERROR(VLOOKUP(U28,'CODIGOS D'!$A$2:$S$451,13,FALSE),"")</f>
        <v/>
      </c>
      <c r="V108" s="1" t="str">
        <f>IFERROR(VLOOKUP(V28,'CODIGOS D'!$A$2:$S$451,13,FALSE),"")</f>
        <v/>
      </c>
      <c r="W108" s="1" t="str">
        <f>IFERROR(VLOOKUP(W28,'CODIGOS D'!$A$2:$S$451,13,FALSE),"")</f>
        <v/>
      </c>
      <c r="X108" s="1" t="str">
        <f>IFERROR(VLOOKUP(X28,'CODIGOS D'!$A$2:$S$451,13,FALSE),"")</f>
        <v/>
      </c>
      <c r="Y108" s="1" t="str">
        <f>IFERROR(VLOOKUP(Y28,'CODIGOS D'!$A$2:$S$451,13,FALSE),"")</f>
        <v/>
      </c>
      <c r="Z108" s="1" t="str">
        <f>IFERROR(VLOOKUP(Z28,'CODIGOS D'!$A$2:$S$451,13,FALSE),"")</f>
        <v/>
      </c>
      <c r="AA108" s="1" t="str">
        <f>IFERROR(VLOOKUP(AA28,'CODIGOS D'!$A$2:$S$451,13,FALSE),"")</f>
        <v/>
      </c>
      <c r="AB108" s="1" t="str">
        <f>IFERROR(VLOOKUP(AB28,'CODIGOS D'!$A$2:$S$451,13,FALSE),"")</f>
        <v/>
      </c>
      <c r="AC108" s="1" t="str">
        <f>IFERROR(VLOOKUP(AC28,'CODIGOS D'!$A$2:$S$451,13,FALSE),"")</f>
        <v/>
      </c>
      <c r="AD108" s="1" t="str">
        <f>IFERROR(VLOOKUP(AD28,'CODIGOS D'!$A$2:$S$451,13,FALSE),"")</f>
        <v/>
      </c>
      <c r="AE108" s="1" t="str">
        <f>IFERROR(VLOOKUP(AE28,'CODIGOS D'!$A$2:$S$451,13,FALSE),"")</f>
        <v/>
      </c>
      <c r="AF108" s="1" t="str">
        <f>IFERROR(VLOOKUP(AF28,'CODIGOS D'!$A$2:$S$451,13,FALSE),"")</f>
        <v/>
      </c>
      <c r="AG108" s="1" t="str">
        <f>IFERROR(VLOOKUP(AG28,'CODIGOS D'!$A$2:$S$451,13,FALSE),"")</f>
        <v/>
      </c>
      <c r="AH108" s="1" t="str">
        <f>IFERROR(VLOOKUP(AH28,'CODIGOS D'!$A$2:$S$451,13,FALSE),"")</f>
        <v/>
      </c>
      <c r="AI108" s="89">
        <f t="shared" si="85"/>
        <v>0</v>
      </c>
    </row>
    <row r="109" spans="1:35" s="32" customFormat="1" ht="15" hidden="1" customHeight="1" x14ac:dyDescent="0.2">
      <c r="A109" s="30">
        <f t="shared" si="84"/>
        <v>2572</v>
      </c>
      <c r="B109" s="30">
        <f t="shared" si="86"/>
        <v>0</v>
      </c>
      <c r="C109" s="30">
        <f t="shared" si="86"/>
        <v>0</v>
      </c>
      <c r="D109" s="30">
        <f t="shared" si="86"/>
        <v>0</v>
      </c>
      <c r="E109" s="30">
        <f t="shared" si="86"/>
        <v>0</v>
      </c>
      <c r="F109" s="30">
        <f t="shared" si="86"/>
        <v>0</v>
      </c>
      <c r="G109" s="30" t="str">
        <f t="shared" si="86"/>
        <v/>
      </c>
      <c r="H109" s="30" t="str">
        <f t="shared" si="86"/>
        <v xml:space="preserve">2572  </v>
      </c>
      <c r="I109" s="36" t="e">
        <f t="shared" si="86"/>
        <v>#N/A</v>
      </c>
      <c r="J109" s="89" t="e">
        <f t="shared" si="86"/>
        <v>#N/A</v>
      </c>
      <c r="K109" s="30">
        <f t="shared" si="86"/>
        <v>0</v>
      </c>
      <c r="L109" s="10" t="str">
        <f>IFERROR(VLOOKUP(L29,'CODIGOS D'!$A$2:$S$451,13,FALSE),"")</f>
        <v/>
      </c>
      <c r="M109" s="30" t="str">
        <f>IFERROR(VLOOKUP(M29,'CODIGOS D'!$A$2:$S$451,13,FALSE),"")</f>
        <v/>
      </c>
      <c r="N109" s="30" t="str">
        <f>IFERROR(VLOOKUP(N29,'CODIGOS D'!$A$2:$S$451,13,FALSE),"")</f>
        <v/>
      </c>
      <c r="O109" s="30" t="str">
        <f>IFERROR(VLOOKUP(O29,'CODIGOS D'!$A$2:$S$451,13,FALSE),"")</f>
        <v/>
      </c>
      <c r="P109" s="30" t="str">
        <f>IFERROR(VLOOKUP(P29,'CODIGOS D'!$A$2:$S$451,13,FALSE),"")</f>
        <v/>
      </c>
      <c r="Q109" s="30" t="str">
        <f>IFERROR(VLOOKUP(Q29,'CODIGOS D'!$A$2:$S$451,13,FALSE),"")</f>
        <v/>
      </c>
      <c r="R109" s="30" t="str">
        <f>IFERROR(VLOOKUP(R29,'CODIGOS D'!$A$2:$S$451,13,FALSE),"")</f>
        <v/>
      </c>
      <c r="S109" s="30" t="str">
        <f>IFERROR(VLOOKUP(S29,'CODIGOS D'!$A$2:$S$451,13,FALSE),"")</f>
        <v/>
      </c>
      <c r="T109" s="30" t="str">
        <f>IFERROR(VLOOKUP(T29,'CODIGOS D'!$A$2:$S$451,13,FALSE),"")</f>
        <v/>
      </c>
      <c r="U109" s="30" t="str">
        <f>IFERROR(VLOOKUP(U29,'CODIGOS D'!$A$2:$S$451,13,FALSE),"")</f>
        <v/>
      </c>
      <c r="V109" s="30" t="str">
        <f>IFERROR(VLOOKUP(V29,'CODIGOS D'!$A$2:$S$451,13,FALSE),"")</f>
        <v/>
      </c>
      <c r="W109" s="30" t="str">
        <f>IFERROR(VLOOKUP(W29,'CODIGOS D'!$A$2:$S$451,13,FALSE),"")</f>
        <v/>
      </c>
      <c r="X109" s="30" t="str">
        <f>IFERROR(VLOOKUP(X29,'CODIGOS D'!$A$2:$S$451,13,FALSE),"")</f>
        <v/>
      </c>
      <c r="Y109" s="30" t="str">
        <f>IFERROR(VLOOKUP(Y29,'CODIGOS D'!$A$2:$S$451,13,FALSE),"")</f>
        <v/>
      </c>
      <c r="Z109" s="30" t="str">
        <f>IFERROR(VLOOKUP(Z29,'CODIGOS D'!$A$2:$S$451,13,FALSE),"")</f>
        <v/>
      </c>
      <c r="AA109" s="30" t="str">
        <f>IFERROR(VLOOKUP(AA29,'CODIGOS D'!$A$2:$S$451,13,FALSE),"")</f>
        <v/>
      </c>
      <c r="AB109" s="30" t="str">
        <f>IFERROR(VLOOKUP(AB29,'CODIGOS D'!$A$2:$S$451,13,FALSE),"")</f>
        <v/>
      </c>
      <c r="AC109" s="30" t="str">
        <f>IFERROR(VLOOKUP(AC29,'CODIGOS D'!$A$2:$S$451,13,FALSE),"")</f>
        <v/>
      </c>
      <c r="AD109" s="30" t="str">
        <f>IFERROR(VLOOKUP(AD29,'CODIGOS D'!$A$2:$S$451,13,FALSE),"")</f>
        <v/>
      </c>
      <c r="AE109" s="1" t="str">
        <f>IFERROR(VLOOKUP(AE29,'CODIGOS D'!$A$2:$S$451,13,FALSE),"")</f>
        <v/>
      </c>
      <c r="AF109" s="1" t="str">
        <f>IFERROR(VLOOKUP(AF29,'CODIGOS D'!$A$2:$S$451,13,FALSE),"")</f>
        <v/>
      </c>
      <c r="AG109" s="1" t="str">
        <f>IFERROR(VLOOKUP(AG29,'CODIGOS D'!$A$2:$S$451,13,FALSE),"")</f>
        <v/>
      </c>
      <c r="AH109" s="1" t="str">
        <f>IFERROR(VLOOKUP(AH29,'CODIGOS D'!$A$2:$S$451,13,FALSE),"")</f>
        <v/>
      </c>
      <c r="AI109" s="89">
        <f t="shared" si="85"/>
        <v>0</v>
      </c>
    </row>
    <row r="110" spans="1:35" s="32" customFormat="1" ht="15" hidden="1" customHeight="1" x14ac:dyDescent="0.2">
      <c r="A110" s="30">
        <f t="shared" si="84"/>
        <v>2572</v>
      </c>
      <c r="B110" s="30">
        <f t="shared" si="86"/>
        <v>0</v>
      </c>
      <c r="C110" s="30">
        <f t="shared" si="86"/>
        <v>0</v>
      </c>
      <c r="D110" s="30">
        <f t="shared" si="86"/>
        <v>0</v>
      </c>
      <c r="E110" s="30">
        <f t="shared" si="86"/>
        <v>0</v>
      </c>
      <c r="F110" s="30">
        <f t="shared" si="86"/>
        <v>0</v>
      </c>
      <c r="G110" s="30" t="str">
        <f t="shared" si="86"/>
        <v/>
      </c>
      <c r="H110" s="30" t="str">
        <f t="shared" si="86"/>
        <v xml:space="preserve">2572  </v>
      </c>
      <c r="I110" s="36" t="e">
        <f t="shared" si="86"/>
        <v>#N/A</v>
      </c>
      <c r="J110" s="89" t="e">
        <f t="shared" si="86"/>
        <v>#N/A</v>
      </c>
      <c r="K110" s="30">
        <f t="shared" si="86"/>
        <v>0</v>
      </c>
      <c r="L110" s="10" t="str">
        <f>IFERROR(VLOOKUP(L30,'CODIGOS D'!$A$2:$S$451,13,FALSE),"")</f>
        <v/>
      </c>
      <c r="M110" s="30" t="str">
        <f>IFERROR(VLOOKUP(M30,'CODIGOS D'!$A$2:$S$451,13,FALSE),"")</f>
        <v/>
      </c>
      <c r="N110" s="30" t="str">
        <f>IFERROR(VLOOKUP(N30,'CODIGOS D'!$A$2:$S$451,13,FALSE),"")</f>
        <v/>
      </c>
      <c r="O110" s="30" t="str">
        <f>IFERROR(VLOOKUP(O30,'CODIGOS D'!$A$2:$S$451,13,FALSE),"")</f>
        <v/>
      </c>
      <c r="P110" s="30" t="str">
        <f>IFERROR(VLOOKUP(P30,'CODIGOS D'!$A$2:$S$451,13,FALSE),"")</f>
        <v/>
      </c>
      <c r="Q110" s="30" t="str">
        <f>IFERROR(VLOOKUP(Q30,'CODIGOS D'!$A$2:$S$451,13,FALSE),"")</f>
        <v/>
      </c>
      <c r="R110" s="30" t="str">
        <f>IFERROR(VLOOKUP(R30,'CODIGOS D'!$A$2:$S$451,13,FALSE),"")</f>
        <v/>
      </c>
      <c r="S110" s="30" t="str">
        <f>IFERROR(VLOOKUP(S30,'CODIGOS D'!$A$2:$S$451,13,FALSE),"")</f>
        <v/>
      </c>
      <c r="T110" s="30" t="str">
        <f>IFERROR(VLOOKUP(T30,'CODIGOS D'!$A$2:$S$451,13,FALSE),"")</f>
        <v/>
      </c>
      <c r="U110" s="30" t="str">
        <f>IFERROR(VLOOKUP(U30,'CODIGOS D'!$A$2:$S$451,13,FALSE),"")</f>
        <v/>
      </c>
      <c r="V110" s="30" t="str">
        <f>IFERROR(VLOOKUP(V30,'CODIGOS D'!$A$2:$S$451,13,FALSE),"")</f>
        <v/>
      </c>
      <c r="W110" s="30" t="str">
        <f>IFERROR(VLOOKUP(W30,'CODIGOS D'!$A$2:$S$451,13,FALSE),"")</f>
        <v/>
      </c>
      <c r="X110" s="30" t="str">
        <f>IFERROR(VLOOKUP(X30,'CODIGOS D'!$A$2:$S$451,13,FALSE),"")</f>
        <v/>
      </c>
      <c r="Y110" s="30" t="str">
        <f>IFERROR(VLOOKUP(Y30,'CODIGOS D'!$A$2:$S$451,13,FALSE),"")</f>
        <v/>
      </c>
      <c r="Z110" s="30" t="str">
        <f>IFERROR(VLOOKUP(Z30,'CODIGOS D'!$A$2:$S$451,13,FALSE),"")</f>
        <v/>
      </c>
      <c r="AA110" s="30" t="str">
        <f>IFERROR(VLOOKUP(AA30,'CODIGOS D'!$A$2:$S$451,13,FALSE),"")</f>
        <v/>
      </c>
      <c r="AB110" s="30" t="str">
        <f>IFERROR(VLOOKUP(AB30,'CODIGOS D'!$A$2:$S$451,13,FALSE),"")</f>
        <v/>
      </c>
      <c r="AC110" s="30" t="str">
        <f>IFERROR(VLOOKUP(AC30,'CODIGOS D'!$A$2:$S$451,13,FALSE),"")</f>
        <v/>
      </c>
      <c r="AD110" s="30" t="str">
        <f>IFERROR(VLOOKUP(AD30,'CODIGOS D'!$A$2:$S$451,13,FALSE),"")</f>
        <v/>
      </c>
      <c r="AE110" s="1" t="str">
        <f>IFERROR(VLOOKUP(AE30,'CODIGOS D'!$A$2:$S$451,13,FALSE),"")</f>
        <v/>
      </c>
      <c r="AF110" s="1" t="str">
        <f>IFERROR(VLOOKUP(AF30,'CODIGOS D'!$A$2:$S$451,13,FALSE),"")</f>
        <v/>
      </c>
      <c r="AG110" s="1" t="str">
        <f>IFERROR(VLOOKUP(AG30,'CODIGOS D'!$A$2:$S$451,13,FALSE),"")</f>
        <v/>
      </c>
      <c r="AH110" s="1" t="str">
        <f>IFERROR(VLOOKUP(AH30,'CODIGOS D'!$A$2:$S$451,13,FALSE),"")</f>
        <v/>
      </c>
      <c r="AI110" s="89">
        <f t="shared" si="85"/>
        <v>0</v>
      </c>
    </row>
    <row r="111" spans="1:35" s="32" customFormat="1" ht="15" hidden="1" customHeight="1" x14ac:dyDescent="0.2">
      <c r="A111" s="30">
        <f t="shared" si="84"/>
        <v>2572</v>
      </c>
      <c r="B111" s="30">
        <f t="shared" si="86"/>
        <v>0</v>
      </c>
      <c r="C111" s="30">
        <f t="shared" si="86"/>
        <v>0</v>
      </c>
      <c r="D111" s="30">
        <f t="shared" si="86"/>
        <v>0</v>
      </c>
      <c r="E111" s="30">
        <f t="shared" si="86"/>
        <v>0</v>
      </c>
      <c r="F111" s="30">
        <f t="shared" si="86"/>
        <v>0</v>
      </c>
      <c r="G111" s="30" t="str">
        <f t="shared" si="86"/>
        <v/>
      </c>
      <c r="H111" s="30" t="str">
        <f t="shared" si="86"/>
        <v xml:space="preserve">2572  </v>
      </c>
      <c r="I111" s="36" t="e">
        <f t="shared" si="86"/>
        <v>#N/A</v>
      </c>
      <c r="J111" s="89" t="e">
        <f t="shared" si="86"/>
        <v>#N/A</v>
      </c>
      <c r="K111" s="30">
        <f t="shared" si="86"/>
        <v>0</v>
      </c>
      <c r="L111" s="10" t="str">
        <f>IFERROR(VLOOKUP(L31,'CODIGOS D'!$A$2:$S$451,13,FALSE),"")</f>
        <v/>
      </c>
      <c r="M111" s="30" t="str">
        <f>IFERROR(VLOOKUP(M31,'CODIGOS D'!$A$2:$S$451,13,FALSE),"")</f>
        <v/>
      </c>
      <c r="N111" s="30" t="str">
        <f>IFERROR(VLOOKUP(N31,'CODIGOS D'!$A$2:$S$451,13,FALSE),"")</f>
        <v/>
      </c>
      <c r="O111" s="30" t="str">
        <f>IFERROR(VLOOKUP(O31,'CODIGOS D'!$A$2:$S$451,13,FALSE),"")</f>
        <v/>
      </c>
      <c r="P111" s="30" t="str">
        <f>IFERROR(VLOOKUP(P31,'CODIGOS D'!$A$2:$S$451,13,FALSE),"")</f>
        <v/>
      </c>
      <c r="Q111" s="30" t="str">
        <f>IFERROR(VLOOKUP(Q31,'CODIGOS D'!$A$2:$S$451,13,FALSE),"")</f>
        <v/>
      </c>
      <c r="R111" s="30" t="str">
        <f>IFERROR(VLOOKUP(R31,'CODIGOS D'!$A$2:$S$451,13,FALSE),"")</f>
        <v/>
      </c>
      <c r="S111" s="30" t="str">
        <f>IFERROR(VLOOKUP(S31,'CODIGOS D'!$A$2:$S$451,13,FALSE),"")</f>
        <v/>
      </c>
      <c r="T111" s="30" t="str">
        <f>IFERROR(VLOOKUP(T31,'CODIGOS D'!$A$2:$S$451,13,FALSE),"")</f>
        <v/>
      </c>
      <c r="U111" s="30" t="str">
        <f>IFERROR(VLOOKUP(U31,'CODIGOS D'!$A$2:$S$451,13,FALSE),"")</f>
        <v/>
      </c>
      <c r="V111" s="30" t="str">
        <f>IFERROR(VLOOKUP(V31,'CODIGOS D'!$A$2:$S$451,13,FALSE),"")</f>
        <v/>
      </c>
      <c r="W111" s="30" t="str">
        <f>IFERROR(VLOOKUP(W31,'CODIGOS D'!$A$2:$S$451,13,FALSE),"")</f>
        <v/>
      </c>
      <c r="X111" s="30" t="str">
        <f>IFERROR(VLOOKUP(X31,'CODIGOS D'!$A$2:$S$451,13,FALSE),"")</f>
        <v/>
      </c>
      <c r="Y111" s="30" t="str">
        <f>IFERROR(VLOOKUP(Y31,'CODIGOS D'!$A$2:$S$451,13,FALSE),"")</f>
        <v/>
      </c>
      <c r="Z111" s="30" t="str">
        <f>IFERROR(VLOOKUP(Z31,'CODIGOS D'!$A$2:$S$451,13,FALSE),"")</f>
        <v/>
      </c>
      <c r="AA111" s="30" t="str">
        <f>IFERROR(VLOOKUP(AA31,'CODIGOS D'!$A$2:$S$451,13,FALSE),"")</f>
        <v/>
      </c>
      <c r="AB111" s="30" t="str">
        <f>IFERROR(VLOOKUP(AB31,'CODIGOS D'!$A$2:$S$451,13,FALSE),"")</f>
        <v/>
      </c>
      <c r="AC111" s="30" t="str">
        <f>IFERROR(VLOOKUP(AC31,'CODIGOS D'!$A$2:$S$451,13,FALSE),"")</f>
        <v/>
      </c>
      <c r="AD111" s="30" t="str">
        <f>IFERROR(VLOOKUP(AD31,'CODIGOS D'!$A$2:$S$451,13,FALSE),"")</f>
        <v/>
      </c>
      <c r="AE111" s="1" t="str">
        <f>IFERROR(VLOOKUP(AE31,'CODIGOS D'!$A$2:$S$451,13,FALSE),"")</f>
        <v/>
      </c>
      <c r="AF111" s="1" t="str">
        <f>IFERROR(VLOOKUP(AF31,'CODIGOS D'!$A$2:$S$451,13,FALSE),"")</f>
        <v/>
      </c>
      <c r="AG111" s="1" t="str">
        <f>IFERROR(VLOOKUP(AG31,'CODIGOS D'!$A$2:$S$451,13,FALSE),"")</f>
        <v/>
      </c>
      <c r="AH111" s="1" t="str">
        <f>IFERROR(VLOOKUP(AH31,'CODIGOS D'!$A$2:$S$451,13,FALSE),"")</f>
        <v/>
      </c>
      <c r="AI111" s="89">
        <f t="shared" si="85"/>
        <v>0</v>
      </c>
    </row>
    <row r="112" spans="1:35" s="32" customFormat="1" ht="15" hidden="1" customHeight="1" x14ac:dyDescent="0.2">
      <c r="A112" s="30">
        <f t="shared" si="84"/>
        <v>2572</v>
      </c>
      <c r="B112" s="30">
        <f t="shared" si="86"/>
        <v>0</v>
      </c>
      <c r="C112" s="30">
        <f t="shared" si="86"/>
        <v>0</v>
      </c>
      <c r="D112" s="30">
        <f t="shared" si="86"/>
        <v>0</v>
      </c>
      <c r="E112" s="30">
        <f t="shared" si="86"/>
        <v>0</v>
      </c>
      <c r="F112" s="30">
        <f t="shared" si="86"/>
        <v>0</v>
      </c>
      <c r="G112" s="30" t="str">
        <f t="shared" si="86"/>
        <v/>
      </c>
      <c r="H112" s="30" t="str">
        <f t="shared" si="86"/>
        <v xml:space="preserve">2572  </v>
      </c>
      <c r="I112" s="36" t="e">
        <f t="shared" si="86"/>
        <v>#N/A</v>
      </c>
      <c r="J112" s="89" t="e">
        <f t="shared" si="86"/>
        <v>#N/A</v>
      </c>
      <c r="K112" s="30">
        <f t="shared" si="86"/>
        <v>0</v>
      </c>
      <c r="L112" s="10" t="str">
        <f>IFERROR(VLOOKUP(L32,'CODIGOS D'!$A$2:$S$451,13,FALSE),"")</f>
        <v/>
      </c>
      <c r="M112" s="30" t="str">
        <f>IFERROR(VLOOKUP(M32,'CODIGOS D'!$A$2:$S$451,13,FALSE),"")</f>
        <v/>
      </c>
      <c r="N112" s="30" t="str">
        <f>IFERROR(VLOOKUP(N32,'CODIGOS D'!$A$2:$S$451,13,FALSE),"")</f>
        <v/>
      </c>
      <c r="O112" s="30" t="str">
        <f>IFERROR(VLOOKUP(O32,'CODIGOS D'!$A$2:$S$451,13,FALSE),"")</f>
        <v/>
      </c>
      <c r="P112" s="30" t="str">
        <f>IFERROR(VLOOKUP(P32,'CODIGOS D'!$A$2:$S$451,13,FALSE),"")</f>
        <v/>
      </c>
      <c r="Q112" s="30" t="str">
        <f>IFERROR(VLOOKUP(Q32,'CODIGOS D'!$A$2:$S$451,13,FALSE),"")</f>
        <v/>
      </c>
      <c r="R112" s="30" t="str">
        <f>IFERROR(VLOOKUP(R32,'CODIGOS D'!$A$2:$S$451,13,FALSE),"")</f>
        <v/>
      </c>
      <c r="S112" s="30" t="str">
        <f>IFERROR(VLOOKUP(S32,'CODIGOS D'!$A$2:$S$451,13,FALSE),"")</f>
        <v/>
      </c>
      <c r="T112" s="30" t="str">
        <f>IFERROR(VLOOKUP(T32,'CODIGOS D'!$A$2:$S$451,13,FALSE),"")</f>
        <v/>
      </c>
      <c r="U112" s="30" t="str">
        <f>IFERROR(VLOOKUP(U32,'CODIGOS D'!$A$2:$S$451,13,FALSE),"")</f>
        <v/>
      </c>
      <c r="V112" s="30" t="str">
        <f>IFERROR(VLOOKUP(V32,'CODIGOS D'!$A$2:$S$451,13,FALSE),"")</f>
        <v/>
      </c>
      <c r="W112" s="30" t="str">
        <f>IFERROR(VLOOKUP(W32,'CODIGOS D'!$A$2:$S$451,13,FALSE),"")</f>
        <v/>
      </c>
      <c r="X112" s="30" t="str">
        <f>IFERROR(VLOOKUP(X32,'CODIGOS D'!$A$2:$S$451,13,FALSE),"")</f>
        <v/>
      </c>
      <c r="Y112" s="30" t="str">
        <f>IFERROR(VLOOKUP(Y32,'CODIGOS D'!$A$2:$S$451,13,FALSE),"")</f>
        <v/>
      </c>
      <c r="Z112" s="30" t="str">
        <f>IFERROR(VLOOKUP(Z32,'CODIGOS D'!$A$2:$S$451,13,FALSE),"")</f>
        <v/>
      </c>
      <c r="AA112" s="30" t="str">
        <f>IFERROR(VLOOKUP(AA32,'CODIGOS D'!$A$2:$S$451,13,FALSE),"")</f>
        <v/>
      </c>
      <c r="AB112" s="30" t="str">
        <f>IFERROR(VLOOKUP(AB32,'CODIGOS D'!$A$2:$S$451,13,FALSE),"")</f>
        <v/>
      </c>
      <c r="AC112" s="30" t="str">
        <f>IFERROR(VLOOKUP(AC32,'CODIGOS D'!$A$2:$S$451,13,FALSE),"")</f>
        <v/>
      </c>
      <c r="AD112" s="30" t="str">
        <f>IFERROR(VLOOKUP(AD32,'CODIGOS D'!$A$2:$S$451,13,FALSE),"")</f>
        <v/>
      </c>
      <c r="AE112" s="1" t="str">
        <f>IFERROR(VLOOKUP(AE32,'CODIGOS D'!$A$2:$S$451,13,FALSE),"")</f>
        <v/>
      </c>
      <c r="AF112" s="1" t="str">
        <f>IFERROR(VLOOKUP(AF32,'CODIGOS D'!$A$2:$S$451,13,FALSE),"")</f>
        <v/>
      </c>
      <c r="AG112" s="1" t="str">
        <f>IFERROR(VLOOKUP(AG32,'CODIGOS D'!$A$2:$S$451,13,FALSE),"")</f>
        <v/>
      </c>
      <c r="AH112" s="1" t="str">
        <f>IFERROR(VLOOKUP(AH32,'CODIGOS D'!$A$2:$S$451,13,FALSE),"")</f>
        <v/>
      </c>
      <c r="AI112" s="89">
        <f t="shared" si="85"/>
        <v>0</v>
      </c>
    </row>
    <row r="113" spans="1:35" s="32" customFormat="1" ht="15" hidden="1" customHeight="1" x14ac:dyDescent="0.2">
      <c r="A113" s="30">
        <f t="shared" si="84"/>
        <v>2572</v>
      </c>
      <c r="B113" s="30">
        <f t="shared" si="86"/>
        <v>0</v>
      </c>
      <c r="C113" s="30">
        <f t="shared" si="86"/>
        <v>0</v>
      </c>
      <c r="D113" s="30">
        <f t="shared" si="86"/>
        <v>0</v>
      </c>
      <c r="E113" s="30">
        <f t="shared" si="86"/>
        <v>0</v>
      </c>
      <c r="F113" s="30">
        <f t="shared" si="86"/>
        <v>0</v>
      </c>
      <c r="G113" s="30" t="str">
        <f t="shared" si="86"/>
        <v/>
      </c>
      <c r="H113" s="30" t="str">
        <f t="shared" si="86"/>
        <v xml:space="preserve">2572  </v>
      </c>
      <c r="I113" s="36" t="e">
        <f t="shared" si="86"/>
        <v>#N/A</v>
      </c>
      <c r="J113" s="89" t="e">
        <f t="shared" si="86"/>
        <v>#N/A</v>
      </c>
      <c r="K113" s="30">
        <f t="shared" si="86"/>
        <v>0</v>
      </c>
      <c r="L113" s="10" t="str">
        <f>IFERROR(VLOOKUP(L33,'CODIGOS D'!$A$2:$S$451,13,FALSE),"")</f>
        <v/>
      </c>
      <c r="M113" s="30" t="str">
        <f>IFERROR(VLOOKUP(M33,'CODIGOS D'!$A$2:$S$451,13,FALSE),"")</f>
        <v/>
      </c>
      <c r="N113" s="30" t="str">
        <f>IFERROR(VLOOKUP(N33,'CODIGOS D'!$A$2:$S$451,13,FALSE),"")</f>
        <v/>
      </c>
      <c r="O113" s="30" t="str">
        <f>IFERROR(VLOOKUP(O33,'CODIGOS D'!$A$2:$S$451,13,FALSE),"")</f>
        <v/>
      </c>
      <c r="P113" s="30" t="str">
        <f>IFERROR(VLOOKUP(P33,'CODIGOS D'!$A$2:$S$451,13,FALSE),"")</f>
        <v/>
      </c>
      <c r="Q113" s="30" t="str">
        <f>IFERROR(VLOOKUP(Q33,'CODIGOS D'!$A$2:$S$451,13,FALSE),"")</f>
        <v/>
      </c>
      <c r="R113" s="30" t="str">
        <f>IFERROR(VLOOKUP(R33,'CODIGOS D'!$A$2:$S$451,13,FALSE),"")</f>
        <v/>
      </c>
      <c r="S113" s="30" t="str">
        <f>IFERROR(VLOOKUP(S33,'CODIGOS D'!$A$2:$S$451,13,FALSE),"")</f>
        <v/>
      </c>
      <c r="T113" s="30" t="str">
        <f>IFERROR(VLOOKUP(T33,'CODIGOS D'!$A$2:$S$451,13,FALSE),"")</f>
        <v/>
      </c>
      <c r="U113" s="30" t="str">
        <f>IFERROR(VLOOKUP(U33,'CODIGOS D'!$A$2:$S$451,13,FALSE),"")</f>
        <v/>
      </c>
      <c r="V113" s="30" t="str">
        <f>IFERROR(VLOOKUP(V33,'CODIGOS D'!$A$2:$S$451,13,FALSE),"")</f>
        <v/>
      </c>
      <c r="W113" s="30" t="str">
        <f>IFERROR(VLOOKUP(W33,'CODIGOS D'!$A$2:$S$451,13,FALSE),"")</f>
        <v/>
      </c>
      <c r="X113" s="30" t="str">
        <f>IFERROR(VLOOKUP(X33,'CODIGOS D'!$A$2:$S$451,13,FALSE),"")</f>
        <v/>
      </c>
      <c r="Y113" s="30" t="str">
        <f>IFERROR(VLOOKUP(Y33,'CODIGOS D'!$A$2:$S$451,13,FALSE),"")</f>
        <v/>
      </c>
      <c r="Z113" s="30" t="str">
        <f>IFERROR(VLOOKUP(Z33,'CODIGOS D'!$A$2:$S$451,13,FALSE),"")</f>
        <v/>
      </c>
      <c r="AA113" s="30" t="str">
        <f>IFERROR(VLOOKUP(AA33,'CODIGOS D'!$A$2:$S$451,13,FALSE),"")</f>
        <v/>
      </c>
      <c r="AB113" s="30" t="str">
        <f>IFERROR(VLOOKUP(AB33,'CODIGOS D'!$A$2:$S$451,13,FALSE),"")</f>
        <v/>
      </c>
      <c r="AC113" s="30" t="str">
        <f>IFERROR(VLOOKUP(AC33,'CODIGOS D'!$A$2:$S$451,13,FALSE),"")</f>
        <v/>
      </c>
      <c r="AD113" s="30" t="str">
        <f>IFERROR(VLOOKUP(AD33,'CODIGOS D'!$A$2:$S$451,13,FALSE),"")</f>
        <v/>
      </c>
      <c r="AE113" s="1" t="str">
        <f>IFERROR(VLOOKUP(AE33,'CODIGOS D'!$A$2:$S$451,13,FALSE),"")</f>
        <v/>
      </c>
      <c r="AF113" s="1" t="str">
        <f>IFERROR(VLOOKUP(AF33,'CODIGOS D'!$A$2:$S$451,13,FALSE),"")</f>
        <v/>
      </c>
      <c r="AG113" s="1" t="str">
        <f>IFERROR(VLOOKUP(AG33,'CODIGOS D'!$A$2:$S$451,13,FALSE),"")</f>
        <v/>
      </c>
      <c r="AH113" s="1" t="str">
        <f>IFERROR(VLOOKUP(AH33,'CODIGOS D'!$A$2:$S$451,13,FALSE),"")</f>
        <v/>
      </c>
      <c r="AI113" s="89">
        <f t="shared" si="85"/>
        <v>0</v>
      </c>
    </row>
    <row r="114" spans="1:35" s="32" customFormat="1" ht="15" hidden="1" customHeight="1" x14ac:dyDescent="0.2">
      <c r="A114" s="30">
        <f t="shared" si="84"/>
        <v>2572</v>
      </c>
      <c r="B114" s="30">
        <f t="shared" si="86"/>
        <v>0</v>
      </c>
      <c r="C114" s="30">
        <f t="shared" si="86"/>
        <v>0</v>
      </c>
      <c r="D114" s="30">
        <f t="shared" si="86"/>
        <v>0</v>
      </c>
      <c r="E114" s="30">
        <f t="shared" si="86"/>
        <v>0</v>
      </c>
      <c r="F114" s="30">
        <f t="shared" si="86"/>
        <v>0</v>
      </c>
      <c r="G114" s="30" t="str">
        <f t="shared" si="86"/>
        <v/>
      </c>
      <c r="H114" s="30" t="str">
        <f t="shared" si="86"/>
        <v xml:space="preserve">2572  </v>
      </c>
      <c r="I114" s="36" t="e">
        <f t="shared" si="86"/>
        <v>#N/A</v>
      </c>
      <c r="J114" s="89" t="e">
        <f t="shared" si="86"/>
        <v>#N/A</v>
      </c>
      <c r="K114" s="30">
        <f t="shared" si="86"/>
        <v>0</v>
      </c>
      <c r="L114" s="10" t="str">
        <f>IFERROR(VLOOKUP(L34,'CODIGOS D'!$A$2:$S$451,13,FALSE),"")</f>
        <v/>
      </c>
      <c r="M114" s="30" t="str">
        <f>IFERROR(VLOOKUP(M34,'CODIGOS D'!$A$2:$S$451,13,FALSE),"")</f>
        <v/>
      </c>
      <c r="N114" s="30" t="str">
        <f>IFERROR(VLOOKUP(N34,'CODIGOS D'!$A$2:$S$451,13,FALSE),"")</f>
        <v/>
      </c>
      <c r="O114" s="30" t="str">
        <f>IFERROR(VLOOKUP(O34,'CODIGOS D'!$A$2:$S$451,13,FALSE),"")</f>
        <v/>
      </c>
      <c r="P114" s="30" t="str">
        <f>IFERROR(VLOOKUP(P34,'CODIGOS D'!$A$2:$S$451,13,FALSE),"")</f>
        <v/>
      </c>
      <c r="Q114" s="30" t="str">
        <f>IFERROR(VLOOKUP(Q34,'CODIGOS D'!$A$2:$S$451,13,FALSE),"")</f>
        <v/>
      </c>
      <c r="R114" s="30" t="str">
        <f>IFERROR(VLOOKUP(R34,'CODIGOS D'!$A$2:$S$451,13,FALSE),"")</f>
        <v/>
      </c>
      <c r="S114" s="30" t="str">
        <f>IFERROR(VLOOKUP(S34,'CODIGOS D'!$A$2:$S$451,13,FALSE),"")</f>
        <v/>
      </c>
      <c r="T114" s="30" t="str">
        <f>IFERROR(VLOOKUP(T34,'CODIGOS D'!$A$2:$S$451,13,FALSE),"")</f>
        <v/>
      </c>
      <c r="U114" s="30" t="str">
        <f>IFERROR(VLOOKUP(U34,'CODIGOS D'!$A$2:$S$451,13,FALSE),"")</f>
        <v/>
      </c>
      <c r="V114" s="30" t="str">
        <f>IFERROR(VLOOKUP(V34,'CODIGOS D'!$A$2:$S$451,13,FALSE),"")</f>
        <v/>
      </c>
      <c r="W114" s="30" t="str">
        <f>IFERROR(VLOOKUP(W34,'CODIGOS D'!$A$2:$S$451,13,FALSE),"")</f>
        <v/>
      </c>
      <c r="X114" s="30" t="str">
        <f>IFERROR(VLOOKUP(X34,'CODIGOS D'!$A$2:$S$451,13,FALSE),"")</f>
        <v/>
      </c>
      <c r="Y114" s="30" t="str">
        <f>IFERROR(VLOOKUP(Y34,'CODIGOS D'!$A$2:$S$451,13,FALSE),"")</f>
        <v/>
      </c>
      <c r="Z114" s="30" t="str">
        <f>IFERROR(VLOOKUP(Z34,'CODIGOS D'!$A$2:$S$451,13,FALSE),"")</f>
        <v/>
      </c>
      <c r="AA114" s="30" t="str">
        <f>IFERROR(VLOOKUP(AA34,'CODIGOS D'!$A$2:$S$451,13,FALSE),"")</f>
        <v/>
      </c>
      <c r="AB114" s="30" t="str">
        <f>IFERROR(VLOOKUP(AB34,'CODIGOS D'!$A$2:$S$451,13,FALSE),"")</f>
        <v/>
      </c>
      <c r="AC114" s="30" t="str">
        <f>IFERROR(VLOOKUP(AC34,'CODIGOS D'!$A$2:$S$451,13,FALSE),"")</f>
        <v/>
      </c>
      <c r="AD114" s="30" t="str">
        <f>IFERROR(VLOOKUP(AD34,'CODIGOS D'!$A$2:$S$451,13,FALSE),"")</f>
        <v/>
      </c>
      <c r="AE114" s="1" t="str">
        <f>IFERROR(VLOOKUP(AE34,'CODIGOS D'!$A$2:$S$451,13,FALSE),"")</f>
        <v/>
      </c>
      <c r="AF114" s="1" t="str">
        <f>IFERROR(VLOOKUP(AF34,'CODIGOS D'!$A$2:$S$451,13,FALSE),"")</f>
        <v/>
      </c>
      <c r="AG114" s="1" t="str">
        <f>IFERROR(VLOOKUP(AG34,'CODIGOS D'!$A$2:$S$451,13,FALSE),"")</f>
        <v/>
      </c>
      <c r="AH114" s="1" t="str">
        <f>IFERROR(VLOOKUP(AH34,'CODIGOS D'!$A$2:$S$451,13,FALSE),"")</f>
        <v/>
      </c>
      <c r="AI114" s="89">
        <f t="shared" si="85"/>
        <v>0</v>
      </c>
    </row>
    <row r="115" spans="1:35" s="32" customFormat="1" ht="15" hidden="1" customHeight="1" x14ac:dyDescent="0.2">
      <c r="A115" s="30">
        <f t="shared" si="84"/>
        <v>2572</v>
      </c>
      <c r="B115" s="30">
        <f t="shared" si="86"/>
        <v>0</v>
      </c>
      <c r="C115" s="30">
        <f t="shared" si="86"/>
        <v>0</v>
      </c>
      <c r="D115" s="30">
        <f t="shared" si="86"/>
        <v>0</v>
      </c>
      <c r="E115" s="30">
        <f t="shared" si="86"/>
        <v>0</v>
      </c>
      <c r="F115" s="30">
        <f t="shared" si="86"/>
        <v>0</v>
      </c>
      <c r="G115" s="30" t="str">
        <f t="shared" si="86"/>
        <v/>
      </c>
      <c r="H115" s="30" t="str">
        <f t="shared" si="86"/>
        <v xml:space="preserve">2572  </v>
      </c>
      <c r="I115" s="36" t="e">
        <f t="shared" si="86"/>
        <v>#N/A</v>
      </c>
      <c r="J115" s="89" t="e">
        <f t="shared" si="86"/>
        <v>#N/A</v>
      </c>
      <c r="K115" s="30">
        <f t="shared" si="86"/>
        <v>0</v>
      </c>
      <c r="L115" s="10" t="str">
        <f>IFERROR(VLOOKUP(L35,'CODIGOS D'!$A$2:$S$451,13,FALSE),"")</f>
        <v/>
      </c>
      <c r="M115" s="30" t="str">
        <f>IFERROR(VLOOKUP(M35,'CODIGOS D'!$A$2:$S$451,13,FALSE),"")</f>
        <v/>
      </c>
      <c r="N115" s="30" t="str">
        <f>IFERROR(VLOOKUP(N35,'CODIGOS D'!$A$2:$S$451,13,FALSE),"")</f>
        <v/>
      </c>
      <c r="O115" s="30" t="str">
        <f>IFERROR(VLOOKUP(O35,'CODIGOS D'!$A$2:$S$451,13,FALSE),"")</f>
        <v/>
      </c>
      <c r="P115" s="30" t="str">
        <f>IFERROR(VLOOKUP(P35,'CODIGOS D'!$A$2:$S$451,13,FALSE),"")</f>
        <v/>
      </c>
      <c r="Q115" s="30" t="str">
        <f>IFERROR(VLOOKUP(Q35,'CODIGOS D'!$A$2:$S$451,13,FALSE),"")</f>
        <v/>
      </c>
      <c r="R115" s="30" t="str">
        <f>IFERROR(VLOOKUP(R35,'CODIGOS D'!$A$2:$S$451,13,FALSE),"")</f>
        <v/>
      </c>
      <c r="S115" s="30" t="str">
        <f>IFERROR(VLOOKUP(S35,'CODIGOS D'!$A$2:$S$451,13,FALSE),"")</f>
        <v/>
      </c>
      <c r="T115" s="30" t="str">
        <f>IFERROR(VLOOKUP(T35,'CODIGOS D'!$A$2:$S$451,13,FALSE),"")</f>
        <v/>
      </c>
      <c r="U115" s="30" t="str">
        <f>IFERROR(VLOOKUP(U35,'CODIGOS D'!$A$2:$S$451,13,FALSE),"")</f>
        <v/>
      </c>
      <c r="V115" s="30" t="str">
        <f>IFERROR(VLOOKUP(V35,'CODIGOS D'!$A$2:$S$451,13,FALSE),"")</f>
        <v/>
      </c>
      <c r="W115" s="30" t="str">
        <f>IFERROR(VLOOKUP(W35,'CODIGOS D'!$A$2:$S$451,13,FALSE),"")</f>
        <v/>
      </c>
      <c r="X115" s="30" t="str">
        <f>IFERROR(VLOOKUP(X35,'CODIGOS D'!$A$2:$S$451,13,FALSE),"")</f>
        <v/>
      </c>
      <c r="Y115" s="30" t="str">
        <f>IFERROR(VLOOKUP(Y35,'CODIGOS D'!$A$2:$S$451,13,FALSE),"")</f>
        <v/>
      </c>
      <c r="Z115" s="30" t="str">
        <f>IFERROR(VLOOKUP(Z35,'CODIGOS D'!$A$2:$S$451,13,FALSE),"")</f>
        <v/>
      </c>
      <c r="AA115" s="30" t="str">
        <f>IFERROR(VLOOKUP(AA35,'CODIGOS D'!$A$2:$S$451,13,FALSE),"")</f>
        <v/>
      </c>
      <c r="AB115" s="30" t="str">
        <f>IFERROR(VLOOKUP(AB35,'CODIGOS D'!$A$2:$S$451,13,FALSE),"")</f>
        <v/>
      </c>
      <c r="AC115" s="30" t="str">
        <f>IFERROR(VLOOKUP(AC35,'CODIGOS D'!$A$2:$S$451,13,FALSE),"")</f>
        <v/>
      </c>
      <c r="AD115" s="30" t="str">
        <f>IFERROR(VLOOKUP(AD35,'CODIGOS D'!$A$2:$S$451,13,FALSE),"")</f>
        <v/>
      </c>
      <c r="AE115" s="1" t="str">
        <f>IFERROR(VLOOKUP(AE35,'CODIGOS D'!$A$2:$S$451,13,FALSE),"")</f>
        <v/>
      </c>
      <c r="AF115" s="1" t="str">
        <f>IFERROR(VLOOKUP(AF35,'CODIGOS D'!$A$2:$S$451,13,FALSE),"")</f>
        <v/>
      </c>
      <c r="AG115" s="1" t="str">
        <f>IFERROR(VLOOKUP(AG35,'CODIGOS D'!$A$2:$S$451,13,FALSE),"")</f>
        <v/>
      </c>
      <c r="AH115" s="1" t="str">
        <f>IFERROR(VLOOKUP(AH35,'CODIGOS D'!$A$2:$S$451,13,FALSE),"")</f>
        <v/>
      </c>
      <c r="AI115" s="89">
        <f t="shared" si="85"/>
        <v>0</v>
      </c>
    </row>
    <row r="116" spans="1:35" s="32" customFormat="1" ht="15" hidden="1" customHeight="1" x14ac:dyDescent="0.2">
      <c r="A116" s="30">
        <f t="shared" si="84"/>
        <v>2572</v>
      </c>
      <c r="B116" s="30">
        <f t="shared" si="86"/>
        <v>0</v>
      </c>
      <c r="C116" s="30">
        <f t="shared" si="86"/>
        <v>0</v>
      </c>
      <c r="D116" s="30">
        <f t="shared" si="86"/>
        <v>0</v>
      </c>
      <c r="E116" s="30">
        <f t="shared" si="86"/>
        <v>0</v>
      </c>
      <c r="F116" s="30">
        <f t="shared" si="86"/>
        <v>0</v>
      </c>
      <c r="G116" s="30" t="str">
        <f t="shared" si="86"/>
        <v/>
      </c>
      <c r="H116" s="30" t="str">
        <f t="shared" si="86"/>
        <v xml:space="preserve">2572  </v>
      </c>
      <c r="I116" s="36" t="e">
        <f t="shared" si="86"/>
        <v>#N/A</v>
      </c>
      <c r="J116" s="89" t="e">
        <f t="shared" si="86"/>
        <v>#N/A</v>
      </c>
      <c r="K116" s="30">
        <f t="shared" si="86"/>
        <v>0</v>
      </c>
      <c r="L116" s="10" t="str">
        <f>IFERROR(VLOOKUP(L36,'CODIGOS D'!$A$2:$S$451,13,FALSE),"")</f>
        <v/>
      </c>
      <c r="M116" s="30" t="str">
        <f>IFERROR(VLOOKUP(M36,'CODIGOS D'!$A$2:$S$451,13,FALSE),"")</f>
        <v/>
      </c>
      <c r="N116" s="30" t="str">
        <f>IFERROR(VLOOKUP(N36,'CODIGOS D'!$A$2:$S$451,13,FALSE),"")</f>
        <v/>
      </c>
      <c r="O116" s="30" t="str">
        <f>IFERROR(VLOOKUP(O36,'CODIGOS D'!$A$2:$S$451,13,FALSE),"")</f>
        <v/>
      </c>
      <c r="P116" s="30" t="str">
        <f>IFERROR(VLOOKUP(P36,'CODIGOS D'!$A$2:$S$451,13,FALSE),"")</f>
        <v/>
      </c>
      <c r="Q116" s="30" t="str">
        <f>IFERROR(VLOOKUP(Q36,'CODIGOS D'!$A$2:$S$451,13,FALSE),"")</f>
        <v/>
      </c>
      <c r="R116" s="30" t="str">
        <f>IFERROR(VLOOKUP(R36,'CODIGOS D'!$A$2:$S$451,13,FALSE),"")</f>
        <v/>
      </c>
      <c r="S116" s="30" t="str">
        <f>IFERROR(VLOOKUP(S36,'CODIGOS D'!$A$2:$S$451,13,FALSE),"")</f>
        <v/>
      </c>
      <c r="T116" s="30" t="str">
        <f>IFERROR(VLOOKUP(T36,'CODIGOS D'!$A$2:$S$451,13,FALSE),"")</f>
        <v/>
      </c>
      <c r="U116" s="30" t="str">
        <f>IFERROR(VLOOKUP(U36,'CODIGOS D'!$A$2:$S$451,13,FALSE),"")</f>
        <v/>
      </c>
      <c r="V116" s="30" t="str">
        <f>IFERROR(VLOOKUP(V36,'CODIGOS D'!$A$2:$S$451,13,FALSE),"")</f>
        <v/>
      </c>
      <c r="W116" s="30" t="str">
        <f>IFERROR(VLOOKUP(W36,'CODIGOS D'!$A$2:$S$451,13,FALSE),"")</f>
        <v/>
      </c>
      <c r="X116" s="30" t="str">
        <f>IFERROR(VLOOKUP(X36,'CODIGOS D'!$A$2:$S$451,13,FALSE),"")</f>
        <v/>
      </c>
      <c r="Y116" s="30" t="str">
        <f>IFERROR(VLOOKUP(Y36,'CODIGOS D'!$A$2:$S$451,13,FALSE),"")</f>
        <v/>
      </c>
      <c r="Z116" s="30" t="str">
        <f>IFERROR(VLOOKUP(Z36,'CODIGOS D'!$A$2:$S$451,13,FALSE),"")</f>
        <v/>
      </c>
      <c r="AA116" s="30" t="str">
        <f>IFERROR(VLOOKUP(AA36,'CODIGOS D'!$A$2:$S$451,13,FALSE),"")</f>
        <v/>
      </c>
      <c r="AB116" s="30" t="str">
        <f>IFERROR(VLOOKUP(AB36,'CODIGOS D'!$A$2:$S$451,13,FALSE),"")</f>
        <v/>
      </c>
      <c r="AC116" s="30" t="str">
        <f>IFERROR(VLOOKUP(AC36,'CODIGOS D'!$A$2:$S$451,13,FALSE),"")</f>
        <v/>
      </c>
      <c r="AD116" s="30" t="str">
        <f>IFERROR(VLOOKUP(AD36,'CODIGOS D'!$A$2:$S$451,13,FALSE),"")</f>
        <v/>
      </c>
      <c r="AE116" s="1" t="str">
        <f>IFERROR(VLOOKUP(AE36,'CODIGOS D'!$A$2:$S$451,13,FALSE),"")</f>
        <v/>
      </c>
      <c r="AF116" s="1" t="str">
        <f>IFERROR(VLOOKUP(AF36,'CODIGOS D'!$A$2:$S$451,13,FALSE),"")</f>
        <v/>
      </c>
      <c r="AG116" s="1" t="str">
        <f>IFERROR(VLOOKUP(AG36,'CODIGOS D'!$A$2:$S$451,13,FALSE),"")</f>
        <v/>
      </c>
      <c r="AH116" s="1" t="str">
        <f>IFERROR(VLOOKUP(AH36,'CODIGOS D'!$A$2:$S$451,13,FALSE),"")</f>
        <v/>
      </c>
      <c r="AI116" s="89">
        <f t="shared" si="85"/>
        <v>0</v>
      </c>
    </row>
    <row r="117" spans="1:35" s="32" customFormat="1" ht="15" hidden="1" customHeight="1" x14ac:dyDescent="0.2">
      <c r="A117" s="30">
        <f t="shared" si="84"/>
        <v>2572</v>
      </c>
      <c r="B117" s="30">
        <f t="shared" si="86"/>
        <v>0</v>
      </c>
      <c r="C117" s="30">
        <f t="shared" si="86"/>
        <v>0</v>
      </c>
      <c r="D117" s="30">
        <f t="shared" si="86"/>
        <v>0</v>
      </c>
      <c r="E117" s="30">
        <f t="shared" si="86"/>
        <v>0</v>
      </c>
      <c r="F117" s="30">
        <f t="shared" si="86"/>
        <v>0</v>
      </c>
      <c r="G117" s="30" t="str">
        <f t="shared" si="86"/>
        <v/>
      </c>
      <c r="H117" s="30" t="str">
        <f t="shared" si="86"/>
        <v xml:space="preserve">2572  </v>
      </c>
      <c r="I117" s="36" t="e">
        <f t="shared" si="86"/>
        <v>#N/A</v>
      </c>
      <c r="J117" s="89" t="e">
        <f t="shared" si="86"/>
        <v>#N/A</v>
      </c>
      <c r="K117" s="30">
        <f t="shared" si="86"/>
        <v>0</v>
      </c>
      <c r="L117" s="10" t="str">
        <f>IFERROR(VLOOKUP(L37,'CODIGOS D'!$A$2:$S$451,13,FALSE),"")</f>
        <v/>
      </c>
      <c r="M117" s="30" t="str">
        <f>IFERROR(VLOOKUP(M37,'CODIGOS D'!$A$2:$S$451,13,FALSE),"")</f>
        <v/>
      </c>
      <c r="N117" s="30" t="str">
        <f>IFERROR(VLOOKUP(N37,'CODIGOS D'!$A$2:$S$451,13,FALSE),"")</f>
        <v/>
      </c>
      <c r="O117" s="30" t="str">
        <f>IFERROR(VLOOKUP(O37,'CODIGOS D'!$A$2:$S$451,13,FALSE),"")</f>
        <v/>
      </c>
      <c r="P117" s="30" t="str">
        <f>IFERROR(VLOOKUP(P37,'CODIGOS D'!$A$2:$S$451,13,FALSE),"")</f>
        <v/>
      </c>
      <c r="Q117" s="30" t="str">
        <f>IFERROR(VLOOKUP(Q37,'CODIGOS D'!$A$2:$S$451,13,FALSE),"")</f>
        <v/>
      </c>
      <c r="R117" s="30" t="str">
        <f>IFERROR(VLOOKUP(R37,'CODIGOS D'!$A$2:$S$451,13,FALSE),"")</f>
        <v/>
      </c>
      <c r="S117" s="30" t="str">
        <f>IFERROR(VLOOKUP(S37,'CODIGOS D'!$A$2:$S$451,13,FALSE),"")</f>
        <v/>
      </c>
      <c r="T117" s="30" t="str">
        <f>IFERROR(VLOOKUP(T37,'CODIGOS D'!$A$2:$S$451,13,FALSE),"")</f>
        <v/>
      </c>
      <c r="U117" s="30" t="str">
        <f>IFERROR(VLOOKUP(U37,'CODIGOS D'!$A$2:$S$451,13,FALSE),"")</f>
        <v/>
      </c>
      <c r="V117" s="30" t="str">
        <f>IFERROR(VLOOKUP(V37,'CODIGOS D'!$A$2:$S$451,13,FALSE),"")</f>
        <v/>
      </c>
      <c r="W117" s="30" t="str">
        <f>IFERROR(VLOOKUP(W37,'CODIGOS D'!$A$2:$S$451,13,FALSE),"")</f>
        <v/>
      </c>
      <c r="X117" s="30" t="str">
        <f>IFERROR(VLOOKUP(X37,'CODIGOS D'!$A$2:$S$451,13,FALSE),"")</f>
        <v/>
      </c>
      <c r="Y117" s="30" t="str">
        <f>IFERROR(VLOOKUP(Y37,'CODIGOS D'!$A$2:$S$451,13,FALSE),"")</f>
        <v/>
      </c>
      <c r="Z117" s="30" t="str">
        <f>IFERROR(VLOOKUP(Z37,'CODIGOS D'!$A$2:$S$451,13,FALSE),"")</f>
        <v/>
      </c>
      <c r="AA117" s="30" t="str">
        <f>IFERROR(VLOOKUP(AA37,'CODIGOS D'!$A$2:$S$451,13,FALSE),"")</f>
        <v/>
      </c>
      <c r="AB117" s="30" t="str">
        <f>IFERROR(VLOOKUP(AB37,'CODIGOS D'!$A$2:$S$451,13,FALSE),"")</f>
        <v/>
      </c>
      <c r="AC117" s="30" t="str">
        <f>IFERROR(VLOOKUP(AC37,'CODIGOS D'!$A$2:$S$451,13,FALSE),"")</f>
        <v/>
      </c>
      <c r="AD117" s="30" t="str">
        <f>IFERROR(VLOOKUP(AD37,'CODIGOS D'!$A$2:$S$451,13,FALSE),"")</f>
        <v/>
      </c>
      <c r="AE117" s="1" t="str">
        <f>IFERROR(VLOOKUP(AE37,'CODIGOS D'!$A$2:$S$451,13,FALSE),"")</f>
        <v/>
      </c>
      <c r="AF117" s="1" t="str">
        <f>IFERROR(VLOOKUP(AF37,'CODIGOS D'!$A$2:$S$451,13,FALSE),"")</f>
        <v/>
      </c>
      <c r="AG117" s="1" t="str">
        <f>IFERROR(VLOOKUP(AG37,'CODIGOS D'!$A$2:$S$451,13,FALSE),"")</f>
        <v/>
      </c>
      <c r="AH117" s="1" t="str">
        <f>IFERROR(VLOOKUP(AH37,'CODIGOS D'!$A$2:$S$451,13,FALSE),"")</f>
        <v/>
      </c>
      <c r="AI117" s="89">
        <f t="shared" si="85"/>
        <v>0</v>
      </c>
    </row>
    <row r="118" spans="1:35" s="32" customFormat="1" ht="15" hidden="1" customHeight="1" x14ac:dyDescent="0.2">
      <c r="A118" s="30">
        <f t="shared" si="84"/>
        <v>2572</v>
      </c>
      <c r="B118" s="30">
        <f t="shared" si="86"/>
        <v>0</v>
      </c>
      <c r="C118" s="30">
        <f t="shared" si="86"/>
        <v>0</v>
      </c>
      <c r="D118" s="30">
        <f t="shared" si="86"/>
        <v>0</v>
      </c>
      <c r="E118" s="30">
        <f t="shared" si="86"/>
        <v>0</v>
      </c>
      <c r="F118" s="30">
        <f t="shared" si="86"/>
        <v>0</v>
      </c>
      <c r="G118" s="30" t="str">
        <f t="shared" si="86"/>
        <v/>
      </c>
      <c r="H118" s="30" t="str">
        <f t="shared" si="86"/>
        <v xml:space="preserve">2572  </v>
      </c>
      <c r="I118" s="36" t="e">
        <f t="shared" si="86"/>
        <v>#N/A</v>
      </c>
      <c r="J118" s="89" t="e">
        <f t="shared" si="86"/>
        <v>#N/A</v>
      </c>
      <c r="K118" s="30">
        <f t="shared" si="86"/>
        <v>0</v>
      </c>
      <c r="L118" s="10" t="str">
        <f>IFERROR(VLOOKUP(L38,'CODIGOS D'!$A$2:$S$451,13,FALSE),"")</f>
        <v/>
      </c>
      <c r="M118" s="30" t="str">
        <f>IFERROR(VLOOKUP(M38,'CODIGOS D'!$A$2:$S$451,13,FALSE),"")</f>
        <v/>
      </c>
      <c r="N118" s="30" t="str">
        <f>IFERROR(VLOOKUP(N38,'CODIGOS D'!$A$2:$S$451,13,FALSE),"")</f>
        <v/>
      </c>
      <c r="O118" s="30" t="str">
        <f>IFERROR(VLOOKUP(O38,'CODIGOS D'!$A$2:$S$451,13,FALSE),"")</f>
        <v/>
      </c>
      <c r="P118" s="30" t="str">
        <f>IFERROR(VLOOKUP(P38,'CODIGOS D'!$A$2:$S$451,13,FALSE),"")</f>
        <v/>
      </c>
      <c r="Q118" s="30" t="str">
        <f>IFERROR(VLOOKUP(Q38,'CODIGOS D'!$A$2:$S$451,13,FALSE),"")</f>
        <v/>
      </c>
      <c r="R118" s="30" t="str">
        <f>IFERROR(VLOOKUP(R38,'CODIGOS D'!$A$2:$S$451,13,FALSE),"")</f>
        <v/>
      </c>
      <c r="S118" s="30" t="str">
        <f>IFERROR(VLOOKUP(S38,'CODIGOS D'!$A$2:$S$451,13,FALSE),"")</f>
        <v/>
      </c>
      <c r="T118" s="30" t="str">
        <f>IFERROR(VLOOKUP(T38,'CODIGOS D'!$A$2:$S$451,13,FALSE),"")</f>
        <v/>
      </c>
      <c r="U118" s="30" t="str">
        <f>IFERROR(VLOOKUP(U38,'CODIGOS D'!$A$2:$S$451,13,FALSE),"")</f>
        <v/>
      </c>
      <c r="V118" s="30" t="str">
        <f>IFERROR(VLOOKUP(V38,'CODIGOS D'!$A$2:$S$451,13,FALSE),"")</f>
        <v/>
      </c>
      <c r="W118" s="30" t="str">
        <f>IFERROR(VLOOKUP(W38,'CODIGOS D'!$A$2:$S$451,13,FALSE),"")</f>
        <v/>
      </c>
      <c r="X118" s="30" t="str">
        <f>IFERROR(VLOOKUP(X38,'CODIGOS D'!$A$2:$S$451,13,FALSE),"")</f>
        <v/>
      </c>
      <c r="Y118" s="30" t="str">
        <f>IFERROR(VLOOKUP(Y38,'CODIGOS D'!$A$2:$S$451,13,FALSE),"")</f>
        <v/>
      </c>
      <c r="Z118" s="30" t="str">
        <f>IFERROR(VLOOKUP(Z38,'CODIGOS D'!$A$2:$S$451,13,FALSE),"")</f>
        <v/>
      </c>
      <c r="AA118" s="30" t="str">
        <f>IFERROR(VLOOKUP(AA38,'CODIGOS D'!$A$2:$S$451,13,FALSE),"")</f>
        <v/>
      </c>
      <c r="AB118" s="30" t="str">
        <f>IFERROR(VLOOKUP(AB38,'CODIGOS D'!$A$2:$S$451,13,FALSE),"")</f>
        <v/>
      </c>
      <c r="AC118" s="30" t="str">
        <f>IFERROR(VLOOKUP(AC38,'CODIGOS D'!$A$2:$S$451,13,FALSE),"")</f>
        <v/>
      </c>
      <c r="AD118" s="30" t="str">
        <f>IFERROR(VLOOKUP(AD38,'CODIGOS D'!$A$2:$S$451,13,FALSE),"")</f>
        <v/>
      </c>
      <c r="AE118" s="1" t="str">
        <f>IFERROR(VLOOKUP(AE38,'CODIGOS D'!$A$2:$S$451,13,FALSE),"")</f>
        <v/>
      </c>
      <c r="AF118" s="1" t="str">
        <f>IFERROR(VLOOKUP(AF38,'CODIGOS D'!$A$2:$S$451,13,FALSE),"")</f>
        <v/>
      </c>
      <c r="AG118" s="1" t="str">
        <f>IFERROR(VLOOKUP(AG38,'CODIGOS D'!$A$2:$S$451,13,FALSE),"")</f>
        <v/>
      </c>
      <c r="AH118" s="1" t="str">
        <f>IFERROR(VLOOKUP(AH38,'CODIGOS D'!$A$2:$S$451,13,FALSE),"")</f>
        <v/>
      </c>
      <c r="AI118" s="89">
        <f t="shared" si="85"/>
        <v>0</v>
      </c>
    </row>
    <row r="119" spans="1:35" s="32" customFormat="1" ht="15" hidden="1" customHeight="1" x14ac:dyDescent="0.2">
      <c r="A119" s="30">
        <f t="shared" si="84"/>
        <v>2572</v>
      </c>
      <c r="B119" s="30">
        <f t="shared" ref="B119:K134" si="87">B39</f>
        <v>0</v>
      </c>
      <c r="C119" s="30">
        <f t="shared" si="87"/>
        <v>0</v>
      </c>
      <c r="D119" s="30">
        <f t="shared" si="87"/>
        <v>0</v>
      </c>
      <c r="E119" s="30">
        <f t="shared" si="87"/>
        <v>0</v>
      </c>
      <c r="F119" s="30">
        <f t="shared" si="87"/>
        <v>0</v>
      </c>
      <c r="G119" s="30" t="str">
        <f t="shared" si="87"/>
        <v/>
      </c>
      <c r="H119" s="30" t="str">
        <f t="shared" si="87"/>
        <v xml:space="preserve">2572  </v>
      </c>
      <c r="I119" s="36" t="e">
        <f t="shared" si="87"/>
        <v>#N/A</v>
      </c>
      <c r="J119" s="89" t="e">
        <f t="shared" si="87"/>
        <v>#N/A</v>
      </c>
      <c r="K119" s="30">
        <f t="shared" si="87"/>
        <v>0</v>
      </c>
      <c r="L119" s="10" t="str">
        <f>IFERROR(VLOOKUP(L39,'CODIGOS D'!$A$2:$S$451,13,FALSE),"")</f>
        <v/>
      </c>
      <c r="M119" s="30" t="str">
        <f>IFERROR(VLOOKUP(M39,'CODIGOS D'!$A$2:$S$451,13,FALSE),"")</f>
        <v/>
      </c>
      <c r="N119" s="30" t="str">
        <f>IFERROR(VLOOKUP(N39,'CODIGOS D'!$A$2:$S$451,13,FALSE),"")</f>
        <v/>
      </c>
      <c r="O119" s="30" t="str">
        <f>IFERROR(VLOOKUP(O39,'CODIGOS D'!$A$2:$S$451,13,FALSE),"")</f>
        <v/>
      </c>
      <c r="P119" s="30" t="str">
        <f>IFERROR(VLOOKUP(P39,'CODIGOS D'!$A$2:$S$451,13,FALSE),"")</f>
        <v/>
      </c>
      <c r="Q119" s="30" t="str">
        <f>IFERROR(VLOOKUP(Q39,'CODIGOS D'!$A$2:$S$451,13,FALSE),"")</f>
        <v/>
      </c>
      <c r="R119" s="30" t="str">
        <f>IFERROR(VLOOKUP(R39,'CODIGOS D'!$A$2:$S$451,13,FALSE),"")</f>
        <v/>
      </c>
      <c r="S119" s="30" t="str">
        <f>IFERROR(VLOOKUP(S39,'CODIGOS D'!$A$2:$S$451,13,FALSE),"")</f>
        <v/>
      </c>
      <c r="T119" s="30" t="str">
        <f>IFERROR(VLOOKUP(T39,'CODIGOS D'!$A$2:$S$451,13,FALSE),"")</f>
        <v/>
      </c>
      <c r="U119" s="30" t="str">
        <f>IFERROR(VLOOKUP(U39,'CODIGOS D'!$A$2:$S$451,13,FALSE),"")</f>
        <v/>
      </c>
      <c r="V119" s="30" t="str">
        <f>IFERROR(VLOOKUP(V39,'CODIGOS D'!$A$2:$S$451,13,FALSE),"")</f>
        <v/>
      </c>
      <c r="W119" s="30" t="str">
        <f>IFERROR(VLOOKUP(W39,'CODIGOS D'!$A$2:$S$451,13,FALSE),"")</f>
        <v/>
      </c>
      <c r="X119" s="30" t="str">
        <f>IFERROR(VLOOKUP(X39,'CODIGOS D'!$A$2:$S$451,13,FALSE),"")</f>
        <v/>
      </c>
      <c r="Y119" s="30" t="str">
        <f>IFERROR(VLOOKUP(Y39,'CODIGOS D'!$A$2:$S$451,13,FALSE),"")</f>
        <v/>
      </c>
      <c r="Z119" s="30" t="str">
        <f>IFERROR(VLOOKUP(Z39,'CODIGOS D'!$A$2:$S$451,13,FALSE),"")</f>
        <v/>
      </c>
      <c r="AA119" s="30" t="str">
        <f>IFERROR(VLOOKUP(AA39,'CODIGOS D'!$A$2:$S$451,13,FALSE),"")</f>
        <v/>
      </c>
      <c r="AB119" s="30" t="str">
        <f>IFERROR(VLOOKUP(AB39,'CODIGOS D'!$A$2:$S$451,13,FALSE),"")</f>
        <v/>
      </c>
      <c r="AC119" s="30" t="str">
        <f>IFERROR(VLOOKUP(AC39,'CODIGOS D'!$A$2:$S$451,13,FALSE),"")</f>
        <v/>
      </c>
      <c r="AD119" s="30" t="str">
        <f>IFERROR(VLOOKUP(AD39,'CODIGOS D'!$A$2:$S$451,13,FALSE),"")</f>
        <v/>
      </c>
      <c r="AE119" s="1" t="str">
        <f>IFERROR(VLOOKUP(AE39,'CODIGOS D'!$A$2:$S$451,13,FALSE),"")</f>
        <v/>
      </c>
      <c r="AF119" s="1" t="str">
        <f>IFERROR(VLOOKUP(AF39,'CODIGOS D'!$A$2:$S$451,13,FALSE),"")</f>
        <v/>
      </c>
      <c r="AG119" s="1" t="str">
        <f>IFERROR(VLOOKUP(AG39,'CODIGOS D'!$A$2:$S$451,13,FALSE),"")</f>
        <v/>
      </c>
      <c r="AH119" s="1" t="str">
        <f>IFERROR(VLOOKUP(AH39,'CODIGOS D'!$A$2:$S$451,13,FALSE),"")</f>
        <v/>
      </c>
      <c r="AI119" s="89">
        <f t="shared" si="85"/>
        <v>0</v>
      </c>
    </row>
    <row r="120" spans="1:35" s="32" customFormat="1" ht="15" hidden="1" customHeight="1" x14ac:dyDescent="0.2">
      <c r="A120" s="30">
        <f t="shared" si="84"/>
        <v>2572</v>
      </c>
      <c r="B120" s="30">
        <f t="shared" si="87"/>
        <v>0</v>
      </c>
      <c r="C120" s="30">
        <f t="shared" si="87"/>
        <v>0</v>
      </c>
      <c r="D120" s="30">
        <f t="shared" si="87"/>
        <v>0</v>
      </c>
      <c r="E120" s="30">
        <f t="shared" si="87"/>
        <v>0</v>
      </c>
      <c r="F120" s="30">
        <f t="shared" si="87"/>
        <v>0</v>
      </c>
      <c r="G120" s="30" t="str">
        <f t="shared" si="87"/>
        <v/>
      </c>
      <c r="H120" s="30" t="str">
        <f t="shared" si="87"/>
        <v xml:space="preserve">2572  </v>
      </c>
      <c r="I120" s="36" t="e">
        <f t="shared" si="87"/>
        <v>#N/A</v>
      </c>
      <c r="J120" s="89" t="e">
        <f t="shared" si="87"/>
        <v>#N/A</v>
      </c>
      <c r="K120" s="30">
        <f t="shared" si="87"/>
        <v>0</v>
      </c>
      <c r="L120" s="10" t="str">
        <f>IFERROR(VLOOKUP(L40,'CODIGOS D'!$A$2:$S$451,13,FALSE),"")</f>
        <v/>
      </c>
      <c r="M120" s="30" t="str">
        <f>IFERROR(VLOOKUP(M40,'CODIGOS D'!$A$2:$S$451,13,FALSE),"")</f>
        <v/>
      </c>
      <c r="N120" s="30" t="str">
        <f>IFERROR(VLOOKUP(N40,'CODIGOS D'!$A$2:$S$451,13,FALSE),"")</f>
        <v/>
      </c>
      <c r="O120" s="30" t="str">
        <f>IFERROR(VLOOKUP(O40,'CODIGOS D'!$A$2:$S$451,13,FALSE),"")</f>
        <v/>
      </c>
      <c r="P120" s="30" t="str">
        <f>IFERROR(VLOOKUP(P40,'CODIGOS D'!$A$2:$S$451,13,FALSE),"")</f>
        <v/>
      </c>
      <c r="Q120" s="30" t="str">
        <f>IFERROR(VLOOKUP(Q40,'CODIGOS D'!$A$2:$S$451,13,FALSE),"")</f>
        <v/>
      </c>
      <c r="R120" s="30" t="str">
        <f>IFERROR(VLOOKUP(R40,'CODIGOS D'!$A$2:$S$451,13,FALSE),"")</f>
        <v/>
      </c>
      <c r="S120" s="30" t="str">
        <f>IFERROR(VLOOKUP(S40,'CODIGOS D'!$A$2:$S$451,13,FALSE),"")</f>
        <v/>
      </c>
      <c r="T120" s="30" t="str">
        <f>IFERROR(VLOOKUP(T40,'CODIGOS D'!$A$2:$S$451,13,FALSE),"")</f>
        <v/>
      </c>
      <c r="U120" s="30" t="str">
        <f>IFERROR(VLOOKUP(U40,'CODIGOS D'!$A$2:$S$451,13,FALSE),"")</f>
        <v/>
      </c>
      <c r="V120" s="30" t="str">
        <f>IFERROR(VLOOKUP(V40,'CODIGOS D'!$A$2:$S$451,13,FALSE),"")</f>
        <v/>
      </c>
      <c r="W120" s="30" t="str">
        <f>IFERROR(VLOOKUP(W40,'CODIGOS D'!$A$2:$S$451,13,FALSE),"")</f>
        <v/>
      </c>
      <c r="X120" s="30" t="str">
        <f>IFERROR(VLOOKUP(X40,'CODIGOS D'!$A$2:$S$451,13,FALSE),"")</f>
        <v/>
      </c>
      <c r="Y120" s="30" t="str">
        <f>IFERROR(VLOOKUP(Y40,'CODIGOS D'!$A$2:$S$451,13,FALSE),"")</f>
        <v/>
      </c>
      <c r="Z120" s="30" t="str">
        <f>IFERROR(VLOOKUP(Z40,'CODIGOS D'!$A$2:$S$451,13,FALSE),"")</f>
        <v/>
      </c>
      <c r="AA120" s="30" t="str">
        <f>IFERROR(VLOOKUP(AA40,'CODIGOS D'!$A$2:$S$451,13,FALSE),"")</f>
        <v/>
      </c>
      <c r="AB120" s="30" t="str">
        <f>IFERROR(VLOOKUP(AB40,'CODIGOS D'!$A$2:$S$451,13,FALSE),"")</f>
        <v/>
      </c>
      <c r="AC120" s="30" t="str">
        <f>IFERROR(VLOOKUP(AC40,'CODIGOS D'!$A$2:$S$451,13,FALSE),"")</f>
        <v/>
      </c>
      <c r="AD120" s="30" t="str">
        <f>IFERROR(VLOOKUP(AD40,'CODIGOS D'!$A$2:$S$451,13,FALSE),"")</f>
        <v/>
      </c>
      <c r="AE120" s="1" t="str">
        <f>IFERROR(VLOOKUP(AE40,'CODIGOS D'!$A$2:$S$451,13,FALSE),"")</f>
        <v/>
      </c>
      <c r="AF120" s="1" t="str">
        <f>IFERROR(VLOOKUP(AF40,'CODIGOS D'!$A$2:$S$451,13,FALSE),"")</f>
        <v/>
      </c>
      <c r="AG120" s="1" t="str">
        <f>IFERROR(VLOOKUP(AG40,'CODIGOS D'!$A$2:$S$451,13,FALSE),"")</f>
        <v/>
      </c>
      <c r="AH120" s="1" t="str">
        <f>IFERROR(VLOOKUP(AH40,'CODIGOS D'!$A$2:$S$451,13,FALSE),"")</f>
        <v/>
      </c>
      <c r="AI120" s="89">
        <f t="shared" si="85"/>
        <v>0</v>
      </c>
    </row>
    <row r="121" spans="1:35" s="32" customFormat="1" ht="15" hidden="1" customHeight="1" x14ac:dyDescent="0.2">
      <c r="A121" s="30">
        <f t="shared" si="84"/>
        <v>2572</v>
      </c>
      <c r="B121" s="30">
        <f t="shared" si="87"/>
        <v>0</v>
      </c>
      <c r="C121" s="30">
        <f t="shared" si="87"/>
        <v>0</v>
      </c>
      <c r="D121" s="30">
        <f t="shared" si="87"/>
        <v>0</v>
      </c>
      <c r="E121" s="30">
        <f t="shared" si="87"/>
        <v>0</v>
      </c>
      <c r="F121" s="30">
        <f t="shared" si="87"/>
        <v>0</v>
      </c>
      <c r="G121" s="30" t="str">
        <f t="shared" si="87"/>
        <v/>
      </c>
      <c r="H121" s="30" t="str">
        <f t="shared" si="87"/>
        <v xml:space="preserve">2572  </v>
      </c>
      <c r="I121" s="36" t="e">
        <f t="shared" si="87"/>
        <v>#N/A</v>
      </c>
      <c r="J121" s="89" t="e">
        <f t="shared" si="87"/>
        <v>#N/A</v>
      </c>
      <c r="K121" s="30">
        <f t="shared" si="87"/>
        <v>0</v>
      </c>
      <c r="L121" s="10" t="str">
        <f>IFERROR(VLOOKUP(L41,'CODIGOS D'!$A$2:$S$451,13,FALSE),"")</f>
        <v/>
      </c>
      <c r="M121" s="30" t="str">
        <f>IFERROR(VLOOKUP(M41,'CODIGOS D'!$A$2:$S$451,13,FALSE),"")</f>
        <v/>
      </c>
      <c r="N121" s="30" t="str">
        <f>IFERROR(VLOOKUP(N41,'CODIGOS D'!$A$2:$S$451,13,FALSE),"")</f>
        <v/>
      </c>
      <c r="O121" s="30" t="str">
        <f>IFERROR(VLOOKUP(O41,'CODIGOS D'!$A$2:$S$451,13,FALSE),"")</f>
        <v/>
      </c>
      <c r="P121" s="30" t="str">
        <f>IFERROR(VLOOKUP(P41,'CODIGOS D'!$A$2:$S$451,13,FALSE),"")</f>
        <v/>
      </c>
      <c r="Q121" s="30" t="str">
        <f>IFERROR(VLOOKUP(Q41,'CODIGOS D'!$A$2:$S$451,13,FALSE),"")</f>
        <v/>
      </c>
      <c r="R121" s="30" t="str">
        <f>IFERROR(VLOOKUP(R41,'CODIGOS D'!$A$2:$S$451,13,FALSE),"")</f>
        <v/>
      </c>
      <c r="S121" s="30" t="str">
        <f>IFERROR(VLOOKUP(S41,'CODIGOS D'!$A$2:$S$451,13,FALSE),"")</f>
        <v/>
      </c>
      <c r="T121" s="30" t="str">
        <f>IFERROR(VLOOKUP(T41,'CODIGOS D'!$A$2:$S$451,13,FALSE),"")</f>
        <v/>
      </c>
      <c r="U121" s="30" t="str">
        <f>IFERROR(VLOOKUP(U41,'CODIGOS D'!$A$2:$S$451,13,FALSE),"")</f>
        <v/>
      </c>
      <c r="V121" s="30" t="str">
        <f>IFERROR(VLOOKUP(V41,'CODIGOS D'!$A$2:$S$451,13,FALSE),"")</f>
        <v/>
      </c>
      <c r="W121" s="30" t="str">
        <f>IFERROR(VLOOKUP(W41,'CODIGOS D'!$A$2:$S$451,13,FALSE),"")</f>
        <v/>
      </c>
      <c r="X121" s="30" t="str">
        <f>IFERROR(VLOOKUP(X41,'CODIGOS D'!$A$2:$S$451,13,FALSE),"")</f>
        <v/>
      </c>
      <c r="Y121" s="30" t="str">
        <f>IFERROR(VLOOKUP(Y41,'CODIGOS D'!$A$2:$S$451,13,FALSE),"")</f>
        <v/>
      </c>
      <c r="Z121" s="30" t="str">
        <f>IFERROR(VLOOKUP(Z41,'CODIGOS D'!$A$2:$S$451,13,FALSE),"")</f>
        <v/>
      </c>
      <c r="AA121" s="30" t="str">
        <f>IFERROR(VLOOKUP(AA41,'CODIGOS D'!$A$2:$S$451,13,FALSE),"")</f>
        <v/>
      </c>
      <c r="AB121" s="30" t="str">
        <f>IFERROR(VLOOKUP(AB41,'CODIGOS D'!$A$2:$S$451,13,FALSE),"")</f>
        <v/>
      </c>
      <c r="AC121" s="30" t="str">
        <f>IFERROR(VLOOKUP(AC41,'CODIGOS D'!$A$2:$S$451,13,FALSE),"")</f>
        <v/>
      </c>
      <c r="AD121" s="30" t="str">
        <f>IFERROR(VLOOKUP(AD41,'CODIGOS D'!$A$2:$S$451,13,FALSE),"")</f>
        <v/>
      </c>
      <c r="AE121" s="1" t="str">
        <f>IFERROR(VLOOKUP(AE41,'CODIGOS D'!$A$2:$S$451,13,FALSE),"")</f>
        <v/>
      </c>
      <c r="AF121" s="1" t="str">
        <f>IFERROR(VLOOKUP(AF41,'CODIGOS D'!$A$2:$S$451,13,FALSE),"")</f>
        <v/>
      </c>
      <c r="AG121" s="1" t="str">
        <f>IFERROR(VLOOKUP(AG41,'CODIGOS D'!$A$2:$S$451,13,FALSE),"")</f>
        <v/>
      </c>
      <c r="AH121" s="1" t="str">
        <f>IFERROR(VLOOKUP(AH41,'CODIGOS D'!$A$2:$S$451,13,FALSE),"")</f>
        <v/>
      </c>
      <c r="AI121" s="89">
        <f t="shared" si="85"/>
        <v>0</v>
      </c>
    </row>
    <row r="122" spans="1:35" s="32" customFormat="1" ht="15" hidden="1" customHeight="1" x14ac:dyDescent="0.2">
      <c r="A122" s="30">
        <f t="shared" si="84"/>
        <v>2572</v>
      </c>
      <c r="B122" s="30">
        <f t="shared" si="87"/>
        <v>0</v>
      </c>
      <c r="C122" s="30">
        <f t="shared" si="87"/>
        <v>0</v>
      </c>
      <c r="D122" s="30">
        <f t="shared" si="87"/>
        <v>0</v>
      </c>
      <c r="E122" s="30">
        <f t="shared" si="87"/>
        <v>0</v>
      </c>
      <c r="F122" s="30">
        <f t="shared" si="87"/>
        <v>0</v>
      </c>
      <c r="G122" s="30" t="str">
        <f t="shared" si="87"/>
        <v/>
      </c>
      <c r="H122" s="30" t="str">
        <f t="shared" si="87"/>
        <v xml:space="preserve">2572  </v>
      </c>
      <c r="I122" s="36" t="e">
        <f t="shared" si="87"/>
        <v>#N/A</v>
      </c>
      <c r="J122" s="89" t="e">
        <f t="shared" si="87"/>
        <v>#N/A</v>
      </c>
      <c r="K122" s="30">
        <f t="shared" si="87"/>
        <v>0</v>
      </c>
      <c r="L122" s="10" t="str">
        <f>IFERROR(VLOOKUP(L42,'CODIGOS D'!$A$2:$S$451,13,FALSE),"")</f>
        <v/>
      </c>
      <c r="M122" s="30" t="str">
        <f>IFERROR(VLOOKUP(M42,'CODIGOS D'!$A$2:$S$451,13,FALSE),"")</f>
        <v/>
      </c>
      <c r="N122" s="30" t="str">
        <f>IFERROR(VLOOKUP(N42,'CODIGOS D'!$A$2:$S$451,13,FALSE),"")</f>
        <v/>
      </c>
      <c r="O122" s="30" t="str">
        <f>IFERROR(VLOOKUP(O42,'CODIGOS D'!$A$2:$S$451,13,FALSE),"")</f>
        <v/>
      </c>
      <c r="P122" s="30" t="str">
        <f>IFERROR(VLOOKUP(P42,'CODIGOS D'!$A$2:$S$451,13,FALSE),"")</f>
        <v/>
      </c>
      <c r="Q122" s="30" t="str">
        <f>IFERROR(VLOOKUP(Q42,'CODIGOS D'!$A$2:$S$451,13,FALSE),"")</f>
        <v/>
      </c>
      <c r="R122" s="30" t="str">
        <f>IFERROR(VLOOKUP(R42,'CODIGOS D'!$A$2:$S$451,13,FALSE),"")</f>
        <v/>
      </c>
      <c r="S122" s="30" t="str">
        <f>IFERROR(VLOOKUP(S42,'CODIGOS D'!$A$2:$S$451,13,FALSE),"")</f>
        <v/>
      </c>
      <c r="T122" s="30" t="str">
        <f>IFERROR(VLOOKUP(T42,'CODIGOS D'!$A$2:$S$451,13,FALSE),"")</f>
        <v/>
      </c>
      <c r="U122" s="30" t="str">
        <f>IFERROR(VLOOKUP(U42,'CODIGOS D'!$A$2:$S$451,13,FALSE),"")</f>
        <v/>
      </c>
      <c r="V122" s="30" t="str">
        <f>IFERROR(VLOOKUP(V42,'CODIGOS D'!$A$2:$S$451,13,FALSE),"")</f>
        <v/>
      </c>
      <c r="W122" s="30" t="str">
        <f>IFERROR(VLOOKUP(W42,'CODIGOS D'!$A$2:$S$451,13,FALSE),"")</f>
        <v/>
      </c>
      <c r="X122" s="30" t="str">
        <f>IFERROR(VLOOKUP(X42,'CODIGOS D'!$A$2:$S$451,13,FALSE),"")</f>
        <v/>
      </c>
      <c r="Y122" s="30" t="str">
        <f>IFERROR(VLOOKUP(Y42,'CODIGOS D'!$A$2:$S$451,13,FALSE),"")</f>
        <v/>
      </c>
      <c r="Z122" s="30" t="str">
        <f>IFERROR(VLOOKUP(Z42,'CODIGOS D'!$A$2:$S$451,13,FALSE),"")</f>
        <v/>
      </c>
      <c r="AA122" s="30" t="str">
        <f>IFERROR(VLOOKUP(AA42,'CODIGOS D'!$A$2:$S$451,13,FALSE),"")</f>
        <v/>
      </c>
      <c r="AB122" s="30" t="str">
        <f>IFERROR(VLOOKUP(AB42,'CODIGOS D'!$A$2:$S$451,13,FALSE),"")</f>
        <v/>
      </c>
      <c r="AC122" s="30" t="str">
        <f>IFERROR(VLOOKUP(AC42,'CODIGOS D'!$A$2:$S$451,13,FALSE),"")</f>
        <v/>
      </c>
      <c r="AD122" s="30" t="str">
        <f>IFERROR(VLOOKUP(AD42,'CODIGOS D'!$A$2:$S$451,13,FALSE),"")</f>
        <v/>
      </c>
      <c r="AE122" s="1" t="str">
        <f>IFERROR(VLOOKUP(AE42,'CODIGOS D'!$A$2:$S$451,13,FALSE),"")</f>
        <v/>
      </c>
      <c r="AF122" s="1" t="str">
        <f>IFERROR(VLOOKUP(AF42,'CODIGOS D'!$A$2:$S$451,13,FALSE),"")</f>
        <v/>
      </c>
      <c r="AG122" s="1" t="str">
        <f>IFERROR(VLOOKUP(AG42,'CODIGOS D'!$A$2:$S$451,13,FALSE),"")</f>
        <v/>
      </c>
      <c r="AH122" s="1" t="str">
        <f>IFERROR(VLOOKUP(AH42,'CODIGOS D'!$A$2:$S$451,13,FALSE),"")</f>
        <v/>
      </c>
      <c r="AI122" s="89">
        <f t="shared" si="85"/>
        <v>0</v>
      </c>
    </row>
    <row r="123" spans="1:35" s="32" customFormat="1" ht="15" hidden="1" customHeight="1" x14ac:dyDescent="0.2">
      <c r="A123" s="30">
        <f t="shared" si="84"/>
        <v>2572</v>
      </c>
      <c r="B123" s="30">
        <f t="shared" si="87"/>
        <v>0</v>
      </c>
      <c r="C123" s="30">
        <f t="shared" si="87"/>
        <v>0</v>
      </c>
      <c r="D123" s="30">
        <f t="shared" si="87"/>
        <v>0</v>
      </c>
      <c r="E123" s="30">
        <f t="shared" si="87"/>
        <v>0</v>
      </c>
      <c r="F123" s="30">
        <f t="shared" si="87"/>
        <v>0</v>
      </c>
      <c r="G123" s="30" t="str">
        <f t="shared" si="87"/>
        <v/>
      </c>
      <c r="H123" s="30" t="str">
        <f t="shared" si="87"/>
        <v xml:space="preserve">2572  </v>
      </c>
      <c r="I123" s="36" t="e">
        <f t="shared" si="87"/>
        <v>#N/A</v>
      </c>
      <c r="J123" s="89" t="e">
        <f t="shared" si="87"/>
        <v>#N/A</v>
      </c>
      <c r="K123" s="30">
        <f t="shared" si="87"/>
        <v>0</v>
      </c>
      <c r="L123" s="10" t="str">
        <f>IFERROR(VLOOKUP(L43,'CODIGOS D'!$A$2:$S$451,13,FALSE),"")</f>
        <v/>
      </c>
      <c r="M123" s="30" t="str">
        <f>IFERROR(VLOOKUP(M43,'CODIGOS D'!$A$2:$S$451,13,FALSE),"")</f>
        <v/>
      </c>
      <c r="N123" s="30" t="str">
        <f>IFERROR(VLOOKUP(N43,'CODIGOS D'!$A$2:$S$451,13,FALSE),"")</f>
        <v/>
      </c>
      <c r="O123" s="30" t="str">
        <f>IFERROR(VLOOKUP(O43,'CODIGOS D'!$A$2:$S$451,13,FALSE),"")</f>
        <v/>
      </c>
      <c r="P123" s="30" t="str">
        <f>IFERROR(VLOOKUP(P43,'CODIGOS D'!$A$2:$S$451,13,FALSE),"")</f>
        <v/>
      </c>
      <c r="Q123" s="30" t="str">
        <f>IFERROR(VLOOKUP(Q43,'CODIGOS D'!$A$2:$S$451,13,FALSE),"")</f>
        <v/>
      </c>
      <c r="R123" s="30" t="str">
        <f>IFERROR(VLOOKUP(R43,'CODIGOS D'!$A$2:$S$451,13,FALSE),"")</f>
        <v/>
      </c>
      <c r="S123" s="30" t="str">
        <f>IFERROR(VLOOKUP(S43,'CODIGOS D'!$A$2:$S$451,13,FALSE),"")</f>
        <v/>
      </c>
      <c r="T123" s="30" t="str">
        <f>IFERROR(VLOOKUP(T43,'CODIGOS D'!$A$2:$S$451,13,FALSE),"")</f>
        <v/>
      </c>
      <c r="U123" s="30" t="str">
        <f>IFERROR(VLOOKUP(U43,'CODIGOS D'!$A$2:$S$451,13,FALSE),"")</f>
        <v/>
      </c>
      <c r="V123" s="30" t="str">
        <f>IFERROR(VLOOKUP(V43,'CODIGOS D'!$A$2:$S$451,13,FALSE),"")</f>
        <v/>
      </c>
      <c r="W123" s="30" t="str">
        <f>IFERROR(VLOOKUP(W43,'CODIGOS D'!$A$2:$S$451,13,FALSE),"")</f>
        <v/>
      </c>
      <c r="X123" s="30" t="str">
        <f>IFERROR(VLOOKUP(X43,'CODIGOS D'!$A$2:$S$451,13,FALSE),"")</f>
        <v/>
      </c>
      <c r="Y123" s="30" t="str">
        <f>IFERROR(VLOOKUP(Y43,'CODIGOS D'!$A$2:$S$451,13,FALSE),"")</f>
        <v/>
      </c>
      <c r="Z123" s="30" t="str">
        <f>IFERROR(VLOOKUP(Z43,'CODIGOS D'!$A$2:$S$451,13,FALSE),"")</f>
        <v/>
      </c>
      <c r="AA123" s="30" t="str">
        <f>IFERROR(VLOOKUP(AA43,'CODIGOS D'!$A$2:$S$451,13,FALSE),"")</f>
        <v/>
      </c>
      <c r="AB123" s="30" t="str">
        <f>IFERROR(VLOOKUP(AB43,'CODIGOS D'!$A$2:$S$451,13,FALSE),"")</f>
        <v/>
      </c>
      <c r="AC123" s="30" t="str">
        <f>IFERROR(VLOOKUP(AC43,'CODIGOS D'!$A$2:$S$451,13,FALSE),"")</f>
        <v/>
      </c>
      <c r="AD123" s="30" t="str">
        <f>IFERROR(VLOOKUP(AD43,'CODIGOS D'!$A$2:$S$451,13,FALSE),"")</f>
        <v/>
      </c>
      <c r="AE123" s="1" t="str">
        <f>IFERROR(VLOOKUP(AE43,'CODIGOS D'!$A$2:$S$451,13,FALSE),"")</f>
        <v/>
      </c>
      <c r="AF123" s="1" t="str">
        <f>IFERROR(VLOOKUP(AF43,'CODIGOS D'!$A$2:$S$451,13,FALSE),"")</f>
        <v/>
      </c>
      <c r="AG123" s="1" t="str">
        <f>IFERROR(VLOOKUP(AG43,'CODIGOS D'!$A$2:$S$451,13,FALSE),"")</f>
        <v/>
      </c>
      <c r="AH123" s="1" t="str">
        <f>IFERROR(VLOOKUP(AH43,'CODIGOS D'!$A$2:$S$451,13,FALSE),"")</f>
        <v/>
      </c>
      <c r="AI123" s="89">
        <f t="shared" si="85"/>
        <v>0</v>
      </c>
    </row>
    <row r="124" spans="1:35" s="32" customFormat="1" ht="15" hidden="1" customHeight="1" x14ac:dyDescent="0.2">
      <c r="A124" s="30">
        <f t="shared" si="84"/>
        <v>2572</v>
      </c>
      <c r="B124" s="30">
        <f t="shared" si="87"/>
        <v>0</v>
      </c>
      <c r="C124" s="30">
        <f t="shared" si="87"/>
        <v>0</v>
      </c>
      <c r="D124" s="30">
        <f t="shared" si="87"/>
        <v>0</v>
      </c>
      <c r="E124" s="30">
        <f t="shared" si="87"/>
        <v>0</v>
      </c>
      <c r="F124" s="30">
        <f t="shared" si="87"/>
        <v>0</v>
      </c>
      <c r="G124" s="30" t="str">
        <f t="shared" si="87"/>
        <v/>
      </c>
      <c r="H124" s="30" t="str">
        <f t="shared" si="87"/>
        <v xml:space="preserve">2572  </v>
      </c>
      <c r="I124" s="36" t="e">
        <f t="shared" si="87"/>
        <v>#N/A</v>
      </c>
      <c r="J124" s="89" t="e">
        <f t="shared" si="87"/>
        <v>#N/A</v>
      </c>
      <c r="K124" s="30">
        <f t="shared" si="87"/>
        <v>0</v>
      </c>
      <c r="L124" s="10" t="str">
        <f>IFERROR(VLOOKUP(L44,'CODIGOS D'!$A$2:$S$451,13,FALSE),"")</f>
        <v/>
      </c>
      <c r="M124" s="30" t="str">
        <f>IFERROR(VLOOKUP(M44,'CODIGOS D'!$A$2:$S$451,13,FALSE),"")</f>
        <v/>
      </c>
      <c r="N124" s="30" t="str">
        <f>IFERROR(VLOOKUP(N44,'CODIGOS D'!$A$2:$S$451,13,FALSE),"")</f>
        <v/>
      </c>
      <c r="O124" s="30" t="str">
        <f>IFERROR(VLOOKUP(O44,'CODIGOS D'!$A$2:$S$451,13,FALSE),"")</f>
        <v/>
      </c>
      <c r="P124" s="30" t="str">
        <f>IFERROR(VLOOKUP(P44,'CODIGOS D'!$A$2:$S$451,13,FALSE),"")</f>
        <v/>
      </c>
      <c r="Q124" s="30" t="str">
        <f>IFERROR(VLOOKUP(Q44,'CODIGOS D'!$A$2:$S$451,13,FALSE),"")</f>
        <v/>
      </c>
      <c r="R124" s="30" t="str">
        <f>IFERROR(VLOOKUP(R44,'CODIGOS D'!$A$2:$S$451,13,FALSE),"")</f>
        <v/>
      </c>
      <c r="S124" s="30" t="str">
        <f>IFERROR(VLOOKUP(S44,'CODIGOS D'!$A$2:$S$451,13,FALSE),"")</f>
        <v/>
      </c>
      <c r="T124" s="30" t="str">
        <f>IFERROR(VLOOKUP(T44,'CODIGOS D'!$A$2:$S$451,13,FALSE),"")</f>
        <v/>
      </c>
      <c r="U124" s="30" t="str">
        <f>IFERROR(VLOOKUP(U44,'CODIGOS D'!$A$2:$S$451,13,FALSE),"")</f>
        <v/>
      </c>
      <c r="V124" s="30" t="str">
        <f>IFERROR(VLOOKUP(V44,'CODIGOS D'!$A$2:$S$451,13,FALSE),"")</f>
        <v/>
      </c>
      <c r="W124" s="30" t="str">
        <f>IFERROR(VLOOKUP(W44,'CODIGOS D'!$A$2:$S$451,13,FALSE),"")</f>
        <v/>
      </c>
      <c r="X124" s="30" t="str">
        <f>IFERROR(VLOOKUP(X44,'CODIGOS D'!$A$2:$S$451,13,FALSE),"")</f>
        <v/>
      </c>
      <c r="Y124" s="30" t="str">
        <f>IFERROR(VLOOKUP(Y44,'CODIGOS D'!$A$2:$S$451,13,FALSE),"")</f>
        <v/>
      </c>
      <c r="Z124" s="30" t="str">
        <f>IFERROR(VLOOKUP(Z44,'CODIGOS D'!$A$2:$S$451,13,FALSE),"")</f>
        <v/>
      </c>
      <c r="AA124" s="30" t="str">
        <f>IFERROR(VLOOKUP(AA44,'CODIGOS D'!$A$2:$S$451,13,FALSE),"")</f>
        <v/>
      </c>
      <c r="AB124" s="30" t="str">
        <f>IFERROR(VLOOKUP(AB44,'CODIGOS D'!$A$2:$S$451,13,FALSE),"")</f>
        <v/>
      </c>
      <c r="AC124" s="30" t="str">
        <f>IFERROR(VLOOKUP(AC44,'CODIGOS D'!$A$2:$S$451,13,FALSE),"")</f>
        <v/>
      </c>
      <c r="AD124" s="30" t="str">
        <f>IFERROR(VLOOKUP(AD44,'CODIGOS D'!$A$2:$S$451,13,FALSE),"")</f>
        <v/>
      </c>
      <c r="AE124" s="1" t="str">
        <f>IFERROR(VLOOKUP(AE44,'CODIGOS D'!$A$2:$S$451,13,FALSE),"")</f>
        <v/>
      </c>
      <c r="AF124" s="1" t="str">
        <f>IFERROR(VLOOKUP(AF44,'CODIGOS D'!$A$2:$S$451,13,FALSE),"")</f>
        <v/>
      </c>
      <c r="AG124" s="1" t="str">
        <f>IFERROR(VLOOKUP(AG44,'CODIGOS D'!$A$2:$S$451,13,FALSE),"")</f>
        <v/>
      </c>
      <c r="AH124" s="1" t="str">
        <f>IFERROR(VLOOKUP(AH44,'CODIGOS D'!$A$2:$S$451,13,FALSE),"")</f>
        <v/>
      </c>
      <c r="AI124" s="89">
        <f t="shared" si="85"/>
        <v>0</v>
      </c>
    </row>
    <row r="125" spans="1:35" s="32" customFormat="1" ht="15" hidden="1" customHeight="1" x14ac:dyDescent="0.2">
      <c r="A125" s="30">
        <f t="shared" si="84"/>
        <v>2572</v>
      </c>
      <c r="B125" s="30">
        <f t="shared" si="87"/>
        <v>0</v>
      </c>
      <c r="C125" s="30">
        <f t="shared" si="87"/>
        <v>0</v>
      </c>
      <c r="D125" s="30">
        <f>D45</f>
        <v>0</v>
      </c>
      <c r="E125" s="30">
        <f t="shared" si="87"/>
        <v>0</v>
      </c>
      <c r="F125" s="30">
        <f t="shared" si="87"/>
        <v>0</v>
      </c>
      <c r="G125" s="30" t="str">
        <f t="shared" si="87"/>
        <v/>
      </c>
      <c r="H125" s="30" t="str">
        <f t="shared" si="87"/>
        <v xml:space="preserve">2572  </v>
      </c>
      <c r="I125" s="36" t="e">
        <f t="shared" si="87"/>
        <v>#N/A</v>
      </c>
      <c r="J125" s="89" t="e">
        <f t="shared" si="87"/>
        <v>#N/A</v>
      </c>
      <c r="K125" s="30">
        <f t="shared" si="87"/>
        <v>0</v>
      </c>
      <c r="L125" s="10" t="str">
        <f>IFERROR(VLOOKUP(L45,'CODIGOS D'!$A$2:$S$451,13,FALSE),"")</f>
        <v/>
      </c>
      <c r="M125" s="30" t="str">
        <f>IFERROR(VLOOKUP(M45,'CODIGOS D'!$A$2:$S$451,13,FALSE),"")</f>
        <v/>
      </c>
      <c r="N125" s="30" t="str">
        <f>IFERROR(VLOOKUP(N45,'CODIGOS D'!$A$2:$S$451,13,FALSE),"")</f>
        <v/>
      </c>
      <c r="O125" s="30" t="str">
        <f>IFERROR(VLOOKUP(O45,'CODIGOS D'!$A$2:$S$451,13,FALSE),"")</f>
        <v/>
      </c>
      <c r="P125" s="30" t="str">
        <f>IFERROR(VLOOKUP(P45,'CODIGOS D'!$A$2:$S$451,13,FALSE),"")</f>
        <v/>
      </c>
      <c r="Q125" s="30" t="str">
        <f>IFERROR(VLOOKUP(Q45,'CODIGOS D'!$A$2:$S$451,13,FALSE),"")</f>
        <v/>
      </c>
      <c r="R125" s="30" t="str">
        <f>IFERROR(VLOOKUP(R45,'CODIGOS D'!$A$2:$S$451,13,FALSE),"")</f>
        <v/>
      </c>
      <c r="S125" s="30" t="str">
        <f>IFERROR(VLOOKUP(S45,'CODIGOS D'!$A$2:$S$451,13,FALSE),"")</f>
        <v/>
      </c>
      <c r="T125" s="30" t="str">
        <f>IFERROR(VLOOKUP(T45,'CODIGOS D'!$A$2:$S$451,13,FALSE),"")</f>
        <v/>
      </c>
      <c r="U125" s="30" t="str">
        <f>IFERROR(VLOOKUP(U45,'CODIGOS D'!$A$2:$S$451,13,FALSE),"")</f>
        <v/>
      </c>
      <c r="V125" s="30" t="str">
        <f>IFERROR(VLOOKUP(V45,'CODIGOS D'!$A$2:$S$451,13,FALSE),"")</f>
        <v/>
      </c>
      <c r="W125" s="30" t="str">
        <f>IFERROR(VLOOKUP(W45,'CODIGOS D'!$A$2:$S$451,13,FALSE),"")</f>
        <v/>
      </c>
      <c r="X125" s="30" t="str">
        <f>IFERROR(VLOOKUP(X45,'CODIGOS D'!$A$2:$S$451,13,FALSE),"")</f>
        <v/>
      </c>
      <c r="Y125" s="30" t="str">
        <f>IFERROR(VLOOKUP(Y45,'CODIGOS D'!$A$2:$S$451,13,FALSE),"")</f>
        <v/>
      </c>
      <c r="Z125" s="30" t="str">
        <f>IFERROR(VLOOKUP(Z45,'CODIGOS D'!$A$2:$S$451,13,FALSE),"")</f>
        <v/>
      </c>
      <c r="AA125" s="30" t="str">
        <f>IFERROR(VLOOKUP(AA45,'CODIGOS D'!$A$2:$S$451,13,FALSE),"")</f>
        <v/>
      </c>
      <c r="AB125" s="30" t="str">
        <f>IFERROR(VLOOKUP(AB45,'CODIGOS D'!$A$2:$S$451,13,FALSE),"")</f>
        <v/>
      </c>
      <c r="AC125" s="30" t="str">
        <f>IFERROR(VLOOKUP(AC45,'CODIGOS D'!$A$2:$S$451,13,FALSE),"")</f>
        <v/>
      </c>
      <c r="AD125" s="30" t="str">
        <f>IFERROR(VLOOKUP(AD45,'CODIGOS D'!$A$2:$S$451,13,FALSE),"")</f>
        <v/>
      </c>
      <c r="AE125" s="1" t="str">
        <f>IFERROR(VLOOKUP(AE45,'CODIGOS D'!$A$2:$S$451,13,FALSE),"")</f>
        <v/>
      </c>
      <c r="AF125" s="1" t="str">
        <f>IFERROR(VLOOKUP(AF45,'CODIGOS D'!$A$2:$S$451,13,FALSE),"")</f>
        <v/>
      </c>
      <c r="AG125" s="1" t="str">
        <f>IFERROR(VLOOKUP(AG45,'CODIGOS D'!$A$2:$S$451,13,FALSE),"")</f>
        <v/>
      </c>
      <c r="AH125" s="1" t="str">
        <f>IFERROR(VLOOKUP(AH45,'CODIGOS D'!$A$2:$S$451,13,FALSE),"")</f>
        <v/>
      </c>
      <c r="AI125" s="89">
        <f t="shared" si="85"/>
        <v>0</v>
      </c>
    </row>
    <row r="126" spans="1:35" s="32" customFormat="1" ht="15" hidden="1" customHeight="1" x14ac:dyDescent="0.2">
      <c r="A126" s="30">
        <f t="shared" si="84"/>
        <v>2572</v>
      </c>
      <c r="B126" s="30">
        <f t="shared" si="87"/>
        <v>0</v>
      </c>
      <c r="C126" s="30">
        <f t="shared" si="87"/>
        <v>0</v>
      </c>
      <c r="D126" s="30">
        <f>D46</f>
        <v>0</v>
      </c>
      <c r="E126" s="30">
        <f t="shared" si="87"/>
        <v>0</v>
      </c>
      <c r="F126" s="30">
        <f t="shared" si="87"/>
        <v>0</v>
      </c>
      <c r="G126" s="30" t="str">
        <f t="shared" si="87"/>
        <v/>
      </c>
      <c r="H126" s="30" t="str">
        <f t="shared" si="87"/>
        <v xml:space="preserve">2572  </v>
      </c>
      <c r="I126" s="36" t="e">
        <f t="shared" si="87"/>
        <v>#N/A</v>
      </c>
      <c r="J126" s="89" t="e">
        <f t="shared" si="87"/>
        <v>#N/A</v>
      </c>
      <c r="K126" s="30">
        <f t="shared" si="87"/>
        <v>0</v>
      </c>
      <c r="L126" s="10" t="str">
        <f>IFERROR(VLOOKUP(L46,'CODIGOS D'!$A$2:$S$451,13,FALSE),"")</f>
        <v/>
      </c>
      <c r="M126" s="30" t="str">
        <f>IFERROR(VLOOKUP(M46,'CODIGOS D'!$A$2:$S$451,13,FALSE),"")</f>
        <v/>
      </c>
      <c r="N126" s="30" t="str">
        <f>IFERROR(VLOOKUP(N46,'CODIGOS D'!$A$2:$S$451,13,FALSE),"")</f>
        <v/>
      </c>
      <c r="O126" s="30" t="str">
        <f>IFERROR(VLOOKUP(O46,'CODIGOS D'!$A$2:$S$451,13,FALSE),"")</f>
        <v/>
      </c>
      <c r="P126" s="30" t="str">
        <f>IFERROR(VLOOKUP(P46,'CODIGOS D'!$A$2:$S$451,13,FALSE),"")</f>
        <v/>
      </c>
      <c r="Q126" s="30" t="str">
        <f>IFERROR(VLOOKUP(Q46,'CODIGOS D'!$A$2:$S$451,13,FALSE),"")</f>
        <v/>
      </c>
      <c r="R126" s="30" t="str">
        <f>IFERROR(VLOOKUP(R46,'CODIGOS D'!$A$2:$S$451,13,FALSE),"")</f>
        <v/>
      </c>
      <c r="S126" s="30" t="str">
        <f>IFERROR(VLOOKUP(S46,'CODIGOS D'!$A$2:$S$451,13,FALSE),"")</f>
        <v/>
      </c>
      <c r="T126" s="30" t="str">
        <f>IFERROR(VLOOKUP(T46,'CODIGOS D'!$A$2:$S$451,13,FALSE),"")</f>
        <v/>
      </c>
      <c r="U126" s="30" t="str">
        <f>IFERROR(VLOOKUP(U46,'CODIGOS D'!$A$2:$S$451,13,FALSE),"")</f>
        <v/>
      </c>
      <c r="V126" s="30" t="str">
        <f>IFERROR(VLOOKUP(V46,'CODIGOS D'!$A$2:$S$451,13,FALSE),"")</f>
        <v/>
      </c>
      <c r="W126" s="30" t="str">
        <f>IFERROR(VLOOKUP(W46,'CODIGOS D'!$A$2:$S$451,13,FALSE),"")</f>
        <v/>
      </c>
      <c r="X126" s="30" t="str">
        <f>IFERROR(VLOOKUP(X46,'CODIGOS D'!$A$2:$S$451,13,FALSE),"")</f>
        <v/>
      </c>
      <c r="Y126" s="30" t="str">
        <f>IFERROR(VLOOKUP(Y46,'CODIGOS D'!$A$2:$S$451,13,FALSE),"")</f>
        <v/>
      </c>
      <c r="Z126" s="30" t="str">
        <f>IFERROR(VLOOKUP(Z46,'CODIGOS D'!$A$2:$S$451,13,FALSE),"")</f>
        <v/>
      </c>
      <c r="AA126" s="30" t="str">
        <f>IFERROR(VLOOKUP(AA46,'CODIGOS D'!$A$2:$S$451,13,FALSE),"")</f>
        <v/>
      </c>
      <c r="AB126" s="30" t="str">
        <f>IFERROR(VLOOKUP(AB46,'CODIGOS D'!$A$2:$S$451,13,FALSE),"")</f>
        <v/>
      </c>
      <c r="AC126" s="30" t="str">
        <f>IFERROR(VLOOKUP(AC46,'CODIGOS D'!$A$2:$S$451,13,FALSE),"")</f>
        <v/>
      </c>
      <c r="AD126" s="30" t="str">
        <f>IFERROR(VLOOKUP(AD46,'CODIGOS D'!$A$2:$S$451,13,FALSE),"")</f>
        <v/>
      </c>
      <c r="AE126" s="1" t="str">
        <f>IFERROR(VLOOKUP(AE46,'CODIGOS D'!$A$2:$S$451,13,FALSE),"")</f>
        <v/>
      </c>
      <c r="AF126" s="1" t="str">
        <f>IFERROR(VLOOKUP(AF46,'CODIGOS D'!$A$2:$S$451,13,FALSE),"")</f>
        <v/>
      </c>
      <c r="AG126" s="1" t="str">
        <f>IFERROR(VLOOKUP(AG46,'CODIGOS D'!$A$2:$S$451,13,FALSE),"")</f>
        <v/>
      </c>
      <c r="AH126" s="1" t="str">
        <f>IFERROR(VLOOKUP(AH46,'CODIGOS D'!$A$2:$S$451,13,FALSE),"")</f>
        <v/>
      </c>
      <c r="AI126" s="89">
        <f t="shared" si="85"/>
        <v>0</v>
      </c>
    </row>
    <row r="127" spans="1:35" s="32" customFormat="1" ht="15" hidden="1" customHeight="1" x14ac:dyDescent="0.2">
      <c r="A127" s="30">
        <f t="shared" si="84"/>
        <v>2572</v>
      </c>
      <c r="B127" s="30">
        <f t="shared" si="87"/>
        <v>0</v>
      </c>
      <c r="C127" s="30">
        <f t="shared" si="87"/>
        <v>0</v>
      </c>
      <c r="D127" s="30">
        <f t="shared" si="87"/>
        <v>0</v>
      </c>
      <c r="E127" s="30">
        <f t="shared" si="87"/>
        <v>0</v>
      </c>
      <c r="F127" s="30">
        <f t="shared" si="87"/>
        <v>0</v>
      </c>
      <c r="G127" s="30" t="str">
        <f t="shared" si="87"/>
        <v/>
      </c>
      <c r="H127" s="30" t="str">
        <f t="shared" si="87"/>
        <v xml:space="preserve">2572  </v>
      </c>
      <c r="I127" s="36" t="e">
        <f t="shared" si="87"/>
        <v>#N/A</v>
      </c>
      <c r="J127" s="89" t="e">
        <f t="shared" si="87"/>
        <v>#N/A</v>
      </c>
      <c r="K127" s="30">
        <f t="shared" si="87"/>
        <v>0</v>
      </c>
      <c r="L127" s="10" t="str">
        <f>IFERROR(VLOOKUP(L47,'CODIGOS D'!$A$2:$S$451,13,FALSE),"")</f>
        <v/>
      </c>
      <c r="M127" s="30" t="str">
        <f>IFERROR(VLOOKUP(M47,'CODIGOS D'!$A$2:$S$451,13,FALSE),"")</f>
        <v/>
      </c>
      <c r="N127" s="30" t="str">
        <f>IFERROR(VLOOKUP(N47,'CODIGOS D'!$A$2:$S$451,13,FALSE),"")</f>
        <v/>
      </c>
      <c r="O127" s="30" t="str">
        <f>IFERROR(VLOOKUP(O47,'CODIGOS D'!$A$2:$S$451,13,FALSE),"")</f>
        <v/>
      </c>
      <c r="P127" s="30" t="str">
        <f>IFERROR(VLOOKUP(P47,'CODIGOS D'!$A$2:$S$451,13,FALSE),"")</f>
        <v/>
      </c>
      <c r="Q127" s="30" t="str">
        <f>IFERROR(VLOOKUP(Q47,'CODIGOS D'!$A$2:$S$451,13,FALSE),"")</f>
        <v/>
      </c>
      <c r="R127" s="30" t="str">
        <f>IFERROR(VLOOKUP(R47,'CODIGOS D'!$A$2:$S$451,13,FALSE),"")</f>
        <v/>
      </c>
      <c r="S127" s="30" t="str">
        <f>IFERROR(VLOOKUP(S47,'CODIGOS D'!$A$2:$S$451,13,FALSE),"")</f>
        <v/>
      </c>
      <c r="T127" s="30" t="str">
        <f>IFERROR(VLOOKUP(T47,'CODIGOS D'!$A$2:$S$451,13,FALSE),"")</f>
        <v/>
      </c>
      <c r="U127" s="30" t="str">
        <f>IFERROR(VLOOKUP(U47,'CODIGOS D'!$A$2:$S$451,13,FALSE),"")</f>
        <v/>
      </c>
      <c r="V127" s="30" t="str">
        <f>IFERROR(VLOOKUP(V47,'CODIGOS D'!$A$2:$S$451,13,FALSE),"")</f>
        <v/>
      </c>
      <c r="W127" s="30" t="str">
        <f>IFERROR(VLOOKUP(W47,'CODIGOS D'!$A$2:$S$451,13,FALSE),"")</f>
        <v/>
      </c>
      <c r="X127" s="30" t="str">
        <f>IFERROR(VLOOKUP(X47,'CODIGOS D'!$A$2:$S$451,13,FALSE),"")</f>
        <v/>
      </c>
      <c r="Y127" s="30" t="str">
        <f>IFERROR(VLOOKUP(Y47,'CODIGOS D'!$A$2:$S$451,13,FALSE),"")</f>
        <v/>
      </c>
      <c r="Z127" s="30" t="str">
        <f>IFERROR(VLOOKUP(Z47,'CODIGOS D'!$A$2:$S$451,13,FALSE),"")</f>
        <v/>
      </c>
      <c r="AA127" s="30" t="str">
        <f>IFERROR(VLOOKUP(AA47,'CODIGOS D'!$A$2:$S$451,13,FALSE),"")</f>
        <v/>
      </c>
      <c r="AB127" s="30" t="str">
        <f>IFERROR(VLOOKUP(AB47,'CODIGOS D'!$A$2:$S$451,13,FALSE),"")</f>
        <v/>
      </c>
      <c r="AC127" s="30" t="str">
        <f>IFERROR(VLOOKUP(AC47,'CODIGOS D'!$A$2:$S$451,13,FALSE),"")</f>
        <v/>
      </c>
      <c r="AD127" s="30" t="str">
        <f>IFERROR(VLOOKUP(AD47,'CODIGOS D'!$A$2:$S$451,13,FALSE),"")</f>
        <v/>
      </c>
      <c r="AE127" s="1" t="str">
        <f>IFERROR(VLOOKUP(AE47,'CODIGOS D'!$A$2:$S$451,13,FALSE),"")</f>
        <v/>
      </c>
      <c r="AF127" s="1" t="str">
        <f>IFERROR(VLOOKUP(AF47,'CODIGOS D'!$A$2:$S$451,13,FALSE),"")</f>
        <v/>
      </c>
      <c r="AG127" s="1" t="str">
        <f>IFERROR(VLOOKUP(AG47,'CODIGOS D'!$A$2:$S$451,13,FALSE),"")</f>
        <v/>
      </c>
      <c r="AH127" s="1" t="str">
        <f>IFERROR(VLOOKUP(AH47,'CODIGOS D'!$A$2:$S$451,13,FALSE),"")</f>
        <v/>
      </c>
      <c r="AI127" s="89">
        <f t="shared" si="85"/>
        <v>0</v>
      </c>
    </row>
    <row r="128" spans="1:35" s="32" customFormat="1" ht="15" hidden="1" customHeight="1" x14ac:dyDescent="0.2">
      <c r="A128" s="30">
        <f t="shared" si="84"/>
        <v>2572</v>
      </c>
      <c r="B128" s="30">
        <f t="shared" si="87"/>
        <v>0</v>
      </c>
      <c r="C128" s="30">
        <f t="shared" si="87"/>
        <v>0</v>
      </c>
      <c r="D128" s="30">
        <f t="shared" si="87"/>
        <v>0</v>
      </c>
      <c r="E128" s="30">
        <f t="shared" si="87"/>
        <v>0</v>
      </c>
      <c r="F128" s="30">
        <f t="shared" si="87"/>
        <v>0</v>
      </c>
      <c r="G128" s="30" t="str">
        <f t="shared" si="87"/>
        <v/>
      </c>
      <c r="H128" s="30" t="str">
        <f t="shared" si="87"/>
        <v xml:space="preserve">2572  </v>
      </c>
      <c r="I128" s="36" t="e">
        <f t="shared" si="87"/>
        <v>#N/A</v>
      </c>
      <c r="J128" s="89" t="e">
        <f t="shared" si="87"/>
        <v>#N/A</v>
      </c>
      <c r="K128" s="30">
        <f t="shared" si="87"/>
        <v>0</v>
      </c>
      <c r="L128" s="10" t="str">
        <f>IFERROR(VLOOKUP(L48,'CODIGOS D'!$A$2:$S$451,13,FALSE),"")</f>
        <v/>
      </c>
      <c r="M128" s="30" t="str">
        <f>IFERROR(VLOOKUP(M48,'CODIGOS D'!$A$2:$S$451,13,FALSE),"")</f>
        <v/>
      </c>
      <c r="N128" s="30" t="str">
        <f>IFERROR(VLOOKUP(N48,'CODIGOS D'!$A$2:$S$451,13,FALSE),"")</f>
        <v/>
      </c>
      <c r="O128" s="30" t="str">
        <f>IFERROR(VLOOKUP(O48,'CODIGOS D'!$A$2:$S$451,13,FALSE),"")</f>
        <v/>
      </c>
      <c r="P128" s="30" t="str">
        <f>IFERROR(VLOOKUP(P48,'CODIGOS D'!$A$2:$S$451,13,FALSE),"")</f>
        <v/>
      </c>
      <c r="Q128" s="30" t="str">
        <f>IFERROR(VLOOKUP(Q48,'CODIGOS D'!$A$2:$S$451,13,FALSE),"")</f>
        <v/>
      </c>
      <c r="R128" s="30" t="str">
        <f>IFERROR(VLOOKUP(R48,'CODIGOS D'!$A$2:$S$451,13,FALSE),"")</f>
        <v/>
      </c>
      <c r="S128" s="30" t="str">
        <f>IFERROR(VLOOKUP(S48,'CODIGOS D'!$A$2:$S$451,13,FALSE),"")</f>
        <v/>
      </c>
      <c r="T128" s="30" t="str">
        <f>IFERROR(VLOOKUP(T48,'CODIGOS D'!$A$2:$S$451,13,FALSE),"")</f>
        <v/>
      </c>
      <c r="U128" s="30" t="str">
        <f>IFERROR(VLOOKUP(U48,'CODIGOS D'!$A$2:$S$451,13,FALSE),"")</f>
        <v/>
      </c>
      <c r="V128" s="30" t="str">
        <f>IFERROR(VLOOKUP(V48,'CODIGOS D'!$A$2:$S$451,13,FALSE),"")</f>
        <v/>
      </c>
      <c r="W128" s="30" t="str">
        <f>IFERROR(VLOOKUP(W48,'CODIGOS D'!$A$2:$S$451,13,FALSE),"")</f>
        <v/>
      </c>
      <c r="X128" s="30" t="str">
        <f>IFERROR(VLOOKUP(X48,'CODIGOS D'!$A$2:$S$451,13,FALSE),"")</f>
        <v/>
      </c>
      <c r="Y128" s="30" t="str">
        <f>IFERROR(VLOOKUP(Y48,'CODIGOS D'!$A$2:$S$451,13,FALSE),"")</f>
        <v/>
      </c>
      <c r="Z128" s="30" t="str">
        <f>IFERROR(VLOOKUP(Z48,'CODIGOS D'!$A$2:$S$451,13,FALSE),"")</f>
        <v/>
      </c>
      <c r="AA128" s="30" t="str">
        <f>IFERROR(VLOOKUP(AA48,'CODIGOS D'!$A$2:$S$451,13,FALSE),"")</f>
        <v/>
      </c>
      <c r="AB128" s="30" t="str">
        <f>IFERROR(VLOOKUP(AB48,'CODIGOS D'!$A$2:$S$451,13,FALSE),"")</f>
        <v/>
      </c>
      <c r="AC128" s="30" t="str">
        <f>IFERROR(VLOOKUP(AC48,'CODIGOS D'!$A$2:$S$451,13,FALSE),"")</f>
        <v/>
      </c>
      <c r="AD128" s="30" t="str">
        <f>IFERROR(VLOOKUP(AD48,'CODIGOS D'!$A$2:$S$451,13,FALSE),"")</f>
        <v/>
      </c>
      <c r="AE128" s="1" t="str">
        <f>IFERROR(VLOOKUP(AE48,'CODIGOS D'!$A$2:$S$451,13,FALSE),"")</f>
        <v/>
      </c>
      <c r="AF128" s="1" t="str">
        <f>IFERROR(VLOOKUP(AF48,'CODIGOS D'!$A$2:$S$451,13,FALSE),"")</f>
        <v/>
      </c>
      <c r="AG128" s="1" t="str">
        <f>IFERROR(VLOOKUP(AG48,'CODIGOS D'!$A$2:$S$451,13,FALSE),"")</f>
        <v/>
      </c>
      <c r="AH128" s="1" t="str">
        <f>IFERROR(VLOOKUP(AH48,'CODIGOS D'!$A$2:$S$451,13,FALSE),"")</f>
        <v/>
      </c>
      <c r="AI128" s="89">
        <f t="shared" si="85"/>
        <v>0</v>
      </c>
    </row>
    <row r="129" spans="1:35" s="32" customFormat="1" ht="15" hidden="1" customHeight="1" x14ac:dyDescent="0.2">
      <c r="A129" s="30">
        <f t="shared" si="84"/>
        <v>2572</v>
      </c>
      <c r="B129" s="30">
        <f t="shared" si="87"/>
        <v>0</v>
      </c>
      <c r="C129" s="30">
        <f t="shared" si="87"/>
        <v>0</v>
      </c>
      <c r="D129" s="30">
        <f t="shared" si="87"/>
        <v>0</v>
      </c>
      <c r="E129" s="30">
        <f t="shared" si="87"/>
        <v>0</v>
      </c>
      <c r="F129" s="30">
        <f t="shared" si="87"/>
        <v>0</v>
      </c>
      <c r="G129" s="30" t="str">
        <f t="shared" si="87"/>
        <v/>
      </c>
      <c r="H129" s="30" t="str">
        <f t="shared" si="87"/>
        <v xml:space="preserve">2572  </v>
      </c>
      <c r="I129" s="36" t="e">
        <f t="shared" si="87"/>
        <v>#N/A</v>
      </c>
      <c r="J129" s="89" t="e">
        <f t="shared" si="87"/>
        <v>#N/A</v>
      </c>
      <c r="K129" s="30">
        <f t="shared" si="87"/>
        <v>0</v>
      </c>
      <c r="L129" s="10" t="str">
        <f>IFERROR(VLOOKUP(L49,'CODIGOS D'!$A$2:$S$451,13,FALSE),"")</f>
        <v/>
      </c>
      <c r="M129" s="30" t="str">
        <f>IFERROR(VLOOKUP(M49,'CODIGOS D'!$A$2:$S$451,13,FALSE),"")</f>
        <v/>
      </c>
      <c r="N129" s="30" t="str">
        <f>IFERROR(VLOOKUP(N49,'CODIGOS D'!$A$2:$S$451,13,FALSE),"")</f>
        <v/>
      </c>
      <c r="O129" s="30" t="str">
        <f>IFERROR(VLOOKUP(O49,'CODIGOS D'!$A$2:$S$451,13,FALSE),"")</f>
        <v/>
      </c>
      <c r="P129" s="30" t="str">
        <f>IFERROR(VLOOKUP(P49,'CODIGOS D'!$A$2:$S$451,13,FALSE),"")</f>
        <v/>
      </c>
      <c r="Q129" s="30" t="str">
        <f>IFERROR(VLOOKUP(Q49,'CODIGOS D'!$A$2:$S$451,13,FALSE),"")</f>
        <v/>
      </c>
      <c r="R129" s="30" t="str">
        <f>IFERROR(VLOOKUP(R49,'CODIGOS D'!$A$2:$S$451,13,FALSE),"")</f>
        <v/>
      </c>
      <c r="S129" s="30" t="str">
        <f>IFERROR(VLOOKUP(S49,'CODIGOS D'!$A$2:$S$451,13,FALSE),"")</f>
        <v/>
      </c>
      <c r="T129" s="30" t="str">
        <f>IFERROR(VLOOKUP(T49,'CODIGOS D'!$A$2:$S$451,13,FALSE),"")</f>
        <v/>
      </c>
      <c r="U129" s="30" t="str">
        <f>IFERROR(VLOOKUP(U49,'CODIGOS D'!$A$2:$S$451,13,FALSE),"")</f>
        <v/>
      </c>
      <c r="V129" s="30" t="str">
        <f>IFERROR(VLOOKUP(V49,'CODIGOS D'!$A$2:$S$451,13,FALSE),"")</f>
        <v/>
      </c>
      <c r="W129" s="30" t="str">
        <f>IFERROR(VLOOKUP(W49,'CODIGOS D'!$A$2:$S$451,13,FALSE),"")</f>
        <v/>
      </c>
      <c r="X129" s="30" t="str">
        <f>IFERROR(VLOOKUP(X49,'CODIGOS D'!$A$2:$S$451,13,FALSE),"")</f>
        <v/>
      </c>
      <c r="Y129" s="30" t="str">
        <f>IFERROR(VLOOKUP(Y49,'CODIGOS D'!$A$2:$S$451,13,FALSE),"")</f>
        <v/>
      </c>
      <c r="Z129" s="30" t="str">
        <f>IFERROR(VLOOKUP(Z49,'CODIGOS D'!$A$2:$S$451,13,FALSE),"")</f>
        <v/>
      </c>
      <c r="AA129" s="30" t="str">
        <f>IFERROR(VLOOKUP(AA49,'CODIGOS D'!$A$2:$S$451,13,FALSE),"")</f>
        <v/>
      </c>
      <c r="AB129" s="30" t="str">
        <f>IFERROR(VLOOKUP(AB49,'CODIGOS D'!$A$2:$S$451,13,FALSE),"")</f>
        <v/>
      </c>
      <c r="AC129" s="30" t="str">
        <f>IFERROR(VLOOKUP(AC49,'CODIGOS D'!$A$2:$S$451,13,FALSE),"")</f>
        <v/>
      </c>
      <c r="AD129" s="30" t="str">
        <f>IFERROR(VLOOKUP(AD49,'CODIGOS D'!$A$2:$S$451,13,FALSE),"")</f>
        <v/>
      </c>
      <c r="AE129" s="1" t="str">
        <f>IFERROR(VLOOKUP(AE49,'CODIGOS D'!$A$2:$S$451,13,FALSE),"")</f>
        <v/>
      </c>
      <c r="AF129" s="1" t="str">
        <f>IFERROR(VLOOKUP(AF49,'CODIGOS D'!$A$2:$S$451,13,FALSE),"")</f>
        <v/>
      </c>
      <c r="AG129" s="1" t="str">
        <f>IFERROR(VLOOKUP(AG49,'CODIGOS D'!$A$2:$S$451,13,FALSE),"")</f>
        <v/>
      </c>
      <c r="AH129" s="1" t="str">
        <f>IFERROR(VLOOKUP(AH49,'CODIGOS D'!$A$2:$S$451,13,FALSE),"")</f>
        <v/>
      </c>
      <c r="AI129" s="89">
        <f t="shared" si="85"/>
        <v>0</v>
      </c>
    </row>
    <row r="130" spans="1:35" s="32" customFormat="1" ht="15" hidden="1" customHeight="1" x14ac:dyDescent="0.2">
      <c r="A130" s="30">
        <f t="shared" si="84"/>
        <v>2572</v>
      </c>
      <c r="B130" s="30">
        <f t="shared" si="87"/>
        <v>0</v>
      </c>
      <c r="C130" s="30">
        <f t="shared" si="87"/>
        <v>0</v>
      </c>
      <c r="D130" s="30">
        <f t="shared" si="87"/>
        <v>0</v>
      </c>
      <c r="E130" s="30">
        <f t="shared" si="87"/>
        <v>0</v>
      </c>
      <c r="F130" s="30">
        <f t="shared" si="87"/>
        <v>0</v>
      </c>
      <c r="G130" s="30" t="str">
        <f t="shared" si="87"/>
        <v/>
      </c>
      <c r="H130" s="30" t="str">
        <f t="shared" si="87"/>
        <v xml:space="preserve">2572  </v>
      </c>
      <c r="I130" s="36" t="e">
        <f t="shared" si="87"/>
        <v>#N/A</v>
      </c>
      <c r="J130" s="89" t="e">
        <f t="shared" si="87"/>
        <v>#N/A</v>
      </c>
      <c r="K130" s="30">
        <f t="shared" si="87"/>
        <v>0</v>
      </c>
      <c r="L130" s="10" t="str">
        <f>IFERROR(VLOOKUP(L50,'CODIGOS D'!$A$2:$S$451,13,FALSE),"")</f>
        <v/>
      </c>
      <c r="M130" s="30" t="str">
        <f>IFERROR(VLOOKUP(M50,'CODIGOS D'!$A$2:$S$451,13,FALSE),"")</f>
        <v/>
      </c>
      <c r="N130" s="30" t="str">
        <f>IFERROR(VLOOKUP(N50,'CODIGOS D'!$A$2:$S$451,13,FALSE),"")</f>
        <v/>
      </c>
      <c r="O130" s="30" t="str">
        <f>IFERROR(VLOOKUP(O50,'CODIGOS D'!$A$2:$S$451,13,FALSE),"")</f>
        <v/>
      </c>
      <c r="P130" s="30" t="str">
        <f>IFERROR(VLOOKUP(P50,'CODIGOS D'!$A$2:$S$451,13,FALSE),"")</f>
        <v/>
      </c>
      <c r="Q130" s="30" t="str">
        <f>IFERROR(VLOOKUP(Q50,'CODIGOS D'!$A$2:$S$451,13,FALSE),"")</f>
        <v/>
      </c>
      <c r="R130" s="30" t="str">
        <f>IFERROR(VLOOKUP(R50,'CODIGOS D'!$A$2:$S$451,13,FALSE),"")</f>
        <v/>
      </c>
      <c r="S130" s="30" t="str">
        <f>IFERROR(VLOOKUP(S50,'CODIGOS D'!$A$2:$S$451,13,FALSE),"")</f>
        <v/>
      </c>
      <c r="T130" s="30" t="str">
        <f>IFERROR(VLOOKUP(T50,'CODIGOS D'!$A$2:$S$451,13,FALSE),"")</f>
        <v/>
      </c>
      <c r="U130" s="30" t="str">
        <f>IFERROR(VLOOKUP(U50,'CODIGOS D'!$A$2:$S$451,13,FALSE),"")</f>
        <v/>
      </c>
      <c r="V130" s="30" t="str">
        <f>IFERROR(VLOOKUP(V50,'CODIGOS D'!$A$2:$S$451,13,FALSE),"")</f>
        <v/>
      </c>
      <c r="W130" s="30" t="str">
        <f>IFERROR(VLOOKUP(W50,'CODIGOS D'!$A$2:$S$451,13,FALSE),"")</f>
        <v/>
      </c>
      <c r="X130" s="30" t="str">
        <f>IFERROR(VLOOKUP(X50,'CODIGOS D'!$A$2:$S$451,13,FALSE),"")</f>
        <v/>
      </c>
      <c r="Y130" s="30" t="str">
        <f>IFERROR(VLOOKUP(Y50,'CODIGOS D'!$A$2:$S$451,13,FALSE),"")</f>
        <v/>
      </c>
      <c r="Z130" s="30" t="str">
        <f>IFERROR(VLOOKUP(Z50,'CODIGOS D'!$A$2:$S$451,13,FALSE),"")</f>
        <v/>
      </c>
      <c r="AA130" s="30" t="str">
        <f>IFERROR(VLOOKUP(AA50,'CODIGOS D'!$A$2:$S$451,13,FALSE),"")</f>
        <v/>
      </c>
      <c r="AB130" s="30" t="str">
        <f>IFERROR(VLOOKUP(AB50,'CODIGOS D'!$A$2:$S$451,13,FALSE),"")</f>
        <v/>
      </c>
      <c r="AC130" s="30" t="str">
        <f>IFERROR(VLOOKUP(AC50,'CODIGOS D'!$A$2:$S$451,13,FALSE),"")</f>
        <v/>
      </c>
      <c r="AD130" s="30" t="str">
        <f>IFERROR(VLOOKUP(AD50,'CODIGOS D'!$A$2:$S$451,13,FALSE),"")</f>
        <v/>
      </c>
      <c r="AE130" s="1" t="str">
        <f>IFERROR(VLOOKUP(AE50,'CODIGOS D'!$A$2:$S$451,13,FALSE),"")</f>
        <v/>
      </c>
      <c r="AF130" s="1" t="str">
        <f>IFERROR(VLOOKUP(AF50,'CODIGOS D'!$A$2:$S$451,13,FALSE),"")</f>
        <v/>
      </c>
      <c r="AG130" s="1" t="str">
        <f>IFERROR(VLOOKUP(AG50,'CODIGOS D'!$A$2:$S$451,13,FALSE),"")</f>
        <v/>
      </c>
      <c r="AH130" s="1" t="str">
        <f>IFERROR(VLOOKUP(AH50,'CODIGOS D'!$A$2:$S$451,13,FALSE),"")</f>
        <v/>
      </c>
      <c r="AI130" s="89">
        <f t="shared" si="85"/>
        <v>0</v>
      </c>
    </row>
    <row r="131" spans="1:35" s="32" customFormat="1" ht="15" hidden="1" customHeight="1" x14ac:dyDescent="0.2">
      <c r="A131" s="30">
        <f t="shared" si="84"/>
        <v>2572</v>
      </c>
      <c r="B131" s="30">
        <f t="shared" si="87"/>
        <v>0</v>
      </c>
      <c r="C131" s="30">
        <f t="shared" si="87"/>
        <v>0</v>
      </c>
      <c r="D131" s="30">
        <f t="shared" si="87"/>
        <v>0</v>
      </c>
      <c r="E131" s="30">
        <f t="shared" si="87"/>
        <v>0</v>
      </c>
      <c r="F131" s="30">
        <f t="shared" si="87"/>
        <v>0</v>
      </c>
      <c r="G131" s="30" t="str">
        <f t="shared" si="87"/>
        <v/>
      </c>
      <c r="H131" s="30" t="str">
        <f t="shared" si="87"/>
        <v xml:space="preserve">2572  </v>
      </c>
      <c r="I131" s="36" t="e">
        <f t="shared" si="87"/>
        <v>#N/A</v>
      </c>
      <c r="J131" s="89" t="e">
        <f t="shared" si="87"/>
        <v>#N/A</v>
      </c>
      <c r="K131" s="30">
        <f t="shared" si="87"/>
        <v>0</v>
      </c>
      <c r="L131" s="10" t="str">
        <f>IFERROR(VLOOKUP(L51,'CODIGOS D'!$A$2:$S$451,13,FALSE),"")</f>
        <v/>
      </c>
      <c r="M131" s="30" t="str">
        <f>IFERROR(VLOOKUP(M51,'CODIGOS D'!$A$2:$S$451,13,FALSE),"")</f>
        <v/>
      </c>
      <c r="N131" s="30" t="str">
        <f>IFERROR(VLOOKUP(N51,'CODIGOS D'!$A$2:$S$451,13,FALSE),"")</f>
        <v/>
      </c>
      <c r="O131" s="30" t="str">
        <f>IFERROR(VLOOKUP(O51,'CODIGOS D'!$A$2:$S$451,13,FALSE),"")</f>
        <v/>
      </c>
      <c r="P131" s="30" t="str">
        <f>IFERROR(VLOOKUP(P51,'CODIGOS D'!$A$2:$S$451,13,FALSE),"")</f>
        <v/>
      </c>
      <c r="Q131" s="30" t="str">
        <f>IFERROR(VLOOKUP(Q51,'CODIGOS D'!$A$2:$S$451,13,FALSE),"")</f>
        <v/>
      </c>
      <c r="R131" s="30" t="str">
        <f>IFERROR(VLOOKUP(R51,'CODIGOS D'!$A$2:$S$451,13,FALSE),"")</f>
        <v/>
      </c>
      <c r="S131" s="30" t="str">
        <f>IFERROR(VLOOKUP(S51,'CODIGOS D'!$A$2:$S$451,13,FALSE),"")</f>
        <v/>
      </c>
      <c r="T131" s="30" t="str">
        <f>IFERROR(VLOOKUP(T51,'CODIGOS D'!$A$2:$S$451,13,FALSE),"")</f>
        <v/>
      </c>
      <c r="U131" s="30" t="str">
        <f>IFERROR(VLOOKUP(U51,'CODIGOS D'!$A$2:$S$451,13,FALSE),"")</f>
        <v/>
      </c>
      <c r="V131" s="30" t="str">
        <f>IFERROR(VLOOKUP(V51,'CODIGOS D'!$A$2:$S$451,13,FALSE),"")</f>
        <v/>
      </c>
      <c r="W131" s="30" t="str">
        <f>IFERROR(VLOOKUP(W51,'CODIGOS D'!$A$2:$S$451,13,FALSE),"")</f>
        <v/>
      </c>
      <c r="X131" s="30" t="str">
        <f>IFERROR(VLOOKUP(X51,'CODIGOS D'!$A$2:$S$451,13,FALSE),"")</f>
        <v/>
      </c>
      <c r="Y131" s="30" t="str">
        <f>IFERROR(VLOOKUP(Y51,'CODIGOS D'!$A$2:$S$451,13,FALSE),"")</f>
        <v/>
      </c>
      <c r="Z131" s="30" t="str">
        <f>IFERROR(VLOOKUP(Z51,'CODIGOS D'!$A$2:$S$451,13,FALSE),"")</f>
        <v/>
      </c>
      <c r="AA131" s="30" t="str">
        <f>IFERROR(VLOOKUP(AA51,'CODIGOS D'!$A$2:$S$451,13,FALSE),"")</f>
        <v/>
      </c>
      <c r="AB131" s="30" t="str">
        <f>IFERROR(VLOOKUP(AB51,'CODIGOS D'!$A$2:$S$451,13,FALSE),"")</f>
        <v/>
      </c>
      <c r="AC131" s="30" t="str">
        <f>IFERROR(VLOOKUP(AC51,'CODIGOS D'!$A$2:$S$451,13,FALSE),"")</f>
        <v/>
      </c>
      <c r="AD131" s="30" t="str">
        <f>IFERROR(VLOOKUP(AD51,'CODIGOS D'!$A$2:$S$451,13,FALSE),"")</f>
        <v/>
      </c>
      <c r="AE131" s="1" t="str">
        <f>IFERROR(VLOOKUP(AE51,'CODIGOS D'!$A$2:$S$451,13,FALSE),"")</f>
        <v/>
      </c>
      <c r="AF131" s="1" t="str">
        <f>IFERROR(VLOOKUP(AF51,'CODIGOS D'!$A$2:$S$451,13,FALSE),"")</f>
        <v/>
      </c>
      <c r="AG131" s="1" t="str">
        <f>IFERROR(VLOOKUP(AG51,'CODIGOS D'!$A$2:$S$451,13,FALSE),"")</f>
        <v/>
      </c>
      <c r="AH131" s="1" t="str">
        <f>IFERROR(VLOOKUP(AH51,'CODIGOS D'!$A$2:$S$451,13,FALSE),"")</f>
        <v/>
      </c>
      <c r="AI131" s="89">
        <f t="shared" si="85"/>
        <v>0</v>
      </c>
    </row>
    <row r="132" spans="1:35" s="32" customFormat="1" ht="15" hidden="1" customHeight="1" x14ac:dyDescent="0.2">
      <c r="A132" s="30">
        <f t="shared" si="84"/>
        <v>2572</v>
      </c>
      <c r="B132" s="30">
        <f t="shared" si="87"/>
        <v>0</v>
      </c>
      <c r="C132" s="30">
        <f t="shared" si="87"/>
        <v>0</v>
      </c>
      <c r="D132" s="30">
        <f t="shared" si="87"/>
        <v>0</v>
      </c>
      <c r="E132" s="30">
        <f t="shared" si="87"/>
        <v>0</v>
      </c>
      <c r="F132" s="30">
        <f t="shared" si="87"/>
        <v>0</v>
      </c>
      <c r="G132" s="30" t="str">
        <f t="shared" si="87"/>
        <v/>
      </c>
      <c r="H132" s="30" t="str">
        <f t="shared" si="87"/>
        <v xml:space="preserve">2572  </v>
      </c>
      <c r="I132" s="36" t="e">
        <f t="shared" si="87"/>
        <v>#N/A</v>
      </c>
      <c r="J132" s="89" t="e">
        <f t="shared" si="87"/>
        <v>#N/A</v>
      </c>
      <c r="K132" s="30">
        <f t="shared" si="87"/>
        <v>0</v>
      </c>
      <c r="L132" s="10" t="str">
        <f>IFERROR(VLOOKUP(L52,'CODIGOS D'!$A$2:$S$451,13,FALSE),"")</f>
        <v/>
      </c>
      <c r="M132" s="30" t="str">
        <f>IFERROR(VLOOKUP(M52,'CODIGOS D'!$A$2:$S$451,13,FALSE),"")</f>
        <v/>
      </c>
      <c r="N132" s="30" t="str">
        <f>IFERROR(VLOOKUP(N52,'CODIGOS D'!$A$2:$S$451,13,FALSE),"")</f>
        <v/>
      </c>
      <c r="O132" s="30" t="str">
        <f>IFERROR(VLOOKUP(O52,'CODIGOS D'!$A$2:$S$451,13,FALSE),"")</f>
        <v/>
      </c>
      <c r="P132" s="30" t="str">
        <f>IFERROR(VLOOKUP(P52,'CODIGOS D'!$A$2:$S$451,13,FALSE),"")</f>
        <v/>
      </c>
      <c r="Q132" s="30" t="str">
        <f>IFERROR(VLOOKUP(Q52,'CODIGOS D'!$A$2:$S$451,13,FALSE),"")</f>
        <v/>
      </c>
      <c r="R132" s="30" t="str">
        <f>IFERROR(VLOOKUP(R52,'CODIGOS D'!$A$2:$S$451,13,FALSE),"")</f>
        <v/>
      </c>
      <c r="S132" s="30" t="str">
        <f>IFERROR(VLOOKUP(S52,'CODIGOS D'!$A$2:$S$451,13,FALSE),"")</f>
        <v/>
      </c>
      <c r="T132" s="30" t="str">
        <f>IFERROR(VLOOKUP(T52,'CODIGOS D'!$A$2:$S$451,13,FALSE),"")</f>
        <v/>
      </c>
      <c r="U132" s="30" t="str">
        <f>IFERROR(VLOOKUP(U52,'CODIGOS D'!$A$2:$S$451,13,FALSE),"")</f>
        <v/>
      </c>
      <c r="V132" s="30" t="str">
        <f>IFERROR(VLOOKUP(V52,'CODIGOS D'!$A$2:$S$451,13,FALSE),"")</f>
        <v/>
      </c>
      <c r="W132" s="30" t="str">
        <f>IFERROR(VLOOKUP(W52,'CODIGOS D'!$A$2:$S$451,13,FALSE),"")</f>
        <v/>
      </c>
      <c r="X132" s="30" t="str">
        <f>IFERROR(VLOOKUP(X52,'CODIGOS D'!$A$2:$S$451,13,FALSE),"")</f>
        <v/>
      </c>
      <c r="Y132" s="30" t="str">
        <f>IFERROR(VLOOKUP(Y52,'CODIGOS D'!$A$2:$S$451,13,FALSE),"")</f>
        <v/>
      </c>
      <c r="Z132" s="30" t="str">
        <f>IFERROR(VLOOKUP(Z52,'CODIGOS D'!$A$2:$S$451,13,FALSE),"")</f>
        <v/>
      </c>
      <c r="AA132" s="30" t="str">
        <f>IFERROR(VLOOKUP(AA52,'CODIGOS D'!$A$2:$S$451,13,FALSE),"")</f>
        <v/>
      </c>
      <c r="AB132" s="30" t="str">
        <f>IFERROR(VLOOKUP(AB52,'CODIGOS D'!$A$2:$S$451,13,FALSE),"")</f>
        <v/>
      </c>
      <c r="AC132" s="30" t="str">
        <f>IFERROR(VLOOKUP(AC52,'CODIGOS D'!$A$2:$S$451,13,FALSE),"")</f>
        <v/>
      </c>
      <c r="AD132" s="30" t="str">
        <f>IFERROR(VLOOKUP(AD52,'CODIGOS D'!$A$2:$S$451,13,FALSE),"")</f>
        <v/>
      </c>
      <c r="AE132" s="1" t="str">
        <f>IFERROR(VLOOKUP(AE52,'CODIGOS D'!$A$2:$S$451,13,FALSE),"")</f>
        <v/>
      </c>
      <c r="AF132" s="1" t="str">
        <f>IFERROR(VLOOKUP(AF52,'CODIGOS D'!$A$2:$S$451,13,FALSE),"")</f>
        <v/>
      </c>
      <c r="AG132" s="1" t="str">
        <f>IFERROR(VLOOKUP(AG52,'CODIGOS D'!$A$2:$S$451,13,FALSE),"")</f>
        <v/>
      </c>
      <c r="AH132" s="1" t="str">
        <f>IFERROR(VLOOKUP(AH52,'CODIGOS D'!$A$2:$S$451,13,FALSE),"")</f>
        <v/>
      </c>
      <c r="AI132" s="89">
        <f t="shared" si="85"/>
        <v>0</v>
      </c>
    </row>
    <row r="133" spans="1:35" s="32" customFormat="1" ht="15" hidden="1" customHeight="1" x14ac:dyDescent="0.2">
      <c r="A133" s="30">
        <f t="shared" si="84"/>
        <v>2572</v>
      </c>
      <c r="B133" s="30">
        <f t="shared" si="87"/>
        <v>0</v>
      </c>
      <c r="C133" s="30">
        <f t="shared" si="87"/>
        <v>0</v>
      </c>
      <c r="D133" s="30">
        <f t="shared" si="87"/>
        <v>0</v>
      </c>
      <c r="E133" s="30">
        <f t="shared" si="87"/>
        <v>0</v>
      </c>
      <c r="F133" s="30">
        <f t="shared" si="87"/>
        <v>0</v>
      </c>
      <c r="G133" s="30" t="str">
        <f t="shared" si="87"/>
        <v/>
      </c>
      <c r="H133" s="30" t="str">
        <f t="shared" si="87"/>
        <v xml:space="preserve">2572  </v>
      </c>
      <c r="I133" s="36" t="e">
        <f t="shared" si="87"/>
        <v>#N/A</v>
      </c>
      <c r="J133" s="89" t="e">
        <f t="shared" si="87"/>
        <v>#N/A</v>
      </c>
      <c r="K133" s="30">
        <f t="shared" si="87"/>
        <v>0</v>
      </c>
      <c r="L133" s="10" t="str">
        <f>IFERROR(VLOOKUP(L53,'CODIGOS D'!$A$2:$S$451,13,FALSE),"")</f>
        <v/>
      </c>
      <c r="M133" s="30" t="str">
        <f>IFERROR(VLOOKUP(M53,'CODIGOS D'!$A$2:$S$451,13,FALSE),"")</f>
        <v/>
      </c>
      <c r="N133" s="30" t="str">
        <f>IFERROR(VLOOKUP(N53,'CODIGOS D'!$A$2:$S$451,13,FALSE),"")</f>
        <v/>
      </c>
      <c r="O133" s="30" t="str">
        <f>IFERROR(VLOOKUP(O53,'CODIGOS D'!$A$2:$S$451,13,FALSE),"")</f>
        <v/>
      </c>
      <c r="P133" s="30" t="str">
        <f>IFERROR(VLOOKUP(P53,'CODIGOS D'!$A$2:$S$451,13,FALSE),"")</f>
        <v/>
      </c>
      <c r="Q133" s="30" t="str">
        <f>IFERROR(VLOOKUP(Q53,'CODIGOS D'!$A$2:$S$451,13,FALSE),"")</f>
        <v/>
      </c>
      <c r="R133" s="30" t="str">
        <f>IFERROR(VLOOKUP(R53,'CODIGOS D'!$A$2:$S$451,13,FALSE),"")</f>
        <v/>
      </c>
      <c r="S133" s="30" t="str">
        <f>IFERROR(VLOOKUP(S53,'CODIGOS D'!$A$2:$S$451,13,FALSE),"")</f>
        <v/>
      </c>
      <c r="T133" s="30" t="str">
        <f>IFERROR(VLOOKUP(T53,'CODIGOS D'!$A$2:$S$451,13,FALSE),"")</f>
        <v/>
      </c>
      <c r="U133" s="30" t="str">
        <f>IFERROR(VLOOKUP(U53,'CODIGOS D'!$A$2:$S$451,13,FALSE),"")</f>
        <v/>
      </c>
      <c r="V133" s="30" t="str">
        <f>IFERROR(VLOOKUP(V53,'CODIGOS D'!$A$2:$S$451,13,FALSE),"")</f>
        <v/>
      </c>
      <c r="W133" s="30" t="str">
        <f>IFERROR(VLOOKUP(W53,'CODIGOS D'!$A$2:$S$451,13,FALSE),"")</f>
        <v/>
      </c>
      <c r="X133" s="30" t="str">
        <f>IFERROR(VLOOKUP(X53,'CODIGOS D'!$A$2:$S$451,13,FALSE),"")</f>
        <v/>
      </c>
      <c r="Y133" s="30" t="str">
        <f>IFERROR(VLOOKUP(Y53,'CODIGOS D'!$A$2:$S$451,13,FALSE),"")</f>
        <v/>
      </c>
      <c r="Z133" s="30" t="str">
        <f>IFERROR(VLOOKUP(Z53,'CODIGOS D'!$A$2:$S$451,13,FALSE),"")</f>
        <v/>
      </c>
      <c r="AA133" s="30" t="str">
        <f>IFERROR(VLOOKUP(AA53,'CODIGOS D'!$A$2:$S$451,13,FALSE),"")</f>
        <v/>
      </c>
      <c r="AB133" s="30" t="str">
        <f>IFERROR(VLOOKUP(AB53,'CODIGOS D'!$A$2:$S$451,13,FALSE),"")</f>
        <v/>
      </c>
      <c r="AC133" s="30" t="str">
        <f>IFERROR(VLOOKUP(AC53,'CODIGOS D'!$A$2:$S$451,13,FALSE),"")</f>
        <v/>
      </c>
      <c r="AD133" s="30" t="str">
        <f>IFERROR(VLOOKUP(AD53,'CODIGOS D'!$A$2:$S$451,13,FALSE),"")</f>
        <v/>
      </c>
      <c r="AE133" s="1" t="str">
        <f>IFERROR(VLOOKUP(AE53,'CODIGOS D'!$A$2:$S$451,13,FALSE),"")</f>
        <v/>
      </c>
      <c r="AF133" s="1" t="str">
        <f>IFERROR(VLOOKUP(AF53,'CODIGOS D'!$A$2:$S$451,13,FALSE),"")</f>
        <v/>
      </c>
      <c r="AG133" s="1" t="str">
        <f>IFERROR(VLOOKUP(AG53,'CODIGOS D'!$A$2:$S$451,13,FALSE),"")</f>
        <v/>
      </c>
      <c r="AH133" s="1" t="str">
        <f>IFERROR(VLOOKUP(AH53,'CODIGOS D'!$A$2:$S$451,13,FALSE),"")</f>
        <v/>
      </c>
      <c r="AI133" s="89">
        <f t="shared" si="85"/>
        <v>0</v>
      </c>
    </row>
    <row r="134" spans="1:35" s="32" customFormat="1" ht="15" hidden="1" customHeight="1" x14ac:dyDescent="0.2">
      <c r="A134" s="30">
        <f t="shared" si="84"/>
        <v>2572</v>
      </c>
      <c r="B134" s="30">
        <f t="shared" si="87"/>
        <v>0</v>
      </c>
      <c r="C134" s="30">
        <f t="shared" si="87"/>
        <v>0</v>
      </c>
      <c r="D134" s="30">
        <f t="shared" si="87"/>
        <v>0</v>
      </c>
      <c r="E134" s="30">
        <f t="shared" si="87"/>
        <v>0</v>
      </c>
      <c r="F134" s="30">
        <f t="shared" si="87"/>
        <v>0</v>
      </c>
      <c r="G134" s="30" t="str">
        <f t="shared" si="87"/>
        <v/>
      </c>
      <c r="H134" s="30" t="str">
        <f t="shared" si="87"/>
        <v xml:space="preserve">2572  </v>
      </c>
      <c r="I134" s="36" t="e">
        <f t="shared" si="87"/>
        <v>#N/A</v>
      </c>
      <c r="J134" s="89" t="e">
        <f t="shared" si="87"/>
        <v>#N/A</v>
      </c>
      <c r="K134" s="30">
        <f t="shared" si="87"/>
        <v>0</v>
      </c>
      <c r="L134" s="10" t="str">
        <f>IFERROR(VLOOKUP(L54,'CODIGOS D'!$A$2:$S$451,13,FALSE),"")</f>
        <v/>
      </c>
      <c r="M134" s="30" t="str">
        <f>IFERROR(VLOOKUP(M54,'CODIGOS D'!$A$2:$S$451,13,FALSE),"")</f>
        <v/>
      </c>
      <c r="N134" s="30" t="str">
        <f>IFERROR(VLOOKUP(N54,'CODIGOS D'!$A$2:$S$451,13,FALSE),"")</f>
        <v/>
      </c>
      <c r="O134" s="30" t="str">
        <f>IFERROR(VLOOKUP(O54,'CODIGOS D'!$A$2:$S$451,13,FALSE),"")</f>
        <v/>
      </c>
      <c r="P134" s="30" t="str">
        <f>IFERROR(VLOOKUP(P54,'CODIGOS D'!$A$2:$S$451,13,FALSE),"")</f>
        <v/>
      </c>
      <c r="Q134" s="30" t="str">
        <f>IFERROR(VLOOKUP(Q54,'CODIGOS D'!$A$2:$S$451,13,FALSE),"")</f>
        <v/>
      </c>
      <c r="R134" s="30" t="str">
        <f>IFERROR(VLOOKUP(R54,'CODIGOS D'!$A$2:$S$451,13,FALSE),"")</f>
        <v/>
      </c>
      <c r="S134" s="30" t="str">
        <f>IFERROR(VLOOKUP(S54,'CODIGOS D'!$A$2:$S$451,13,FALSE),"")</f>
        <v/>
      </c>
      <c r="T134" s="30" t="str">
        <f>IFERROR(VLOOKUP(T54,'CODIGOS D'!$A$2:$S$451,13,FALSE),"")</f>
        <v/>
      </c>
      <c r="U134" s="30" t="str">
        <f>IFERROR(VLOOKUP(U54,'CODIGOS D'!$A$2:$S$451,13,FALSE),"")</f>
        <v/>
      </c>
      <c r="V134" s="30" t="str">
        <f>IFERROR(VLOOKUP(V54,'CODIGOS D'!$A$2:$S$451,13,FALSE),"")</f>
        <v/>
      </c>
      <c r="W134" s="30" t="str">
        <f>IFERROR(VLOOKUP(W54,'CODIGOS D'!$A$2:$S$451,13,FALSE),"")</f>
        <v/>
      </c>
      <c r="X134" s="30" t="str">
        <f>IFERROR(VLOOKUP(X54,'CODIGOS D'!$A$2:$S$451,13,FALSE),"")</f>
        <v/>
      </c>
      <c r="Y134" s="30" t="str">
        <f>IFERROR(VLOOKUP(Y54,'CODIGOS D'!$A$2:$S$451,13,FALSE),"")</f>
        <v/>
      </c>
      <c r="Z134" s="30" t="str">
        <f>IFERROR(VLOOKUP(Z54,'CODIGOS D'!$A$2:$S$451,13,FALSE),"")</f>
        <v/>
      </c>
      <c r="AA134" s="30" t="str">
        <f>IFERROR(VLOOKUP(AA54,'CODIGOS D'!$A$2:$S$451,13,FALSE),"")</f>
        <v/>
      </c>
      <c r="AB134" s="30" t="str">
        <f>IFERROR(VLOOKUP(AB54,'CODIGOS D'!$A$2:$S$451,13,FALSE),"")</f>
        <v/>
      </c>
      <c r="AC134" s="30" t="str">
        <f>IFERROR(VLOOKUP(AC54,'CODIGOS D'!$A$2:$S$451,13,FALSE),"")</f>
        <v/>
      </c>
      <c r="AD134" s="30" t="str">
        <f>IFERROR(VLOOKUP(AD54,'CODIGOS D'!$A$2:$S$451,13,FALSE),"")</f>
        <v/>
      </c>
      <c r="AE134" s="1" t="str">
        <f>IFERROR(VLOOKUP(AE54,'CODIGOS D'!$A$2:$S$451,13,FALSE),"")</f>
        <v/>
      </c>
      <c r="AF134" s="1" t="str">
        <f>IFERROR(VLOOKUP(AF54,'CODIGOS D'!$A$2:$S$451,13,FALSE),"")</f>
        <v/>
      </c>
      <c r="AG134" s="1" t="str">
        <f>IFERROR(VLOOKUP(AG54,'CODIGOS D'!$A$2:$S$451,13,FALSE),"")</f>
        <v/>
      </c>
      <c r="AH134" s="1" t="str">
        <f>IFERROR(VLOOKUP(AH54,'CODIGOS D'!$A$2:$S$451,13,FALSE),"")</f>
        <v/>
      </c>
      <c r="AI134" s="89">
        <f t="shared" si="85"/>
        <v>0</v>
      </c>
    </row>
    <row r="135" spans="1:35" ht="15" hidden="1" customHeight="1" x14ac:dyDescent="0.2">
      <c r="A135" s="1">
        <f t="shared" si="84"/>
        <v>2572</v>
      </c>
      <c r="B135" s="1">
        <f t="shared" ref="B135:K147" si="88">B55</f>
        <v>0</v>
      </c>
      <c r="C135" s="1">
        <f t="shared" si="88"/>
        <v>0</v>
      </c>
      <c r="D135" s="1">
        <f t="shared" si="88"/>
        <v>0</v>
      </c>
      <c r="E135" s="1">
        <f t="shared" si="88"/>
        <v>0</v>
      </c>
      <c r="F135" s="1">
        <f t="shared" si="88"/>
        <v>0</v>
      </c>
      <c r="G135" s="1" t="str">
        <f t="shared" si="88"/>
        <v/>
      </c>
      <c r="H135" s="1" t="str">
        <f t="shared" si="88"/>
        <v xml:space="preserve">2572  </v>
      </c>
      <c r="I135" s="137" t="e">
        <f t="shared" si="88"/>
        <v>#N/A</v>
      </c>
      <c r="J135" s="3" t="e">
        <f t="shared" si="88"/>
        <v>#N/A</v>
      </c>
      <c r="K135" s="1">
        <f t="shared" si="88"/>
        <v>0</v>
      </c>
      <c r="L135" s="1" t="str">
        <f>IFERROR(VLOOKUP(L55,'CODIGOS D'!$A$2:$S$451,13,FALSE),"")</f>
        <v/>
      </c>
      <c r="M135" s="1" t="str">
        <f>IFERROR(VLOOKUP(M55,'CODIGOS D'!$A$2:$S$451,13,FALSE),"")</f>
        <v/>
      </c>
      <c r="N135" s="1" t="str">
        <f>IFERROR(VLOOKUP(N55,'CODIGOS D'!$A$2:$S$451,13,FALSE),"")</f>
        <v/>
      </c>
      <c r="O135" s="1" t="str">
        <f>IFERROR(VLOOKUP(O55,'CODIGOS D'!$A$2:$S$451,13,FALSE),"")</f>
        <v/>
      </c>
      <c r="P135" s="1" t="str">
        <f>IFERROR(VLOOKUP(P55,'CODIGOS D'!$A$2:$S$451,13,FALSE),"")</f>
        <v/>
      </c>
      <c r="Q135" s="1" t="str">
        <f>IFERROR(VLOOKUP(Q55,'CODIGOS D'!$A$2:$S$451,13,FALSE),"")</f>
        <v/>
      </c>
      <c r="R135" s="1" t="str">
        <f>IFERROR(VLOOKUP(R55,'CODIGOS D'!$A$2:$S$451,13,FALSE),"")</f>
        <v/>
      </c>
      <c r="S135" s="1" t="str">
        <f>IFERROR(VLOOKUP(S55,'CODIGOS D'!$A$2:$S$451,13,FALSE),"")</f>
        <v/>
      </c>
      <c r="T135" s="1" t="str">
        <f>IFERROR(VLOOKUP(T55,'CODIGOS D'!$A$2:$S$451,13,FALSE),"")</f>
        <v/>
      </c>
      <c r="U135" s="1" t="str">
        <f>IFERROR(VLOOKUP(U55,'CODIGOS D'!$A$2:$S$451,13,FALSE),"")</f>
        <v/>
      </c>
      <c r="V135" s="1" t="str">
        <f>IFERROR(VLOOKUP(V55,'CODIGOS D'!$A$2:$S$451,13,FALSE),"")</f>
        <v/>
      </c>
      <c r="W135" s="1" t="str">
        <f>IFERROR(VLOOKUP(W55,'CODIGOS D'!$A$2:$S$451,13,FALSE),"")</f>
        <v/>
      </c>
      <c r="X135" s="1" t="str">
        <f>IFERROR(VLOOKUP(X55,'CODIGOS D'!$A$2:$S$451,13,FALSE),"")</f>
        <v/>
      </c>
      <c r="Y135" s="1" t="str">
        <f>IFERROR(VLOOKUP(Y55,'CODIGOS D'!$A$2:$S$451,13,FALSE),"")</f>
        <v/>
      </c>
      <c r="Z135" s="1" t="str">
        <f>IFERROR(VLOOKUP(Z55,'CODIGOS D'!$A$2:$S$451,13,FALSE),"")</f>
        <v/>
      </c>
      <c r="AA135" s="1" t="str">
        <f>IFERROR(VLOOKUP(AA55,'CODIGOS D'!$A$2:$S$451,13,FALSE),"")</f>
        <v/>
      </c>
      <c r="AB135" s="1" t="str">
        <f>IFERROR(VLOOKUP(AB55,'CODIGOS D'!$A$2:$S$451,13,FALSE),"")</f>
        <v/>
      </c>
      <c r="AC135" s="1" t="str">
        <f>IFERROR(VLOOKUP(AC55,'CODIGOS D'!$A$2:$S$451,13,FALSE),"")</f>
        <v/>
      </c>
      <c r="AD135" s="1" t="str">
        <f>IFERROR(VLOOKUP(AD55,'CODIGOS D'!$A$2:$S$451,13,FALSE),"")</f>
        <v/>
      </c>
      <c r="AE135" s="1" t="str">
        <f>IFERROR(VLOOKUP(AE55,'CODIGOS D'!$A$2:$S$451,13,FALSE),"")</f>
        <v/>
      </c>
      <c r="AF135" s="1" t="str">
        <f>IFERROR(VLOOKUP(AF55,'CODIGOS D'!$A$2:$S$451,13,FALSE),"")</f>
        <v/>
      </c>
      <c r="AG135" s="1" t="str">
        <f>IFERROR(VLOOKUP(AG55,'CODIGOS D'!$A$2:$S$451,13,FALSE),"")</f>
        <v/>
      </c>
      <c r="AH135" s="1" t="str">
        <f>IFERROR(VLOOKUP(AH55,'CODIGOS D'!$A$2:$S$451,13,FALSE),"")</f>
        <v/>
      </c>
      <c r="AI135" s="89">
        <f t="shared" si="85"/>
        <v>0</v>
      </c>
    </row>
    <row r="136" spans="1:35" ht="15" hidden="1" customHeight="1" x14ac:dyDescent="0.2">
      <c r="A136" s="1">
        <f t="shared" si="84"/>
        <v>2572</v>
      </c>
      <c r="B136" s="1">
        <f t="shared" si="88"/>
        <v>0</v>
      </c>
      <c r="C136" s="1">
        <f t="shared" si="88"/>
        <v>0</v>
      </c>
      <c r="D136" s="1">
        <f t="shared" si="88"/>
        <v>0</v>
      </c>
      <c r="E136" s="1">
        <f t="shared" si="88"/>
        <v>0</v>
      </c>
      <c r="F136" s="1">
        <f t="shared" si="88"/>
        <v>0</v>
      </c>
      <c r="G136" s="1" t="str">
        <f t="shared" si="88"/>
        <v/>
      </c>
      <c r="H136" s="1" t="str">
        <f t="shared" si="88"/>
        <v xml:space="preserve">2572  </v>
      </c>
      <c r="I136" s="137" t="e">
        <f t="shared" si="88"/>
        <v>#N/A</v>
      </c>
      <c r="J136" s="3" t="e">
        <f t="shared" si="88"/>
        <v>#N/A</v>
      </c>
      <c r="K136" s="1">
        <f t="shared" si="88"/>
        <v>0</v>
      </c>
      <c r="L136" s="1" t="str">
        <f>IFERROR(VLOOKUP(L56,'CODIGOS D'!$A$2:$S$451,13,FALSE),"")</f>
        <v/>
      </c>
      <c r="M136" s="1" t="str">
        <f>IFERROR(VLOOKUP(M56,'CODIGOS D'!$A$2:$S$451,13,FALSE),"")</f>
        <v/>
      </c>
      <c r="N136" s="1" t="str">
        <f>IFERROR(VLOOKUP(N56,'CODIGOS D'!$A$2:$S$451,13,FALSE),"")</f>
        <v/>
      </c>
      <c r="O136" s="1" t="str">
        <f>IFERROR(VLOOKUP(O56,'CODIGOS D'!$A$2:$S$451,13,FALSE),"")</f>
        <v/>
      </c>
      <c r="P136" s="1" t="str">
        <f>IFERROR(VLOOKUP(P56,'CODIGOS D'!$A$2:$S$451,13,FALSE),"")</f>
        <v/>
      </c>
      <c r="Q136" s="1" t="str">
        <f>IFERROR(VLOOKUP(Q56,'CODIGOS D'!$A$2:$S$451,13,FALSE),"")</f>
        <v/>
      </c>
      <c r="R136" s="1" t="str">
        <f>IFERROR(VLOOKUP(R56,'CODIGOS D'!$A$2:$S$451,13,FALSE),"")</f>
        <v/>
      </c>
      <c r="S136" s="1" t="str">
        <f>IFERROR(VLOOKUP(S56,'CODIGOS D'!$A$2:$S$451,13,FALSE),"")</f>
        <v/>
      </c>
      <c r="T136" s="1" t="str">
        <f>IFERROR(VLOOKUP(T56,'CODIGOS D'!$A$2:$S$451,13,FALSE),"")</f>
        <v/>
      </c>
      <c r="U136" s="1" t="str">
        <f>IFERROR(VLOOKUP(U56,'CODIGOS D'!$A$2:$S$451,13,FALSE),"")</f>
        <v/>
      </c>
      <c r="V136" s="1" t="str">
        <f>IFERROR(VLOOKUP(V56,'CODIGOS D'!$A$2:$S$451,13,FALSE),"")</f>
        <v/>
      </c>
      <c r="W136" s="1" t="str">
        <f>IFERROR(VLOOKUP(W56,'CODIGOS D'!$A$2:$S$451,13,FALSE),"")</f>
        <v/>
      </c>
      <c r="X136" s="1" t="str">
        <f>IFERROR(VLOOKUP(X56,'CODIGOS D'!$A$2:$S$451,13,FALSE),"")</f>
        <v/>
      </c>
      <c r="Y136" s="1" t="str">
        <f>IFERROR(VLOOKUP(Y56,'CODIGOS D'!$A$2:$S$451,13,FALSE),"")</f>
        <v/>
      </c>
      <c r="Z136" s="1" t="str">
        <f>IFERROR(VLOOKUP(Z56,'CODIGOS D'!$A$2:$S$451,13,FALSE),"")</f>
        <v/>
      </c>
      <c r="AA136" s="1" t="str">
        <f>IFERROR(VLOOKUP(AA56,'CODIGOS D'!$A$2:$S$451,13,FALSE),"")</f>
        <v/>
      </c>
      <c r="AB136" s="1" t="str">
        <f>IFERROR(VLOOKUP(AB56,'CODIGOS D'!$A$2:$S$451,13,FALSE),"")</f>
        <v/>
      </c>
      <c r="AC136" s="1" t="str">
        <f>IFERROR(VLOOKUP(AC56,'CODIGOS D'!$A$2:$S$451,13,FALSE),"")</f>
        <v/>
      </c>
      <c r="AD136" s="1" t="str">
        <f>IFERROR(VLOOKUP(AD56,'CODIGOS D'!$A$2:$S$451,13,FALSE),"")</f>
        <v/>
      </c>
      <c r="AE136" s="1" t="str">
        <f>IFERROR(VLOOKUP(AE56,'CODIGOS D'!$A$2:$S$451,13,FALSE),"")</f>
        <v/>
      </c>
      <c r="AF136" s="1" t="str">
        <f>IFERROR(VLOOKUP(AF56,'CODIGOS D'!$A$2:$S$451,13,FALSE),"")</f>
        <v/>
      </c>
      <c r="AG136" s="1" t="str">
        <f>IFERROR(VLOOKUP(AG56,'CODIGOS D'!$A$2:$S$451,13,FALSE),"")</f>
        <v/>
      </c>
      <c r="AH136" s="1" t="str">
        <f>IFERROR(VLOOKUP(AH56,'CODIGOS D'!$A$2:$S$451,13,FALSE),"")</f>
        <v/>
      </c>
      <c r="AI136" s="89">
        <f t="shared" si="85"/>
        <v>0</v>
      </c>
    </row>
    <row r="137" spans="1:35" ht="15" hidden="1" customHeight="1" x14ac:dyDescent="0.2">
      <c r="A137" s="1">
        <f t="shared" si="84"/>
        <v>2572</v>
      </c>
      <c r="B137" s="1">
        <f t="shared" si="88"/>
        <v>0</v>
      </c>
      <c r="C137" s="1">
        <f t="shared" si="88"/>
        <v>0</v>
      </c>
      <c r="D137" s="1">
        <f t="shared" si="88"/>
        <v>0</v>
      </c>
      <c r="E137" s="1">
        <f t="shared" si="88"/>
        <v>0</v>
      </c>
      <c r="F137" s="1">
        <f t="shared" si="88"/>
        <v>0</v>
      </c>
      <c r="G137" s="1" t="str">
        <f t="shared" si="88"/>
        <v/>
      </c>
      <c r="H137" s="1" t="str">
        <f t="shared" si="88"/>
        <v xml:space="preserve">2572  </v>
      </c>
      <c r="I137" s="137" t="e">
        <f t="shared" si="88"/>
        <v>#N/A</v>
      </c>
      <c r="J137" s="3" t="e">
        <f t="shared" si="88"/>
        <v>#N/A</v>
      </c>
      <c r="K137" s="1">
        <f t="shared" si="88"/>
        <v>0</v>
      </c>
      <c r="L137" s="1" t="str">
        <f>IFERROR(VLOOKUP(L57,'CODIGOS D'!$A$2:$S$451,13,FALSE),"")</f>
        <v/>
      </c>
      <c r="M137" s="1" t="str">
        <f>IFERROR(VLOOKUP(M57,'CODIGOS D'!$A$2:$S$451,13,FALSE),"")</f>
        <v/>
      </c>
      <c r="N137" s="1" t="str">
        <f>IFERROR(VLOOKUP(N57,'CODIGOS D'!$A$2:$S$451,13,FALSE),"")</f>
        <v/>
      </c>
      <c r="O137" s="1" t="str">
        <f>IFERROR(VLOOKUP(O57,'CODIGOS D'!$A$2:$S$451,13,FALSE),"")</f>
        <v/>
      </c>
      <c r="P137" s="1" t="str">
        <f>IFERROR(VLOOKUP(P57,'CODIGOS D'!$A$2:$S$451,13,FALSE),"")</f>
        <v/>
      </c>
      <c r="Q137" s="1" t="str">
        <f>IFERROR(VLOOKUP(Q57,'CODIGOS D'!$A$2:$S$451,13,FALSE),"")</f>
        <v/>
      </c>
      <c r="R137" s="1" t="str">
        <f>IFERROR(VLOOKUP(R57,'CODIGOS D'!$A$2:$S$451,13,FALSE),"")</f>
        <v/>
      </c>
      <c r="S137" s="1" t="str">
        <f>IFERROR(VLOOKUP(S57,'CODIGOS D'!$A$2:$S$451,13,FALSE),"")</f>
        <v/>
      </c>
      <c r="T137" s="1" t="str">
        <f>IFERROR(VLOOKUP(T57,'CODIGOS D'!$A$2:$S$451,13,FALSE),"")</f>
        <v/>
      </c>
      <c r="U137" s="1" t="str">
        <f>IFERROR(VLOOKUP(U57,'CODIGOS D'!$A$2:$S$451,13,FALSE),"")</f>
        <v/>
      </c>
      <c r="V137" s="1" t="str">
        <f>IFERROR(VLOOKUP(V57,'CODIGOS D'!$A$2:$S$451,13,FALSE),"")</f>
        <v/>
      </c>
      <c r="W137" s="1" t="str">
        <f>IFERROR(VLOOKUP(W57,'CODIGOS D'!$A$2:$S$451,13,FALSE),"")</f>
        <v/>
      </c>
      <c r="X137" s="1" t="str">
        <f>IFERROR(VLOOKUP(X57,'CODIGOS D'!$A$2:$S$451,13,FALSE),"")</f>
        <v/>
      </c>
      <c r="Y137" s="1" t="str">
        <f>IFERROR(VLOOKUP(Y57,'CODIGOS D'!$A$2:$S$451,13,FALSE),"")</f>
        <v/>
      </c>
      <c r="Z137" s="1" t="str">
        <f>IFERROR(VLOOKUP(Z57,'CODIGOS D'!$A$2:$S$451,13,FALSE),"")</f>
        <v/>
      </c>
      <c r="AA137" s="1" t="str">
        <f>IFERROR(VLOOKUP(AA57,'CODIGOS D'!$A$2:$S$451,13,FALSE),"")</f>
        <v/>
      </c>
      <c r="AB137" s="1" t="str">
        <f>IFERROR(VLOOKUP(AB57,'CODIGOS D'!$A$2:$S$451,13,FALSE),"")</f>
        <v/>
      </c>
      <c r="AC137" s="1" t="str">
        <f>IFERROR(VLOOKUP(AC57,'CODIGOS D'!$A$2:$S$451,13,FALSE),"")</f>
        <v/>
      </c>
      <c r="AD137" s="1" t="str">
        <f>IFERROR(VLOOKUP(AD57,'CODIGOS D'!$A$2:$S$451,13,FALSE),"")</f>
        <v/>
      </c>
      <c r="AE137" s="1" t="str">
        <f>IFERROR(VLOOKUP(AE57,'CODIGOS D'!$A$2:$S$451,13,FALSE),"")</f>
        <v/>
      </c>
      <c r="AF137" s="1" t="str">
        <f>IFERROR(VLOOKUP(AF57,'CODIGOS D'!$A$2:$S$451,13,FALSE),"")</f>
        <v/>
      </c>
      <c r="AG137" s="1" t="str">
        <f>IFERROR(VLOOKUP(AG57,'CODIGOS D'!$A$2:$S$451,13,FALSE),"")</f>
        <v/>
      </c>
      <c r="AH137" s="1" t="str">
        <f>IFERROR(VLOOKUP(AH57,'CODIGOS D'!$A$2:$S$451,13,FALSE),"")</f>
        <v/>
      </c>
      <c r="AI137" s="89">
        <f t="shared" si="85"/>
        <v>0</v>
      </c>
    </row>
    <row r="138" spans="1:35" ht="15" hidden="1" customHeight="1" x14ac:dyDescent="0.2">
      <c r="A138" s="1">
        <f t="shared" si="84"/>
        <v>2572</v>
      </c>
      <c r="B138" s="1">
        <f t="shared" si="88"/>
        <v>0</v>
      </c>
      <c r="C138" s="1">
        <f t="shared" si="88"/>
        <v>0</v>
      </c>
      <c r="D138" s="1">
        <f t="shared" si="88"/>
        <v>0</v>
      </c>
      <c r="E138" s="1">
        <f t="shared" ref="E138:F142" si="89">E57</f>
        <v>0</v>
      </c>
      <c r="F138" s="1">
        <f t="shared" si="89"/>
        <v>0</v>
      </c>
      <c r="G138" s="1" t="str">
        <f t="shared" si="88"/>
        <v/>
      </c>
      <c r="H138" s="1" t="str">
        <f t="shared" si="88"/>
        <v xml:space="preserve">2572  </v>
      </c>
      <c r="I138" s="137" t="e">
        <f t="shared" si="88"/>
        <v>#N/A</v>
      </c>
      <c r="J138" s="3" t="e">
        <f t="shared" si="88"/>
        <v>#N/A</v>
      </c>
      <c r="K138" s="1">
        <f t="shared" si="88"/>
        <v>0</v>
      </c>
      <c r="L138" s="1" t="str">
        <f>IFERROR(VLOOKUP(L58,'CODIGOS D'!$A$2:$S$451,13,FALSE),"")</f>
        <v/>
      </c>
      <c r="M138" s="1" t="str">
        <f>IFERROR(VLOOKUP(M58,'CODIGOS D'!$A$2:$S$451,13,FALSE),"")</f>
        <v/>
      </c>
      <c r="N138" s="1" t="str">
        <f>IFERROR(VLOOKUP(N58,'CODIGOS D'!$A$2:$S$451,13,FALSE),"")</f>
        <v/>
      </c>
      <c r="O138" s="1" t="str">
        <f>IFERROR(VLOOKUP(O58,'CODIGOS D'!$A$2:$S$451,13,FALSE),"")</f>
        <v/>
      </c>
      <c r="P138" s="1" t="str">
        <f>IFERROR(VLOOKUP(P58,'CODIGOS D'!$A$2:$S$451,13,FALSE),"")</f>
        <v/>
      </c>
      <c r="Q138" s="1" t="str">
        <f>IFERROR(VLOOKUP(Q58,'CODIGOS D'!$A$2:$S$451,13,FALSE),"")</f>
        <v/>
      </c>
      <c r="R138" s="1" t="str">
        <f>IFERROR(VLOOKUP(R58,'CODIGOS D'!$A$2:$S$451,13,FALSE),"")</f>
        <v/>
      </c>
      <c r="S138" s="1" t="str">
        <f>IFERROR(VLOOKUP(S58,'CODIGOS D'!$A$2:$S$451,13,FALSE),"")</f>
        <v/>
      </c>
      <c r="T138" s="1" t="str">
        <f>IFERROR(VLOOKUP(T58,'CODIGOS D'!$A$2:$S$451,13,FALSE),"")</f>
        <v/>
      </c>
      <c r="U138" s="1" t="str">
        <f>IFERROR(VLOOKUP(U58,'CODIGOS D'!$A$2:$S$451,13,FALSE),"")</f>
        <v/>
      </c>
      <c r="V138" s="1" t="str">
        <f>IFERROR(VLOOKUP(V58,'CODIGOS D'!$A$2:$S$451,13,FALSE),"")</f>
        <v/>
      </c>
      <c r="W138" s="1" t="str">
        <f>IFERROR(VLOOKUP(W58,'CODIGOS D'!$A$2:$S$451,13,FALSE),"")</f>
        <v/>
      </c>
      <c r="X138" s="1" t="str">
        <f>IFERROR(VLOOKUP(X58,'CODIGOS D'!$A$2:$S$451,13,FALSE),"")</f>
        <v/>
      </c>
      <c r="Y138" s="1" t="str">
        <f>IFERROR(VLOOKUP(Y58,'CODIGOS D'!$A$2:$S$451,13,FALSE),"")</f>
        <v/>
      </c>
      <c r="Z138" s="1" t="str">
        <f>IFERROR(VLOOKUP(Z58,'CODIGOS D'!$A$2:$S$451,13,FALSE),"")</f>
        <v/>
      </c>
      <c r="AA138" s="1" t="str">
        <f>IFERROR(VLOOKUP(AA58,'CODIGOS D'!$A$2:$S$451,13,FALSE),"")</f>
        <v/>
      </c>
      <c r="AB138" s="1" t="str">
        <f>IFERROR(VLOOKUP(AB58,'CODIGOS D'!$A$2:$S$451,13,FALSE),"")</f>
        <v/>
      </c>
      <c r="AC138" s="1" t="str">
        <f>IFERROR(VLOOKUP(AC58,'CODIGOS D'!$A$2:$S$451,13,FALSE),"")</f>
        <v/>
      </c>
      <c r="AD138" s="1" t="str">
        <f>IFERROR(VLOOKUP(AD58,'CODIGOS D'!$A$2:$S$451,13,FALSE),"")</f>
        <v/>
      </c>
      <c r="AE138" s="1" t="str">
        <f>IFERROR(VLOOKUP(AE58,'CODIGOS D'!$A$2:$S$451,13,FALSE),"")</f>
        <v/>
      </c>
      <c r="AF138" s="1" t="str">
        <f>IFERROR(VLOOKUP(AF58,'CODIGOS D'!$A$2:$S$451,13,FALSE),"")</f>
        <v/>
      </c>
      <c r="AG138" s="1" t="str">
        <f>IFERROR(VLOOKUP(AG58,'CODIGOS D'!$A$2:$S$451,13,FALSE),"")</f>
        <v/>
      </c>
      <c r="AH138" s="1" t="str">
        <f>IFERROR(VLOOKUP(AH58,'CODIGOS D'!$A$2:$S$451,13,FALSE),"")</f>
        <v/>
      </c>
      <c r="AI138" s="89">
        <f t="shared" si="85"/>
        <v>0</v>
      </c>
    </row>
    <row r="139" spans="1:35" ht="15" hidden="1" customHeight="1" x14ac:dyDescent="0.2">
      <c r="A139" s="1">
        <f t="shared" si="84"/>
        <v>2572</v>
      </c>
      <c r="B139" s="1">
        <f t="shared" si="88"/>
        <v>0</v>
      </c>
      <c r="C139" s="1">
        <f t="shared" si="88"/>
        <v>0</v>
      </c>
      <c r="D139" s="1">
        <f t="shared" si="88"/>
        <v>0</v>
      </c>
      <c r="E139" s="1">
        <f t="shared" si="89"/>
        <v>0</v>
      </c>
      <c r="F139" s="1">
        <f t="shared" si="89"/>
        <v>0</v>
      </c>
      <c r="G139" s="1" t="str">
        <f t="shared" si="88"/>
        <v/>
      </c>
      <c r="H139" s="1" t="str">
        <f t="shared" si="88"/>
        <v xml:space="preserve">2572  </v>
      </c>
      <c r="I139" s="137" t="e">
        <f t="shared" si="88"/>
        <v>#N/A</v>
      </c>
      <c r="J139" s="3" t="e">
        <f t="shared" si="88"/>
        <v>#N/A</v>
      </c>
      <c r="K139" s="1">
        <f t="shared" si="88"/>
        <v>0</v>
      </c>
      <c r="L139" s="1" t="str">
        <f>IFERROR(VLOOKUP(L59,'CODIGOS D'!$A$2:$S$451,13,FALSE),"")</f>
        <v/>
      </c>
      <c r="M139" s="1" t="str">
        <f>IFERROR(VLOOKUP(M59,'CODIGOS D'!$A$2:$S$451,13,FALSE),"")</f>
        <v/>
      </c>
      <c r="N139" s="1" t="str">
        <f>IFERROR(VLOOKUP(N59,'CODIGOS D'!$A$2:$S$451,13,FALSE),"")</f>
        <v/>
      </c>
      <c r="O139" s="1" t="str">
        <f>IFERROR(VLOOKUP(O59,'CODIGOS D'!$A$2:$S$451,13,FALSE),"")</f>
        <v/>
      </c>
      <c r="P139" s="1" t="str">
        <f>IFERROR(VLOOKUP(P59,'CODIGOS D'!$A$2:$S$451,13,FALSE),"")</f>
        <v/>
      </c>
      <c r="Q139" s="1" t="str">
        <f>IFERROR(VLOOKUP(Q59,'CODIGOS D'!$A$2:$S$451,13,FALSE),"")</f>
        <v/>
      </c>
      <c r="R139" s="1" t="str">
        <f>IFERROR(VLOOKUP(R59,'CODIGOS D'!$A$2:$S$451,13,FALSE),"")</f>
        <v/>
      </c>
      <c r="S139" s="1" t="str">
        <f>IFERROR(VLOOKUP(S59,'CODIGOS D'!$A$2:$S$451,13,FALSE),"")</f>
        <v/>
      </c>
      <c r="T139" s="1" t="str">
        <f>IFERROR(VLOOKUP(T59,'CODIGOS D'!$A$2:$S$451,13,FALSE),"")</f>
        <v/>
      </c>
      <c r="U139" s="1" t="str">
        <f>IFERROR(VLOOKUP(U59,'CODIGOS D'!$A$2:$S$451,13,FALSE),"")</f>
        <v/>
      </c>
      <c r="V139" s="1" t="str">
        <f>IFERROR(VLOOKUP(V59,'CODIGOS D'!$A$2:$S$451,13,FALSE),"")</f>
        <v/>
      </c>
      <c r="W139" s="1" t="str">
        <f>IFERROR(VLOOKUP(W59,'CODIGOS D'!$A$2:$S$451,13,FALSE),"")</f>
        <v/>
      </c>
      <c r="X139" s="1" t="str">
        <f>IFERROR(VLOOKUP(X59,'CODIGOS D'!$A$2:$S$451,13,FALSE),"")</f>
        <v/>
      </c>
      <c r="Y139" s="1" t="str">
        <f>IFERROR(VLOOKUP(Y59,'CODIGOS D'!$A$2:$S$451,13,FALSE),"")</f>
        <v/>
      </c>
      <c r="Z139" s="1" t="str">
        <f>IFERROR(VLOOKUP(Z59,'CODIGOS D'!$A$2:$S$451,13,FALSE),"")</f>
        <v/>
      </c>
      <c r="AA139" s="1" t="str">
        <f>IFERROR(VLOOKUP(AA59,'CODIGOS D'!$A$2:$S$451,13,FALSE),"")</f>
        <v/>
      </c>
      <c r="AB139" s="1" t="str">
        <f>IFERROR(VLOOKUP(AB59,'CODIGOS D'!$A$2:$S$451,13,FALSE),"")</f>
        <v/>
      </c>
      <c r="AC139" s="1" t="str">
        <f>IFERROR(VLOOKUP(AC59,'CODIGOS D'!$A$2:$S$451,13,FALSE),"")</f>
        <v/>
      </c>
      <c r="AD139" s="1" t="str">
        <f>IFERROR(VLOOKUP(AD59,'CODIGOS D'!$A$2:$S$451,13,FALSE),"")</f>
        <v/>
      </c>
      <c r="AE139" s="1" t="str">
        <f>IFERROR(VLOOKUP(AE59,'CODIGOS D'!$A$2:$S$451,13,FALSE),"")</f>
        <v/>
      </c>
      <c r="AF139" s="1" t="str">
        <f>IFERROR(VLOOKUP(AF59,'CODIGOS D'!$A$2:$S$451,13,FALSE),"")</f>
        <v/>
      </c>
      <c r="AG139" s="1" t="str">
        <f>IFERROR(VLOOKUP(AG59,'CODIGOS D'!$A$2:$S$451,13,FALSE),"")</f>
        <v/>
      </c>
      <c r="AH139" s="1" t="str">
        <f>IFERROR(VLOOKUP(AH59,'CODIGOS D'!$A$2:$S$451,13,FALSE),"")</f>
        <v/>
      </c>
      <c r="AI139" s="89">
        <f t="shared" si="85"/>
        <v>0</v>
      </c>
    </row>
    <row r="140" spans="1:35" ht="15" hidden="1" customHeight="1" x14ac:dyDescent="0.2">
      <c r="A140" s="1">
        <f t="shared" si="84"/>
        <v>2572</v>
      </c>
      <c r="B140" s="1">
        <f t="shared" si="88"/>
        <v>0</v>
      </c>
      <c r="C140" s="1">
        <f t="shared" si="88"/>
        <v>0</v>
      </c>
      <c r="D140" s="1">
        <f t="shared" si="88"/>
        <v>0</v>
      </c>
      <c r="E140" s="1">
        <f t="shared" si="89"/>
        <v>0</v>
      </c>
      <c r="F140" s="1">
        <f t="shared" si="89"/>
        <v>0</v>
      </c>
      <c r="G140" s="1" t="str">
        <f t="shared" si="88"/>
        <v/>
      </c>
      <c r="H140" s="1" t="str">
        <f t="shared" si="88"/>
        <v xml:space="preserve">2572  </v>
      </c>
      <c r="I140" s="137" t="e">
        <f t="shared" si="88"/>
        <v>#N/A</v>
      </c>
      <c r="J140" s="3" t="e">
        <f t="shared" si="88"/>
        <v>#N/A</v>
      </c>
      <c r="K140" s="1">
        <f t="shared" si="88"/>
        <v>0</v>
      </c>
      <c r="L140" s="1" t="str">
        <f>IFERROR(VLOOKUP(L60,'CODIGOS D'!$A$2:$S$451,13,FALSE),"")</f>
        <v/>
      </c>
      <c r="M140" s="1" t="str">
        <f>IFERROR(VLOOKUP(M60,'CODIGOS D'!$A$2:$S$451,13,FALSE),"")</f>
        <v/>
      </c>
      <c r="N140" s="1" t="str">
        <f>IFERROR(VLOOKUP(N60,'CODIGOS D'!$A$2:$S$451,13,FALSE),"")</f>
        <v/>
      </c>
      <c r="O140" s="1" t="str">
        <f>IFERROR(VLOOKUP(O60,'CODIGOS D'!$A$2:$S$451,13,FALSE),"")</f>
        <v/>
      </c>
      <c r="P140" s="1" t="str">
        <f>IFERROR(VLOOKUP(P60,'CODIGOS D'!$A$2:$S$451,13,FALSE),"")</f>
        <v/>
      </c>
      <c r="Q140" s="1" t="str">
        <f>IFERROR(VLOOKUP(Q60,'CODIGOS D'!$A$2:$S$451,13,FALSE),"")</f>
        <v/>
      </c>
      <c r="R140" s="1" t="str">
        <f>IFERROR(VLOOKUP(R60,'CODIGOS D'!$A$2:$S$451,13,FALSE),"")</f>
        <v/>
      </c>
      <c r="S140" s="1" t="str">
        <f>IFERROR(VLOOKUP(S60,'CODIGOS D'!$A$2:$S$451,13,FALSE),"")</f>
        <v/>
      </c>
      <c r="T140" s="1" t="str">
        <f>IFERROR(VLOOKUP(T60,'CODIGOS D'!$A$2:$S$451,13,FALSE),"")</f>
        <v/>
      </c>
      <c r="U140" s="1" t="str">
        <f>IFERROR(VLOOKUP(U60,'CODIGOS D'!$A$2:$S$451,13,FALSE),"")</f>
        <v/>
      </c>
      <c r="V140" s="1" t="str">
        <f>IFERROR(VLOOKUP(V60,'CODIGOS D'!$A$2:$S$451,13,FALSE),"")</f>
        <v/>
      </c>
      <c r="W140" s="1" t="str">
        <f>IFERROR(VLOOKUP(W60,'CODIGOS D'!$A$2:$S$451,13,FALSE),"")</f>
        <v/>
      </c>
      <c r="X140" s="1" t="str">
        <f>IFERROR(VLOOKUP(X60,'CODIGOS D'!$A$2:$S$451,13,FALSE),"")</f>
        <v/>
      </c>
      <c r="Y140" s="1" t="str">
        <f>IFERROR(VLOOKUP(Y60,'CODIGOS D'!$A$2:$S$451,13,FALSE),"")</f>
        <v/>
      </c>
      <c r="Z140" s="1" t="str">
        <f>IFERROR(VLOOKUP(Z60,'CODIGOS D'!$A$2:$S$451,13,FALSE),"")</f>
        <v/>
      </c>
      <c r="AA140" s="1" t="str">
        <f>IFERROR(VLOOKUP(AA60,'CODIGOS D'!$A$2:$S$451,13,FALSE),"")</f>
        <v/>
      </c>
      <c r="AB140" s="1" t="str">
        <f>IFERROR(VLOOKUP(AB60,'CODIGOS D'!$A$2:$S$451,13,FALSE),"")</f>
        <v/>
      </c>
      <c r="AC140" s="1" t="str">
        <f>IFERROR(VLOOKUP(AC60,'CODIGOS D'!$A$2:$S$451,13,FALSE),"")</f>
        <v/>
      </c>
      <c r="AD140" s="1" t="str">
        <f>IFERROR(VLOOKUP(AD60,'CODIGOS D'!$A$2:$S$451,13,FALSE),"")</f>
        <v/>
      </c>
      <c r="AE140" s="1" t="str">
        <f>IFERROR(VLOOKUP(AE60,'CODIGOS D'!$A$2:$S$451,13,FALSE),"")</f>
        <v/>
      </c>
      <c r="AF140" s="1" t="str">
        <f>IFERROR(VLOOKUP(AF60,'CODIGOS D'!$A$2:$S$451,13,FALSE),"")</f>
        <v/>
      </c>
      <c r="AG140" s="1" t="str">
        <f>IFERROR(VLOOKUP(AG60,'CODIGOS D'!$A$2:$S$451,13,FALSE),"")</f>
        <v/>
      </c>
      <c r="AH140" s="1" t="str">
        <f>IFERROR(VLOOKUP(AH60,'CODIGOS D'!$A$2:$S$451,13,FALSE),"")</f>
        <v/>
      </c>
      <c r="AI140" s="89">
        <f t="shared" si="85"/>
        <v>0</v>
      </c>
    </row>
    <row r="141" spans="1:35" ht="15" hidden="1" customHeight="1" x14ac:dyDescent="0.2">
      <c r="A141" s="1">
        <f t="shared" si="84"/>
        <v>2572</v>
      </c>
      <c r="B141" s="1">
        <f t="shared" si="88"/>
        <v>0</v>
      </c>
      <c r="C141" s="1">
        <f t="shared" si="88"/>
        <v>0</v>
      </c>
      <c r="D141" s="1">
        <f t="shared" si="88"/>
        <v>0</v>
      </c>
      <c r="E141" s="1">
        <f t="shared" si="89"/>
        <v>0</v>
      </c>
      <c r="F141" s="1">
        <f t="shared" si="89"/>
        <v>0</v>
      </c>
      <c r="G141" s="1" t="str">
        <f t="shared" si="88"/>
        <v/>
      </c>
      <c r="H141" s="1" t="str">
        <f t="shared" si="88"/>
        <v xml:space="preserve">2572  </v>
      </c>
      <c r="I141" s="137" t="e">
        <f t="shared" si="88"/>
        <v>#N/A</v>
      </c>
      <c r="J141" s="3" t="e">
        <f t="shared" si="88"/>
        <v>#N/A</v>
      </c>
      <c r="K141" s="1">
        <f t="shared" si="88"/>
        <v>0</v>
      </c>
      <c r="L141" s="1" t="str">
        <f>IFERROR(VLOOKUP(L61,'CODIGOS D'!$A$2:$S$451,13,FALSE),"")</f>
        <v/>
      </c>
      <c r="M141" s="1" t="str">
        <f>IFERROR(VLOOKUP(M61,'CODIGOS D'!$A$2:$S$451,13,FALSE),"")</f>
        <v/>
      </c>
      <c r="N141" s="1" t="str">
        <f>IFERROR(VLOOKUP(N61,'CODIGOS D'!$A$2:$S$451,13,FALSE),"")</f>
        <v/>
      </c>
      <c r="O141" s="1" t="str">
        <f>IFERROR(VLOOKUP(O61,'CODIGOS D'!$A$2:$S$451,13,FALSE),"")</f>
        <v/>
      </c>
      <c r="P141" s="1" t="str">
        <f>IFERROR(VLOOKUP(P61,'CODIGOS D'!$A$2:$S$451,13,FALSE),"")</f>
        <v/>
      </c>
      <c r="Q141" s="1" t="str">
        <f>IFERROR(VLOOKUP(Q61,'CODIGOS D'!$A$2:$S$451,13,FALSE),"")</f>
        <v/>
      </c>
      <c r="R141" s="1" t="str">
        <f>IFERROR(VLOOKUP(R61,'CODIGOS D'!$A$2:$S$451,13,FALSE),"")</f>
        <v/>
      </c>
      <c r="S141" s="1" t="str">
        <f>IFERROR(VLOOKUP(S61,'CODIGOS D'!$A$2:$S$451,13,FALSE),"")</f>
        <v/>
      </c>
      <c r="T141" s="1" t="str">
        <f>IFERROR(VLOOKUP(T61,'CODIGOS D'!$A$2:$S$451,13,FALSE),"")</f>
        <v/>
      </c>
      <c r="U141" s="1" t="str">
        <f>IFERROR(VLOOKUP(U61,'CODIGOS D'!$A$2:$S$451,13,FALSE),"")</f>
        <v/>
      </c>
      <c r="V141" s="1" t="str">
        <f>IFERROR(VLOOKUP(V61,'CODIGOS D'!$A$2:$S$451,13,FALSE),"")</f>
        <v/>
      </c>
      <c r="W141" s="1" t="str">
        <f>IFERROR(VLOOKUP(W61,'CODIGOS D'!$A$2:$S$451,13,FALSE),"")</f>
        <v/>
      </c>
      <c r="X141" s="1" t="str">
        <f>IFERROR(VLOOKUP(X61,'CODIGOS D'!$A$2:$S$451,13,FALSE),"")</f>
        <v/>
      </c>
      <c r="Y141" s="1" t="str">
        <f>IFERROR(VLOOKUP(Y61,'CODIGOS D'!$A$2:$S$451,13,FALSE),"")</f>
        <v/>
      </c>
      <c r="Z141" s="1" t="str">
        <f>IFERROR(VLOOKUP(Z61,'CODIGOS D'!$A$2:$S$451,13,FALSE),"")</f>
        <v/>
      </c>
      <c r="AA141" s="1" t="str">
        <f>IFERROR(VLOOKUP(AA61,'CODIGOS D'!$A$2:$S$451,13,FALSE),"")</f>
        <v/>
      </c>
      <c r="AB141" s="1" t="str">
        <f>IFERROR(VLOOKUP(AB61,'CODIGOS D'!$A$2:$S$451,13,FALSE),"")</f>
        <v/>
      </c>
      <c r="AC141" s="1" t="str">
        <f>IFERROR(VLOOKUP(AC61,'CODIGOS D'!$A$2:$S$451,13,FALSE),"")</f>
        <v/>
      </c>
      <c r="AD141" s="1" t="str">
        <f>IFERROR(VLOOKUP(AD61,'CODIGOS D'!$A$2:$S$451,13,FALSE),"")</f>
        <v/>
      </c>
      <c r="AE141" s="1" t="str">
        <f>IFERROR(VLOOKUP(AE61,'CODIGOS D'!$A$2:$S$451,13,FALSE),"")</f>
        <v/>
      </c>
      <c r="AF141" s="1" t="str">
        <f>IFERROR(VLOOKUP(AF61,'CODIGOS D'!$A$2:$S$451,13,FALSE),"")</f>
        <v/>
      </c>
      <c r="AG141" s="1" t="str">
        <f>IFERROR(VLOOKUP(AG61,'CODIGOS D'!$A$2:$S$451,13,FALSE),"")</f>
        <v/>
      </c>
      <c r="AH141" s="1" t="str">
        <f>IFERROR(VLOOKUP(AH61,'CODIGOS D'!$A$2:$S$451,13,FALSE),"")</f>
        <v/>
      </c>
      <c r="AI141" s="89">
        <f t="shared" si="85"/>
        <v>0</v>
      </c>
    </row>
    <row r="142" spans="1:35" ht="15" hidden="1" customHeight="1" x14ac:dyDescent="0.2">
      <c r="A142" s="1">
        <f t="shared" si="84"/>
        <v>2572</v>
      </c>
      <c r="B142" s="1">
        <f t="shared" si="88"/>
        <v>0</v>
      </c>
      <c r="C142" s="1">
        <f t="shared" si="88"/>
        <v>0</v>
      </c>
      <c r="D142" s="1">
        <f t="shared" si="88"/>
        <v>0</v>
      </c>
      <c r="E142" s="1">
        <f t="shared" si="89"/>
        <v>0</v>
      </c>
      <c r="F142" s="1">
        <f t="shared" si="89"/>
        <v>0</v>
      </c>
      <c r="G142" s="1" t="str">
        <f t="shared" si="88"/>
        <v/>
      </c>
      <c r="H142" s="1" t="str">
        <f t="shared" si="88"/>
        <v xml:space="preserve">2572  </v>
      </c>
      <c r="I142" s="137" t="e">
        <f t="shared" si="88"/>
        <v>#N/A</v>
      </c>
      <c r="J142" s="3" t="e">
        <f t="shared" si="88"/>
        <v>#N/A</v>
      </c>
      <c r="K142" s="1">
        <f t="shared" si="88"/>
        <v>0</v>
      </c>
      <c r="L142" s="1" t="str">
        <f>IFERROR(VLOOKUP(L62,'CODIGOS D'!$A$2:$S$451,13,FALSE),"")</f>
        <v/>
      </c>
      <c r="M142" s="1" t="str">
        <f>IFERROR(VLOOKUP(M62,'CODIGOS D'!$A$2:$S$451,13,FALSE),"")</f>
        <v/>
      </c>
      <c r="N142" s="1" t="str">
        <f>IFERROR(VLOOKUP(N62,'CODIGOS D'!$A$2:$S$451,13,FALSE),"")</f>
        <v/>
      </c>
      <c r="O142" s="1" t="str">
        <f>IFERROR(VLOOKUP(O62,'CODIGOS D'!$A$2:$S$451,13,FALSE),"")</f>
        <v/>
      </c>
      <c r="P142" s="1" t="str">
        <f>IFERROR(VLOOKUP(P62,'CODIGOS D'!$A$2:$S$451,13,FALSE),"")</f>
        <v/>
      </c>
      <c r="Q142" s="1" t="str">
        <f>IFERROR(VLOOKUP(Q62,'CODIGOS D'!$A$2:$S$451,13,FALSE),"")</f>
        <v/>
      </c>
      <c r="R142" s="1" t="str">
        <f>IFERROR(VLOOKUP(R62,'CODIGOS D'!$A$2:$S$451,13,FALSE),"")</f>
        <v/>
      </c>
      <c r="S142" s="1" t="str">
        <f>IFERROR(VLOOKUP(S62,'CODIGOS D'!$A$2:$S$451,13,FALSE),"")</f>
        <v/>
      </c>
      <c r="T142" s="1" t="str">
        <f>IFERROR(VLOOKUP(T62,'CODIGOS D'!$A$2:$S$451,13,FALSE),"")</f>
        <v/>
      </c>
      <c r="U142" s="1" t="str">
        <f>IFERROR(VLOOKUP(U62,'CODIGOS D'!$A$2:$S$451,13,FALSE),"")</f>
        <v/>
      </c>
      <c r="V142" s="1" t="str">
        <f>IFERROR(VLOOKUP(V62,'CODIGOS D'!$A$2:$S$451,13,FALSE),"")</f>
        <v/>
      </c>
      <c r="W142" s="1" t="str">
        <f>IFERROR(VLOOKUP(W62,'CODIGOS D'!$A$2:$S$451,13,FALSE),"")</f>
        <v/>
      </c>
      <c r="X142" s="1" t="str">
        <f>IFERROR(VLOOKUP(X62,'CODIGOS D'!$A$2:$S$451,13,FALSE),"")</f>
        <v/>
      </c>
      <c r="Y142" s="1" t="str">
        <f>IFERROR(VLOOKUP(Y62,'CODIGOS D'!$A$2:$S$451,13,FALSE),"")</f>
        <v/>
      </c>
      <c r="Z142" s="1" t="str">
        <f>IFERROR(VLOOKUP(Z62,'CODIGOS D'!$A$2:$S$451,13,FALSE),"")</f>
        <v/>
      </c>
      <c r="AA142" s="1" t="str">
        <f>IFERROR(VLOOKUP(AA62,'CODIGOS D'!$A$2:$S$451,13,FALSE),"")</f>
        <v/>
      </c>
      <c r="AB142" s="1" t="str">
        <f>IFERROR(VLOOKUP(AB62,'CODIGOS D'!$A$2:$S$451,13,FALSE),"")</f>
        <v/>
      </c>
      <c r="AC142" s="1" t="str">
        <f>IFERROR(VLOOKUP(AC62,'CODIGOS D'!$A$2:$S$451,13,FALSE),"")</f>
        <v/>
      </c>
      <c r="AD142" s="1" t="str">
        <f>IFERROR(VLOOKUP(AD62,'CODIGOS D'!$A$2:$S$451,13,FALSE),"")</f>
        <v/>
      </c>
      <c r="AE142" s="1" t="str">
        <f>IFERROR(VLOOKUP(AE62,'CODIGOS D'!$A$2:$S$451,13,FALSE),"")</f>
        <v/>
      </c>
      <c r="AF142" s="1" t="str">
        <f>IFERROR(VLOOKUP(AF62,'CODIGOS D'!$A$2:$S$451,13,FALSE),"")</f>
        <v/>
      </c>
      <c r="AG142" s="1" t="str">
        <f>IFERROR(VLOOKUP(AG62,'CODIGOS D'!$A$2:$S$451,13,FALSE),"")</f>
        <v/>
      </c>
      <c r="AH142" s="1" t="str">
        <f>IFERROR(VLOOKUP(AH62,'CODIGOS D'!$A$2:$S$451,13,FALSE),"")</f>
        <v/>
      </c>
      <c r="AI142" s="89">
        <f t="shared" si="85"/>
        <v>0</v>
      </c>
    </row>
    <row r="143" spans="1:35" ht="15" hidden="1" customHeight="1" x14ac:dyDescent="0.2">
      <c r="A143" s="1">
        <f t="shared" si="84"/>
        <v>2572</v>
      </c>
      <c r="B143" s="1">
        <f t="shared" si="88"/>
        <v>0</v>
      </c>
      <c r="C143" s="1">
        <f t="shared" si="88"/>
        <v>0</v>
      </c>
      <c r="D143" s="1">
        <f t="shared" si="88"/>
        <v>0</v>
      </c>
      <c r="E143" s="1">
        <f t="shared" si="88"/>
        <v>0</v>
      </c>
      <c r="F143" s="1">
        <f t="shared" si="88"/>
        <v>0</v>
      </c>
      <c r="G143" s="1" t="str">
        <f t="shared" si="88"/>
        <v/>
      </c>
      <c r="H143" s="1" t="str">
        <f t="shared" si="88"/>
        <v xml:space="preserve">2572  </v>
      </c>
      <c r="I143" s="137" t="e">
        <f t="shared" si="88"/>
        <v>#N/A</v>
      </c>
      <c r="J143" s="3" t="e">
        <f t="shared" si="88"/>
        <v>#N/A</v>
      </c>
      <c r="K143" s="1">
        <f t="shared" si="88"/>
        <v>0</v>
      </c>
      <c r="L143" s="1" t="str">
        <f>IFERROR(VLOOKUP(L63,'CODIGOS D'!$A$2:$S$451,13,FALSE),"")</f>
        <v/>
      </c>
      <c r="M143" s="1" t="str">
        <f>IFERROR(VLOOKUP(M63,'CODIGOS D'!$A$2:$S$451,13,FALSE),"")</f>
        <v/>
      </c>
      <c r="N143" s="1" t="str">
        <f>IFERROR(VLOOKUP(N63,'CODIGOS D'!$A$2:$S$451,13,FALSE),"")</f>
        <v/>
      </c>
      <c r="O143" s="1" t="str">
        <f>IFERROR(VLOOKUP(O63,'CODIGOS D'!$A$2:$S$451,13,FALSE),"")</f>
        <v/>
      </c>
      <c r="P143" s="1" t="str">
        <f>IFERROR(VLOOKUP(P63,'CODIGOS D'!$A$2:$S$451,13,FALSE),"")</f>
        <v/>
      </c>
      <c r="Q143" s="1" t="str">
        <f>IFERROR(VLOOKUP(Q63,'CODIGOS D'!$A$2:$S$451,13,FALSE),"")</f>
        <v/>
      </c>
      <c r="R143" s="1" t="str">
        <f>IFERROR(VLOOKUP(R63,'CODIGOS D'!$A$2:$S$451,13,FALSE),"")</f>
        <v/>
      </c>
      <c r="S143" s="1" t="str">
        <f>IFERROR(VLOOKUP(S63,'CODIGOS D'!$A$2:$S$451,13,FALSE),"")</f>
        <v/>
      </c>
      <c r="T143" s="1" t="str">
        <f>IFERROR(VLOOKUP(T63,'CODIGOS D'!$A$2:$S$451,13,FALSE),"")</f>
        <v/>
      </c>
      <c r="U143" s="1" t="str">
        <f>IFERROR(VLOOKUP(U63,'CODIGOS D'!$A$2:$S$451,13,FALSE),"")</f>
        <v/>
      </c>
      <c r="V143" s="1" t="str">
        <f>IFERROR(VLOOKUP(V63,'CODIGOS D'!$A$2:$S$451,13,FALSE),"")</f>
        <v/>
      </c>
      <c r="W143" s="1" t="str">
        <f>IFERROR(VLOOKUP(W63,'CODIGOS D'!$A$2:$S$451,13,FALSE),"")</f>
        <v/>
      </c>
      <c r="X143" s="1" t="str">
        <f>IFERROR(VLOOKUP(X63,'CODIGOS D'!$A$2:$S$451,13,FALSE),"")</f>
        <v/>
      </c>
      <c r="Y143" s="1" t="str">
        <f>IFERROR(VLOOKUP(Y63,'CODIGOS D'!$A$2:$S$451,13,FALSE),"")</f>
        <v/>
      </c>
      <c r="Z143" s="1" t="str">
        <f>IFERROR(VLOOKUP(Z63,'CODIGOS D'!$A$2:$S$451,13,FALSE),"")</f>
        <v/>
      </c>
      <c r="AA143" s="1" t="str">
        <f>IFERROR(VLOOKUP(AA63,'CODIGOS D'!$A$2:$S$451,13,FALSE),"")</f>
        <v/>
      </c>
      <c r="AB143" s="1" t="str">
        <f>IFERROR(VLOOKUP(AB63,'CODIGOS D'!$A$2:$S$451,13,FALSE),"")</f>
        <v/>
      </c>
      <c r="AC143" s="1" t="str">
        <f>IFERROR(VLOOKUP(AC63,'CODIGOS D'!$A$2:$S$451,13,FALSE),"")</f>
        <v/>
      </c>
      <c r="AD143" s="1" t="str">
        <f>IFERROR(VLOOKUP(AD63,'CODIGOS D'!$A$2:$S$451,13,FALSE),"")</f>
        <v/>
      </c>
      <c r="AE143" s="1" t="str">
        <f>IFERROR(VLOOKUP(AE63,'CODIGOS D'!$A$2:$S$451,13,FALSE),"")</f>
        <v/>
      </c>
      <c r="AF143" s="1" t="str">
        <f>IFERROR(VLOOKUP(AF63,'CODIGOS D'!$A$2:$S$451,13,FALSE),"")</f>
        <v/>
      </c>
      <c r="AG143" s="1" t="str">
        <f>IFERROR(VLOOKUP(AG63,'CODIGOS D'!$A$2:$S$451,13,FALSE),"")</f>
        <v/>
      </c>
      <c r="AH143" s="1" t="str">
        <f>IFERROR(VLOOKUP(AH63,'CODIGOS D'!$A$2:$S$451,13,FALSE),"")</f>
        <v/>
      </c>
      <c r="AI143" s="89">
        <f t="shared" si="85"/>
        <v>0</v>
      </c>
    </row>
    <row r="144" spans="1:35" ht="15" hidden="1" customHeight="1" x14ac:dyDescent="0.2">
      <c r="A144" s="1">
        <f t="shared" si="84"/>
        <v>2572</v>
      </c>
      <c r="B144" s="1">
        <f t="shared" si="88"/>
        <v>0</v>
      </c>
      <c r="C144" s="1">
        <f t="shared" si="88"/>
        <v>0</v>
      </c>
      <c r="D144" s="1">
        <f t="shared" si="88"/>
        <v>0</v>
      </c>
      <c r="E144" s="1">
        <f t="shared" si="88"/>
        <v>0</v>
      </c>
      <c r="F144" s="1">
        <f t="shared" si="88"/>
        <v>0</v>
      </c>
      <c r="G144" s="1" t="str">
        <f t="shared" si="88"/>
        <v/>
      </c>
      <c r="H144" s="1" t="str">
        <f t="shared" si="88"/>
        <v xml:space="preserve">2572  </v>
      </c>
      <c r="I144" s="137" t="e">
        <f t="shared" si="88"/>
        <v>#N/A</v>
      </c>
      <c r="J144" s="3" t="e">
        <f t="shared" si="88"/>
        <v>#N/A</v>
      </c>
      <c r="K144" s="1">
        <f t="shared" si="88"/>
        <v>0</v>
      </c>
      <c r="L144" s="1" t="str">
        <f>IFERROR(VLOOKUP(L64,'CODIGOS D'!$A$2:$S$451,13,FALSE),"")</f>
        <v/>
      </c>
      <c r="M144" s="1" t="str">
        <f>IFERROR(VLOOKUP(M64,'CODIGOS D'!$A$2:$S$451,13,FALSE),"")</f>
        <v/>
      </c>
      <c r="N144" s="1" t="str">
        <f>IFERROR(VLOOKUP(N64,'CODIGOS D'!$A$2:$S$451,13,FALSE),"")</f>
        <v/>
      </c>
      <c r="O144" s="1" t="str">
        <f>IFERROR(VLOOKUP(O64,'CODIGOS D'!$A$2:$S$451,13,FALSE),"")</f>
        <v/>
      </c>
      <c r="P144" s="1" t="str">
        <f>IFERROR(VLOOKUP(P64,'CODIGOS D'!$A$2:$S$451,13,FALSE),"")</f>
        <v/>
      </c>
      <c r="Q144" s="1" t="str">
        <f>IFERROR(VLOOKUP(Q64,'CODIGOS D'!$A$2:$S$451,13,FALSE),"")</f>
        <v/>
      </c>
      <c r="R144" s="1" t="str">
        <f>IFERROR(VLOOKUP(R64,'CODIGOS D'!$A$2:$S$451,13,FALSE),"")</f>
        <v/>
      </c>
      <c r="S144" s="1" t="str">
        <f>IFERROR(VLOOKUP(S64,'CODIGOS D'!$A$2:$S$451,13,FALSE),"")</f>
        <v/>
      </c>
      <c r="T144" s="1" t="str">
        <f>IFERROR(VLOOKUP(T64,'CODIGOS D'!$A$2:$S$451,13,FALSE),"")</f>
        <v/>
      </c>
      <c r="U144" s="1" t="str">
        <f>IFERROR(VLOOKUP(U64,'CODIGOS D'!$A$2:$S$451,13,FALSE),"")</f>
        <v/>
      </c>
      <c r="V144" s="1" t="str">
        <f>IFERROR(VLOOKUP(V64,'CODIGOS D'!$A$2:$S$451,13,FALSE),"")</f>
        <v/>
      </c>
      <c r="W144" s="1" t="str">
        <f>IFERROR(VLOOKUP(W64,'CODIGOS D'!$A$2:$S$451,13,FALSE),"")</f>
        <v/>
      </c>
      <c r="X144" s="1" t="str">
        <f>IFERROR(VLOOKUP(X64,'CODIGOS D'!$A$2:$S$451,13,FALSE),"")</f>
        <v/>
      </c>
      <c r="Y144" s="1" t="str">
        <f>IFERROR(VLOOKUP(Y64,'CODIGOS D'!$A$2:$S$451,13,FALSE),"")</f>
        <v/>
      </c>
      <c r="Z144" s="1" t="str">
        <f>IFERROR(VLOOKUP(Z64,'CODIGOS D'!$A$2:$S$451,13,FALSE),"")</f>
        <v/>
      </c>
      <c r="AA144" s="1" t="str">
        <f>IFERROR(VLOOKUP(AA64,'CODIGOS D'!$A$2:$S$451,13,FALSE),"")</f>
        <v/>
      </c>
      <c r="AB144" s="1" t="str">
        <f>IFERROR(VLOOKUP(AB64,'CODIGOS D'!$A$2:$S$451,13,FALSE),"")</f>
        <v/>
      </c>
      <c r="AC144" s="1" t="str">
        <f>IFERROR(VLOOKUP(AC64,'CODIGOS D'!$A$2:$S$451,13,FALSE),"")</f>
        <v/>
      </c>
      <c r="AD144" s="1" t="str">
        <f>IFERROR(VLOOKUP(AD64,'CODIGOS D'!$A$2:$S$451,13,FALSE),"")</f>
        <v/>
      </c>
      <c r="AE144" s="1" t="str">
        <f>IFERROR(VLOOKUP(AE64,'CODIGOS D'!$A$2:$S$451,13,FALSE),"")</f>
        <v/>
      </c>
      <c r="AF144" s="1" t="str">
        <f>IFERROR(VLOOKUP(AF64,'CODIGOS D'!$A$2:$S$451,13,FALSE),"")</f>
        <v/>
      </c>
      <c r="AG144" s="1" t="str">
        <f>IFERROR(VLOOKUP(AG64,'CODIGOS D'!$A$2:$S$451,13,FALSE),"")</f>
        <v/>
      </c>
      <c r="AH144" s="1" t="str">
        <f>IFERROR(VLOOKUP(AH64,'CODIGOS D'!$A$2:$S$451,13,FALSE),"")</f>
        <v/>
      </c>
      <c r="AI144" s="89">
        <f t="shared" si="85"/>
        <v>0</v>
      </c>
    </row>
    <row r="145" spans="1:35" ht="15" hidden="1" customHeight="1" x14ac:dyDescent="0.2">
      <c r="A145" s="1">
        <f t="shared" si="84"/>
        <v>2572</v>
      </c>
      <c r="B145" s="1">
        <f t="shared" si="88"/>
        <v>0</v>
      </c>
      <c r="C145" s="1">
        <f t="shared" si="88"/>
        <v>0</v>
      </c>
      <c r="D145" s="1">
        <f t="shared" si="88"/>
        <v>0</v>
      </c>
      <c r="E145" s="1">
        <f t="shared" si="88"/>
        <v>0</v>
      </c>
      <c r="F145" s="1">
        <f t="shared" si="88"/>
        <v>0</v>
      </c>
      <c r="G145" s="1" t="str">
        <f t="shared" si="88"/>
        <v/>
      </c>
      <c r="H145" s="1" t="str">
        <f t="shared" si="88"/>
        <v xml:space="preserve">2572  </v>
      </c>
      <c r="I145" s="137" t="e">
        <f t="shared" si="88"/>
        <v>#N/A</v>
      </c>
      <c r="J145" s="3" t="e">
        <f t="shared" si="88"/>
        <v>#N/A</v>
      </c>
      <c r="K145" s="1">
        <f t="shared" si="88"/>
        <v>0</v>
      </c>
      <c r="L145" s="1" t="str">
        <f>IFERROR(VLOOKUP(L65,'CODIGOS D'!$A$2:$S$451,13,FALSE),"")</f>
        <v/>
      </c>
      <c r="M145" s="1" t="str">
        <f>IFERROR(VLOOKUP(M65,'CODIGOS D'!$A$2:$S$451,13,FALSE),"")</f>
        <v/>
      </c>
      <c r="N145" s="1" t="str">
        <f>IFERROR(VLOOKUP(N65,'CODIGOS D'!$A$2:$S$451,13,FALSE),"")</f>
        <v/>
      </c>
      <c r="O145" s="1" t="str">
        <f>IFERROR(VLOOKUP(O65,'CODIGOS D'!$A$2:$S$451,13,FALSE),"")</f>
        <v/>
      </c>
      <c r="P145" s="1" t="str">
        <f>IFERROR(VLOOKUP(P65,'CODIGOS D'!$A$2:$S$451,13,FALSE),"")</f>
        <v/>
      </c>
      <c r="Q145" s="1" t="str">
        <f>IFERROR(VLOOKUP(Q65,'CODIGOS D'!$A$2:$S$451,13,FALSE),"")</f>
        <v/>
      </c>
      <c r="R145" s="1" t="str">
        <f>IFERROR(VLOOKUP(R65,'CODIGOS D'!$A$2:$S$451,13,FALSE),"")</f>
        <v/>
      </c>
      <c r="S145" s="1" t="str">
        <f>IFERROR(VLOOKUP(S65,'CODIGOS D'!$A$2:$S$451,13,FALSE),"")</f>
        <v/>
      </c>
      <c r="T145" s="1" t="str">
        <f>IFERROR(VLOOKUP(T65,'CODIGOS D'!$A$2:$S$451,13,FALSE),"")</f>
        <v/>
      </c>
      <c r="U145" s="1" t="str">
        <f>IFERROR(VLOOKUP(U65,'CODIGOS D'!$A$2:$S$451,13,FALSE),"")</f>
        <v/>
      </c>
      <c r="V145" s="1" t="str">
        <f>IFERROR(VLOOKUP(V65,'CODIGOS D'!$A$2:$S$451,13,FALSE),"")</f>
        <v/>
      </c>
      <c r="W145" s="1" t="str">
        <f>IFERROR(VLOOKUP(W65,'CODIGOS D'!$A$2:$S$451,13,FALSE),"")</f>
        <v/>
      </c>
      <c r="X145" s="1" t="str">
        <f>IFERROR(VLOOKUP(X65,'CODIGOS D'!$A$2:$S$451,13,FALSE),"")</f>
        <v/>
      </c>
      <c r="Y145" s="1" t="str">
        <f>IFERROR(VLOOKUP(Y65,'CODIGOS D'!$A$2:$S$451,13,FALSE),"")</f>
        <v/>
      </c>
      <c r="Z145" s="1" t="str">
        <f>IFERROR(VLOOKUP(Z65,'CODIGOS D'!$A$2:$S$451,13,FALSE),"")</f>
        <v/>
      </c>
      <c r="AA145" s="1" t="str">
        <f>IFERROR(VLOOKUP(AA65,'CODIGOS D'!$A$2:$S$451,13,FALSE),"")</f>
        <v/>
      </c>
      <c r="AB145" s="1" t="str">
        <f>IFERROR(VLOOKUP(AB65,'CODIGOS D'!$A$2:$S$451,13,FALSE),"")</f>
        <v/>
      </c>
      <c r="AC145" s="1" t="str">
        <f>IFERROR(VLOOKUP(AC65,'CODIGOS D'!$A$2:$S$451,13,FALSE),"")</f>
        <v/>
      </c>
      <c r="AD145" s="1" t="str">
        <f>IFERROR(VLOOKUP(AD65,'CODIGOS D'!$A$2:$S$451,13,FALSE),"")</f>
        <v/>
      </c>
      <c r="AE145" s="1" t="str">
        <f>IFERROR(VLOOKUP(AE65,'CODIGOS D'!$A$2:$S$451,13,FALSE),"")</f>
        <v/>
      </c>
      <c r="AF145" s="1" t="str">
        <f>IFERROR(VLOOKUP(AF65,'CODIGOS D'!$A$2:$S$451,13,FALSE),"")</f>
        <v/>
      </c>
      <c r="AG145" s="1" t="str">
        <f>IFERROR(VLOOKUP(AG65,'CODIGOS D'!$A$2:$S$451,13,FALSE),"")</f>
        <v/>
      </c>
      <c r="AH145" s="1" t="str">
        <f>IFERROR(VLOOKUP(AH65,'CODIGOS D'!$A$2:$S$451,13,FALSE),"")</f>
        <v/>
      </c>
      <c r="AI145" s="89">
        <f t="shared" si="85"/>
        <v>0</v>
      </c>
    </row>
    <row r="146" spans="1:35" ht="15" hidden="1" customHeight="1" x14ac:dyDescent="0.2">
      <c r="A146" s="1">
        <f t="shared" si="84"/>
        <v>2572</v>
      </c>
      <c r="B146" s="1">
        <f t="shared" si="88"/>
        <v>0</v>
      </c>
      <c r="C146" s="1">
        <f t="shared" si="88"/>
        <v>0</v>
      </c>
      <c r="D146" s="1">
        <f t="shared" si="88"/>
        <v>0</v>
      </c>
      <c r="E146" s="1">
        <f t="shared" si="88"/>
        <v>0</v>
      </c>
      <c r="F146" s="1">
        <f t="shared" si="88"/>
        <v>0</v>
      </c>
      <c r="G146" s="1" t="str">
        <f t="shared" si="88"/>
        <v/>
      </c>
      <c r="H146" s="1" t="str">
        <f t="shared" si="88"/>
        <v xml:space="preserve">2572  </v>
      </c>
      <c r="I146" s="137" t="e">
        <f t="shared" si="88"/>
        <v>#N/A</v>
      </c>
      <c r="J146" s="3" t="e">
        <f t="shared" si="88"/>
        <v>#N/A</v>
      </c>
      <c r="K146" s="1">
        <f t="shared" si="88"/>
        <v>0</v>
      </c>
      <c r="L146" s="1" t="str">
        <f>IFERROR(VLOOKUP(L66,'CODIGOS D'!$A$2:$S$451,13,FALSE),"")</f>
        <v/>
      </c>
      <c r="M146" s="1" t="str">
        <f>IFERROR(VLOOKUP(M66,'CODIGOS D'!$A$2:$S$451,13,FALSE),"")</f>
        <v/>
      </c>
      <c r="N146" s="1" t="str">
        <f>IFERROR(VLOOKUP(N66,'CODIGOS D'!$A$2:$S$451,13,FALSE),"")</f>
        <v/>
      </c>
      <c r="O146" s="1" t="str">
        <f>IFERROR(VLOOKUP(O66,'CODIGOS D'!$A$2:$S$451,13,FALSE),"")</f>
        <v/>
      </c>
      <c r="P146" s="1" t="str">
        <f>IFERROR(VLOOKUP(P66,'CODIGOS D'!$A$2:$S$451,13,FALSE),"")</f>
        <v/>
      </c>
      <c r="Q146" s="1" t="str">
        <f>IFERROR(VLOOKUP(Q66,'CODIGOS D'!$A$2:$S$451,13,FALSE),"")</f>
        <v/>
      </c>
      <c r="R146" s="1" t="str">
        <f>IFERROR(VLOOKUP(R66,'CODIGOS D'!$A$2:$S$451,13,FALSE),"")</f>
        <v/>
      </c>
      <c r="S146" s="1" t="str">
        <f>IFERROR(VLOOKUP(S66,'CODIGOS D'!$A$2:$S$451,13,FALSE),"")</f>
        <v/>
      </c>
      <c r="T146" s="1" t="str">
        <f>IFERROR(VLOOKUP(T66,'CODIGOS D'!$A$2:$S$451,13,FALSE),"")</f>
        <v/>
      </c>
      <c r="U146" s="1" t="str">
        <f>IFERROR(VLOOKUP(U66,'CODIGOS D'!$A$2:$S$451,13,FALSE),"")</f>
        <v/>
      </c>
      <c r="V146" s="1" t="str">
        <f>IFERROR(VLOOKUP(V66,'CODIGOS D'!$A$2:$S$451,13,FALSE),"")</f>
        <v/>
      </c>
      <c r="W146" s="1" t="str">
        <f>IFERROR(VLOOKUP(W66,'CODIGOS D'!$A$2:$S$451,13,FALSE),"")</f>
        <v/>
      </c>
      <c r="X146" s="1" t="str">
        <f>IFERROR(VLOOKUP(X66,'CODIGOS D'!$A$2:$S$451,13,FALSE),"")</f>
        <v/>
      </c>
      <c r="Y146" s="1" t="str">
        <f>IFERROR(VLOOKUP(Y66,'CODIGOS D'!$A$2:$S$451,13,FALSE),"")</f>
        <v/>
      </c>
      <c r="Z146" s="1" t="str">
        <f>IFERROR(VLOOKUP(Z66,'CODIGOS D'!$A$2:$S$451,13,FALSE),"")</f>
        <v/>
      </c>
      <c r="AA146" s="1" t="str">
        <f>IFERROR(VLOOKUP(AA66,'CODIGOS D'!$A$2:$S$451,13,FALSE),"")</f>
        <v/>
      </c>
      <c r="AB146" s="1" t="str">
        <f>IFERROR(VLOOKUP(AB66,'CODIGOS D'!$A$2:$S$451,13,FALSE),"")</f>
        <v/>
      </c>
      <c r="AC146" s="1" t="str">
        <f>IFERROR(VLOOKUP(AC66,'CODIGOS D'!$A$2:$S$451,13,FALSE),"")</f>
        <v/>
      </c>
      <c r="AD146" s="1" t="str">
        <f>IFERROR(VLOOKUP(AD66,'CODIGOS D'!$A$2:$S$451,13,FALSE),"")</f>
        <v/>
      </c>
      <c r="AE146" s="1" t="str">
        <f>IFERROR(VLOOKUP(AE66,'CODIGOS D'!$A$2:$S$451,13,FALSE),"")</f>
        <v/>
      </c>
      <c r="AF146" s="1" t="str">
        <f>IFERROR(VLOOKUP(AF66,'CODIGOS D'!$A$2:$S$451,13,FALSE),"")</f>
        <v/>
      </c>
      <c r="AG146" s="1" t="str">
        <f>IFERROR(VLOOKUP(AG66,'CODIGOS D'!$A$2:$S$451,13,FALSE),"")</f>
        <v/>
      </c>
      <c r="AH146" s="1" t="str">
        <f>IFERROR(VLOOKUP(AH66,'CODIGOS D'!$A$2:$S$451,13,FALSE),"")</f>
        <v/>
      </c>
      <c r="AI146" s="89">
        <f t="shared" si="85"/>
        <v>0</v>
      </c>
    </row>
    <row r="147" spans="1:35" ht="15" hidden="1" customHeight="1" x14ac:dyDescent="0.2">
      <c r="A147" s="1">
        <f t="shared" si="84"/>
        <v>2572</v>
      </c>
      <c r="B147" s="1">
        <f t="shared" si="88"/>
        <v>0</v>
      </c>
      <c r="C147" s="1">
        <f t="shared" si="88"/>
        <v>0</v>
      </c>
      <c r="D147" s="1">
        <f t="shared" si="88"/>
        <v>0</v>
      </c>
      <c r="E147" s="1">
        <f t="shared" si="88"/>
        <v>0</v>
      </c>
      <c r="F147" s="1">
        <f t="shared" si="88"/>
        <v>0</v>
      </c>
      <c r="G147" s="1" t="str">
        <f t="shared" si="88"/>
        <v/>
      </c>
      <c r="H147" s="1" t="str">
        <f t="shared" si="88"/>
        <v xml:space="preserve">2572  </v>
      </c>
      <c r="I147" s="137" t="e">
        <f t="shared" si="88"/>
        <v>#N/A</v>
      </c>
      <c r="J147" s="3" t="e">
        <f t="shared" si="88"/>
        <v>#N/A</v>
      </c>
      <c r="K147" s="1">
        <f t="shared" si="88"/>
        <v>0</v>
      </c>
      <c r="L147" s="1" t="str">
        <f>IFERROR(VLOOKUP(L67,'CODIGOS D'!$A$2:$S$451,13,FALSE),"")</f>
        <v/>
      </c>
      <c r="M147" s="1" t="str">
        <f>IFERROR(VLOOKUP(M67,'CODIGOS D'!$A$2:$S$451,13,FALSE),"")</f>
        <v/>
      </c>
      <c r="N147" s="1" t="str">
        <f>IFERROR(VLOOKUP(N67,'CODIGOS D'!$A$2:$S$451,13,FALSE),"")</f>
        <v/>
      </c>
      <c r="O147" s="1" t="str">
        <f>IFERROR(VLOOKUP(O67,'CODIGOS D'!$A$2:$S$451,13,FALSE),"")</f>
        <v/>
      </c>
      <c r="P147" s="1" t="str">
        <f>IFERROR(VLOOKUP(P67,'CODIGOS D'!$A$2:$S$451,13,FALSE),"")</f>
        <v/>
      </c>
      <c r="Q147" s="1" t="str">
        <f>IFERROR(VLOOKUP(Q67,'CODIGOS D'!$A$2:$S$451,13,FALSE),"")</f>
        <v/>
      </c>
      <c r="R147" s="1" t="str">
        <f>IFERROR(VLOOKUP(R67,'CODIGOS D'!$A$2:$S$451,13,FALSE),"")</f>
        <v/>
      </c>
      <c r="S147" s="1" t="str">
        <f>IFERROR(VLOOKUP(S67,'CODIGOS D'!$A$2:$S$451,13,FALSE),"")</f>
        <v/>
      </c>
      <c r="T147" s="1" t="str">
        <f>IFERROR(VLOOKUP(T67,'CODIGOS D'!$A$2:$S$451,13,FALSE),"")</f>
        <v/>
      </c>
      <c r="U147" s="1" t="str">
        <f>IFERROR(VLOOKUP(U67,'CODIGOS D'!$A$2:$S$451,13,FALSE),"")</f>
        <v/>
      </c>
      <c r="V147" s="1" t="str">
        <f>IFERROR(VLOOKUP(V67,'CODIGOS D'!$A$2:$S$451,13,FALSE),"")</f>
        <v/>
      </c>
      <c r="W147" s="1" t="str">
        <f>IFERROR(VLOOKUP(W67,'CODIGOS D'!$A$2:$S$451,13,FALSE),"")</f>
        <v/>
      </c>
      <c r="X147" s="1" t="str">
        <f>IFERROR(VLOOKUP(X67,'CODIGOS D'!$A$2:$S$451,13,FALSE),"")</f>
        <v/>
      </c>
      <c r="Y147" s="1" t="str">
        <f>IFERROR(VLOOKUP(Y67,'CODIGOS D'!$A$2:$S$451,13,FALSE),"")</f>
        <v/>
      </c>
      <c r="Z147" s="1" t="str">
        <f>IFERROR(VLOOKUP(Z67,'CODIGOS D'!$A$2:$S$451,13,FALSE),"")</f>
        <v/>
      </c>
      <c r="AA147" s="1" t="str">
        <f>IFERROR(VLOOKUP(AA67,'CODIGOS D'!$A$2:$S$451,13,FALSE),"")</f>
        <v/>
      </c>
      <c r="AB147" s="1" t="str">
        <f>IFERROR(VLOOKUP(AB67,'CODIGOS D'!$A$2:$S$451,13,FALSE),"")</f>
        <v/>
      </c>
      <c r="AC147" s="1" t="str">
        <f>IFERROR(VLOOKUP(AC67,'CODIGOS D'!$A$2:$S$451,13,FALSE),"")</f>
        <v/>
      </c>
      <c r="AD147" s="1" t="str">
        <f>IFERROR(VLOOKUP(AD67,'CODIGOS D'!$A$2:$S$451,13,FALSE),"")</f>
        <v/>
      </c>
      <c r="AE147" s="1" t="str">
        <f>IFERROR(VLOOKUP(AE67,'CODIGOS D'!$A$2:$S$451,13,FALSE),"")</f>
        <v/>
      </c>
      <c r="AF147" s="1" t="str">
        <f>IFERROR(VLOOKUP(AF67,'CODIGOS D'!$A$2:$S$451,13,FALSE),"")</f>
        <v/>
      </c>
      <c r="AG147" s="1" t="str">
        <f>IFERROR(VLOOKUP(AG67,'CODIGOS D'!$A$2:$S$451,13,FALSE),"")</f>
        <v/>
      </c>
      <c r="AH147" s="1" t="str">
        <f>IFERROR(VLOOKUP(AH67,'CODIGOS D'!$A$2:$S$451,13,FALSE),"")</f>
        <v/>
      </c>
      <c r="AI147" s="89">
        <f t="shared" si="85"/>
        <v>0</v>
      </c>
    </row>
    <row r="148" spans="1:35" ht="15" hidden="1" customHeight="1" x14ac:dyDescent="0.2">
      <c r="A148" s="1">
        <f t="shared" ref="A148:K161" si="90">A68</f>
        <v>2572</v>
      </c>
      <c r="B148" s="1">
        <f t="shared" si="90"/>
        <v>0</v>
      </c>
      <c r="C148" s="1">
        <f t="shared" si="90"/>
        <v>0</v>
      </c>
      <c r="D148" s="1">
        <f t="shared" si="90"/>
        <v>0</v>
      </c>
      <c r="E148" s="1">
        <f t="shared" si="90"/>
        <v>0</v>
      </c>
      <c r="F148" s="1">
        <f t="shared" si="90"/>
        <v>0</v>
      </c>
      <c r="G148" s="1" t="str">
        <f t="shared" si="90"/>
        <v/>
      </c>
      <c r="H148" s="1" t="str">
        <f t="shared" si="90"/>
        <v xml:space="preserve">2572  </v>
      </c>
      <c r="I148" s="137" t="e">
        <f t="shared" si="90"/>
        <v>#N/A</v>
      </c>
      <c r="J148" s="3" t="e">
        <f t="shared" si="90"/>
        <v>#N/A</v>
      </c>
      <c r="K148" s="1">
        <f t="shared" si="90"/>
        <v>0</v>
      </c>
      <c r="L148" s="1" t="str">
        <f>IFERROR(VLOOKUP(L68,'CODIGOS D'!$A$2:$S$451,13,FALSE),"")</f>
        <v/>
      </c>
      <c r="M148" s="1" t="str">
        <f>IFERROR(VLOOKUP(M68,'CODIGOS D'!$A$2:$S$451,13,FALSE),"")</f>
        <v/>
      </c>
      <c r="N148" s="1" t="str">
        <f>IFERROR(VLOOKUP(N68,'CODIGOS D'!$A$2:$S$451,13,FALSE),"")</f>
        <v/>
      </c>
      <c r="O148" s="1" t="str">
        <f>IFERROR(VLOOKUP(O68,'CODIGOS D'!$A$2:$S$451,13,FALSE),"")</f>
        <v/>
      </c>
      <c r="P148" s="1" t="str">
        <f>IFERROR(VLOOKUP(P68,'CODIGOS D'!$A$2:$S$451,13,FALSE),"")</f>
        <v/>
      </c>
      <c r="Q148" s="1" t="str">
        <f>IFERROR(VLOOKUP(Q68,'CODIGOS D'!$A$2:$S$451,13,FALSE),"")</f>
        <v/>
      </c>
      <c r="R148" s="1" t="str">
        <f>IFERROR(VLOOKUP(R68,'CODIGOS D'!$A$2:$S$451,13,FALSE),"")</f>
        <v/>
      </c>
      <c r="S148" s="1" t="str">
        <f>IFERROR(VLOOKUP(S68,'CODIGOS D'!$A$2:$S$451,13,FALSE),"")</f>
        <v/>
      </c>
      <c r="T148" s="1" t="str">
        <f>IFERROR(VLOOKUP(T68,'CODIGOS D'!$A$2:$S$451,13,FALSE),"")</f>
        <v/>
      </c>
      <c r="U148" s="1" t="str">
        <f>IFERROR(VLOOKUP(U68,'CODIGOS D'!$A$2:$S$451,13,FALSE),"")</f>
        <v/>
      </c>
      <c r="V148" s="1" t="str">
        <f>IFERROR(VLOOKUP(V68,'CODIGOS D'!$A$2:$S$451,13,FALSE),"")</f>
        <v/>
      </c>
      <c r="W148" s="1" t="str">
        <f>IFERROR(VLOOKUP(W68,'CODIGOS D'!$A$2:$S$451,13,FALSE),"")</f>
        <v/>
      </c>
      <c r="X148" s="1" t="str">
        <f>IFERROR(VLOOKUP(X68,'CODIGOS D'!$A$2:$S$451,13,FALSE),"")</f>
        <v/>
      </c>
      <c r="Y148" s="1" t="str">
        <f>IFERROR(VLOOKUP(Y68,'CODIGOS D'!$A$2:$S$451,13,FALSE),"")</f>
        <v/>
      </c>
      <c r="Z148" s="1" t="str">
        <f>IFERROR(VLOOKUP(Z68,'CODIGOS D'!$A$2:$S$451,13,FALSE),"")</f>
        <v/>
      </c>
      <c r="AA148" s="1" t="str">
        <f>IFERROR(VLOOKUP(AA68,'CODIGOS D'!$A$2:$S$451,13,FALSE),"")</f>
        <v/>
      </c>
      <c r="AB148" s="1" t="str">
        <f>IFERROR(VLOOKUP(AB68,'CODIGOS D'!$A$2:$S$451,13,FALSE),"")</f>
        <v/>
      </c>
      <c r="AC148" s="1" t="str">
        <f>IFERROR(VLOOKUP(AC68,'CODIGOS D'!$A$2:$S$451,13,FALSE),"")</f>
        <v/>
      </c>
      <c r="AD148" s="1" t="str">
        <f>IFERROR(VLOOKUP(AD68,'CODIGOS D'!$A$2:$S$451,13,FALSE),"")</f>
        <v/>
      </c>
      <c r="AE148" s="1" t="str">
        <f>IFERROR(VLOOKUP(AE68,'CODIGOS D'!$A$2:$S$451,13,FALSE),"")</f>
        <v/>
      </c>
      <c r="AF148" s="1" t="str">
        <f>IFERROR(VLOOKUP(AF68,'CODIGOS D'!$A$2:$S$451,13,FALSE),"")</f>
        <v/>
      </c>
      <c r="AG148" s="1" t="str">
        <f>IFERROR(VLOOKUP(AG68,'CODIGOS D'!$A$2:$S$451,13,FALSE),"")</f>
        <v/>
      </c>
      <c r="AH148" s="1" t="str">
        <f>IFERROR(VLOOKUP(AH68,'CODIGOS D'!$A$2:$S$451,13,FALSE),"")</f>
        <v/>
      </c>
      <c r="AI148" s="89">
        <f t="shared" ref="AI148:AI160" si="91">AI68</f>
        <v>0</v>
      </c>
    </row>
    <row r="149" spans="1:35" ht="15" hidden="1" customHeight="1" x14ac:dyDescent="0.2">
      <c r="A149" s="1">
        <f t="shared" si="90"/>
        <v>2572</v>
      </c>
      <c r="B149" s="1">
        <f t="shared" si="90"/>
        <v>0</v>
      </c>
      <c r="C149" s="1">
        <f t="shared" si="90"/>
        <v>0</v>
      </c>
      <c r="D149" s="1">
        <f t="shared" si="90"/>
        <v>0</v>
      </c>
      <c r="E149" s="1">
        <f t="shared" si="90"/>
        <v>0</v>
      </c>
      <c r="F149" s="1">
        <f t="shared" si="90"/>
        <v>0</v>
      </c>
      <c r="G149" s="1" t="str">
        <f t="shared" si="90"/>
        <v/>
      </c>
      <c r="H149" s="1" t="str">
        <f t="shared" si="90"/>
        <v xml:space="preserve">2572  </v>
      </c>
      <c r="I149" s="137" t="e">
        <f t="shared" si="90"/>
        <v>#N/A</v>
      </c>
      <c r="J149" s="3" t="e">
        <f t="shared" si="90"/>
        <v>#N/A</v>
      </c>
      <c r="K149" s="1">
        <f t="shared" si="90"/>
        <v>0</v>
      </c>
      <c r="L149" s="1" t="str">
        <f>IFERROR(VLOOKUP(L69,'CODIGOS D'!$A$2:$S$451,13,FALSE),"")</f>
        <v/>
      </c>
      <c r="M149" s="1" t="str">
        <f>IFERROR(VLOOKUP(M69,'CODIGOS D'!$A$2:$S$451,13,FALSE),"")</f>
        <v/>
      </c>
      <c r="N149" s="1" t="str">
        <f>IFERROR(VLOOKUP(N69,'CODIGOS D'!$A$2:$S$451,13,FALSE),"")</f>
        <v/>
      </c>
      <c r="O149" s="1" t="str">
        <f>IFERROR(VLOOKUP(O69,'CODIGOS D'!$A$2:$S$451,13,FALSE),"")</f>
        <v/>
      </c>
      <c r="P149" s="1" t="str">
        <f>IFERROR(VLOOKUP(P69,'CODIGOS D'!$A$2:$S$451,13,FALSE),"")</f>
        <v/>
      </c>
      <c r="Q149" s="1" t="str">
        <f>IFERROR(VLOOKUP(Q69,'CODIGOS D'!$A$2:$S$451,13,FALSE),"")</f>
        <v/>
      </c>
      <c r="R149" s="1" t="str">
        <f>IFERROR(VLOOKUP(R69,'CODIGOS D'!$A$2:$S$451,13,FALSE),"")</f>
        <v/>
      </c>
      <c r="S149" s="1" t="str">
        <f>IFERROR(VLOOKUP(S69,'CODIGOS D'!$A$2:$S$451,13,FALSE),"")</f>
        <v/>
      </c>
      <c r="T149" s="1" t="str">
        <f>IFERROR(VLOOKUP(T69,'CODIGOS D'!$A$2:$S$451,13,FALSE),"")</f>
        <v/>
      </c>
      <c r="U149" s="1" t="str">
        <f>IFERROR(VLOOKUP(U69,'CODIGOS D'!$A$2:$S$451,13,FALSE),"")</f>
        <v/>
      </c>
      <c r="V149" s="1" t="str">
        <f>IFERROR(VLOOKUP(V69,'CODIGOS D'!$A$2:$S$451,13,FALSE),"")</f>
        <v/>
      </c>
      <c r="W149" s="1" t="str">
        <f>IFERROR(VLOOKUP(W69,'CODIGOS D'!$A$2:$S$451,13,FALSE),"")</f>
        <v/>
      </c>
      <c r="X149" s="1" t="str">
        <f>IFERROR(VLOOKUP(X69,'CODIGOS D'!$A$2:$S$451,13,FALSE),"")</f>
        <v/>
      </c>
      <c r="Y149" s="1" t="str">
        <f>IFERROR(VLOOKUP(Y69,'CODIGOS D'!$A$2:$S$451,13,FALSE),"")</f>
        <v/>
      </c>
      <c r="Z149" s="1" t="str">
        <f>IFERROR(VLOOKUP(Z69,'CODIGOS D'!$A$2:$S$451,13,FALSE),"")</f>
        <v/>
      </c>
      <c r="AA149" s="1" t="str">
        <f>IFERROR(VLOOKUP(AA69,'CODIGOS D'!$A$2:$S$451,13,FALSE),"")</f>
        <v/>
      </c>
      <c r="AB149" s="1" t="str">
        <f>IFERROR(VLOOKUP(AB69,'CODIGOS D'!$A$2:$S$451,13,FALSE),"")</f>
        <v/>
      </c>
      <c r="AC149" s="1" t="str">
        <f>IFERROR(VLOOKUP(AC69,'CODIGOS D'!$A$2:$S$451,13,FALSE),"")</f>
        <v/>
      </c>
      <c r="AD149" s="1" t="str">
        <f>IFERROR(VLOOKUP(AD69,'CODIGOS D'!$A$2:$S$451,13,FALSE),"")</f>
        <v/>
      </c>
      <c r="AE149" s="1" t="str">
        <f>IFERROR(VLOOKUP(AE69,'CODIGOS D'!$A$2:$S$451,13,FALSE),"")</f>
        <v/>
      </c>
      <c r="AF149" s="1" t="str">
        <f>IFERROR(VLOOKUP(AF69,'CODIGOS D'!$A$2:$S$451,13,FALSE),"")</f>
        <v/>
      </c>
      <c r="AG149" s="1" t="str">
        <f>IFERROR(VLOOKUP(AG69,'CODIGOS D'!$A$2:$S$451,13,FALSE),"")</f>
        <v/>
      </c>
      <c r="AH149" s="1" t="str">
        <f>IFERROR(VLOOKUP(AH69,'CODIGOS D'!$A$2:$S$451,13,FALSE),"")</f>
        <v/>
      </c>
      <c r="AI149" s="89">
        <f t="shared" si="91"/>
        <v>0</v>
      </c>
    </row>
    <row r="150" spans="1:35" ht="15" hidden="1" customHeight="1" x14ac:dyDescent="0.2">
      <c r="A150" s="1">
        <f t="shared" si="90"/>
        <v>2572</v>
      </c>
      <c r="B150" s="1">
        <f t="shared" si="90"/>
        <v>0</v>
      </c>
      <c r="C150" s="1">
        <f t="shared" si="90"/>
        <v>0</v>
      </c>
      <c r="D150" s="1">
        <f t="shared" si="90"/>
        <v>0</v>
      </c>
      <c r="E150" s="1">
        <f t="shared" si="90"/>
        <v>0</v>
      </c>
      <c r="F150" s="1">
        <f t="shared" si="90"/>
        <v>0</v>
      </c>
      <c r="G150" s="1" t="str">
        <f t="shared" si="90"/>
        <v/>
      </c>
      <c r="H150" s="1" t="str">
        <f t="shared" si="90"/>
        <v xml:space="preserve">2572  </v>
      </c>
      <c r="I150" s="137" t="e">
        <f t="shared" si="90"/>
        <v>#N/A</v>
      </c>
      <c r="J150" s="3" t="e">
        <f t="shared" si="90"/>
        <v>#N/A</v>
      </c>
      <c r="K150" s="1">
        <f t="shared" si="90"/>
        <v>0</v>
      </c>
      <c r="L150" s="1" t="str">
        <f>IFERROR(VLOOKUP(L70,'CODIGOS D'!$A$2:$S$451,13,FALSE),"")</f>
        <v/>
      </c>
      <c r="M150" s="1" t="str">
        <f>IFERROR(VLOOKUP(M70,'CODIGOS D'!$A$2:$S$451,13,FALSE),"")</f>
        <v/>
      </c>
      <c r="N150" s="1" t="str">
        <f>IFERROR(VLOOKUP(N70,'CODIGOS D'!$A$2:$S$451,13,FALSE),"")</f>
        <v/>
      </c>
      <c r="O150" s="1" t="str">
        <f>IFERROR(VLOOKUP(O70,'CODIGOS D'!$A$2:$S$451,13,FALSE),"")</f>
        <v/>
      </c>
      <c r="P150" s="1" t="str">
        <f>IFERROR(VLOOKUP(P70,'CODIGOS D'!$A$2:$S$451,13,FALSE),"")</f>
        <v/>
      </c>
      <c r="Q150" s="1" t="str">
        <f>IFERROR(VLOOKUP(Q70,'CODIGOS D'!$A$2:$S$451,13,FALSE),"")</f>
        <v/>
      </c>
      <c r="R150" s="1" t="str">
        <f>IFERROR(VLOOKUP(R70,'CODIGOS D'!$A$2:$S$451,13,FALSE),"")</f>
        <v/>
      </c>
      <c r="S150" s="1" t="str">
        <f>IFERROR(VLOOKUP(S70,'CODIGOS D'!$A$2:$S$451,13,FALSE),"")</f>
        <v/>
      </c>
      <c r="T150" s="1" t="str">
        <f>IFERROR(VLOOKUP(T70,'CODIGOS D'!$A$2:$S$451,13,FALSE),"")</f>
        <v/>
      </c>
      <c r="U150" s="1" t="str">
        <f>IFERROR(VLOOKUP(U70,'CODIGOS D'!$A$2:$S$451,13,FALSE),"")</f>
        <v/>
      </c>
      <c r="V150" s="1" t="str">
        <f>IFERROR(VLOOKUP(V70,'CODIGOS D'!$A$2:$S$451,13,FALSE),"")</f>
        <v/>
      </c>
      <c r="W150" s="1" t="str">
        <f>IFERROR(VLOOKUP(W70,'CODIGOS D'!$A$2:$S$451,13,FALSE),"")</f>
        <v/>
      </c>
      <c r="X150" s="1" t="str">
        <f>IFERROR(VLOOKUP(X70,'CODIGOS D'!$A$2:$S$451,13,FALSE),"")</f>
        <v/>
      </c>
      <c r="Y150" s="1" t="str">
        <f>IFERROR(VLOOKUP(Y70,'CODIGOS D'!$A$2:$S$451,13,FALSE),"")</f>
        <v/>
      </c>
      <c r="Z150" s="1" t="str">
        <f>IFERROR(VLOOKUP(Z70,'CODIGOS D'!$A$2:$S$451,13,FALSE),"")</f>
        <v/>
      </c>
      <c r="AA150" s="1" t="str">
        <f>IFERROR(VLOOKUP(AA70,'CODIGOS D'!$A$2:$S$451,13,FALSE),"")</f>
        <v/>
      </c>
      <c r="AB150" s="1" t="str">
        <f>IFERROR(VLOOKUP(AB70,'CODIGOS D'!$A$2:$S$451,13,FALSE),"")</f>
        <v/>
      </c>
      <c r="AC150" s="1" t="str">
        <f>IFERROR(VLOOKUP(AC70,'CODIGOS D'!$A$2:$S$451,13,FALSE),"")</f>
        <v/>
      </c>
      <c r="AD150" s="1" t="str">
        <f>IFERROR(VLOOKUP(AD70,'CODIGOS D'!$A$2:$S$451,13,FALSE),"")</f>
        <v/>
      </c>
      <c r="AE150" s="1" t="str">
        <f>IFERROR(VLOOKUP(AE70,'CODIGOS D'!$A$2:$S$451,13,FALSE),"")</f>
        <v/>
      </c>
      <c r="AF150" s="1" t="str">
        <f>IFERROR(VLOOKUP(AF70,'CODIGOS D'!$A$2:$S$451,13,FALSE),"")</f>
        <v/>
      </c>
      <c r="AG150" s="1" t="str">
        <f>IFERROR(VLOOKUP(AG70,'CODIGOS D'!$A$2:$S$451,13,FALSE),"")</f>
        <v/>
      </c>
      <c r="AH150" s="1" t="str">
        <f>IFERROR(VLOOKUP(AH70,'CODIGOS D'!$A$2:$S$451,13,FALSE),"")</f>
        <v/>
      </c>
      <c r="AI150" s="89">
        <f t="shared" si="91"/>
        <v>0</v>
      </c>
    </row>
    <row r="151" spans="1:35" ht="15" hidden="1" customHeight="1" x14ac:dyDescent="0.2">
      <c r="A151" s="1">
        <f t="shared" si="90"/>
        <v>2572</v>
      </c>
      <c r="B151" s="1">
        <f t="shared" si="90"/>
        <v>0</v>
      </c>
      <c r="C151" s="1">
        <f t="shared" si="90"/>
        <v>0</v>
      </c>
      <c r="D151" s="1">
        <f t="shared" si="90"/>
        <v>0</v>
      </c>
      <c r="E151" s="1">
        <f t="shared" si="90"/>
        <v>0</v>
      </c>
      <c r="F151" s="1">
        <f t="shared" si="90"/>
        <v>0</v>
      </c>
      <c r="G151" s="1" t="str">
        <f t="shared" si="90"/>
        <v/>
      </c>
      <c r="H151" s="1" t="str">
        <f t="shared" si="90"/>
        <v xml:space="preserve">2572  </v>
      </c>
      <c r="I151" s="137" t="e">
        <f t="shared" si="90"/>
        <v>#N/A</v>
      </c>
      <c r="J151" s="3" t="e">
        <f t="shared" si="90"/>
        <v>#N/A</v>
      </c>
      <c r="K151" s="1">
        <f t="shared" si="90"/>
        <v>0</v>
      </c>
      <c r="L151" s="1" t="str">
        <f>IFERROR(VLOOKUP(L71,'CODIGOS D'!$A$2:$S$451,13,FALSE),"")</f>
        <v/>
      </c>
      <c r="M151" s="1" t="str">
        <f>IFERROR(VLOOKUP(M71,'CODIGOS D'!$A$2:$S$451,13,FALSE),"")</f>
        <v/>
      </c>
      <c r="N151" s="1" t="str">
        <f>IFERROR(VLOOKUP(N71,'CODIGOS D'!$A$2:$S$451,13,FALSE),"")</f>
        <v/>
      </c>
      <c r="O151" s="1" t="str">
        <f>IFERROR(VLOOKUP(O71,'CODIGOS D'!$A$2:$S$451,13,FALSE),"")</f>
        <v/>
      </c>
      <c r="P151" s="1" t="str">
        <f>IFERROR(VLOOKUP(P71,'CODIGOS D'!$A$2:$S$451,13,FALSE),"")</f>
        <v/>
      </c>
      <c r="Q151" s="1" t="str">
        <f>IFERROR(VLOOKUP(Q71,'CODIGOS D'!$A$2:$S$451,13,FALSE),"")</f>
        <v/>
      </c>
      <c r="R151" s="1" t="str">
        <f>IFERROR(VLOOKUP(R71,'CODIGOS D'!$A$2:$S$451,13,FALSE),"")</f>
        <v/>
      </c>
      <c r="S151" s="1" t="str">
        <f>IFERROR(VLOOKUP(S71,'CODIGOS D'!$A$2:$S$451,13,FALSE),"")</f>
        <v/>
      </c>
      <c r="T151" s="1" t="str">
        <f>IFERROR(VLOOKUP(T71,'CODIGOS D'!$A$2:$S$451,13,FALSE),"")</f>
        <v/>
      </c>
      <c r="U151" s="1" t="str">
        <f>IFERROR(VLOOKUP(U71,'CODIGOS D'!$A$2:$S$451,13,FALSE),"")</f>
        <v/>
      </c>
      <c r="V151" s="1" t="str">
        <f>IFERROR(VLOOKUP(V71,'CODIGOS D'!$A$2:$S$451,13,FALSE),"")</f>
        <v/>
      </c>
      <c r="W151" s="1" t="str">
        <f>IFERROR(VLOOKUP(W71,'CODIGOS D'!$A$2:$S$451,13,FALSE),"")</f>
        <v/>
      </c>
      <c r="X151" s="1" t="str">
        <f>IFERROR(VLOOKUP(X71,'CODIGOS D'!$A$2:$S$451,13,FALSE),"")</f>
        <v/>
      </c>
      <c r="Y151" s="1" t="str">
        <f>IFERROR(VLOOKUP(Y71,'CODIGOS D'!$A$2:$S$451,13,FALSE),"")</f>
        <v/>
      </c>
      <c r="Z151" s="1" t="str">
        <f>IFERROR(VLOOKUP(Z71,'CODIGOS D'!$A$2:$S$451,13,FALSE),"")</f>
        <v/>
      </c>
      <c r="AA151" s="1" t="str">
        <f>IFERROR(VLOOKUP(AA71,'CODIGOS D'!$A$2:$S$451,13,FALSE),"")</f>
        <v/>
      </c>
      <c r="AB151" s="1" t="str">
        <f>IFERROR(VLOOKUP(AB71,'CODIGOS D'!$A$2:$S$451,13,FALSE),"")</f>
        <v/>
      </c>
      <c r="AC151" s="1" t="str">
        <f>IFERROR(VLOOKUP(AC71,'CODIGOS D'!$A$2:$S$451,13,FALSE),"")</f>
        <v/>
      </c>
      <c r="AD151" s="1" t="str">
        <f>IFERROR(VLOOKUP(AD71,'CODIGOS D'!$A$2:$S$451,13,FALSE),"")</f>
        <v/>
      </c>
      <c r="AE151" s="1" t="str">
        <f>IFERROR(VLOOKUP(AE71,'CODIGOS D'!$A$2:$S$451,13,FALSE),"")</f>
        <v/>
      </c>
      <c r="AF151" s="1" t="str">
        <f>IFERROR(VLOOKUP(AF71,'CODIGOS D'!$A$2:$S$451,13,FALSE),"")</f>
        <v/>
      </c>
      <c r="AG151" s="1" t="str">
        <f>IFERROR(VLOOKUP(AG71,'CODIGOS D'!$A$2:$S$451,13,FALSE),"")</f>
        <v/>
      </c>
      <c r="AH151" s="1" t="str">
        <f>IFERROR(VLOOKUP(AH71,'CODIGOS D'!$A$2:$S$451,13,FALSE),"")</f>
        <v/>
      </c>
      <c r="AI151" s="89">
        <f t="shared" si="91"/>
        <v>0</v>
      </c>
    </row>
    <row r="152" spans="1:35" ht="15" hidden="1" customHeight="1" x14ac:dyDescent="0.2">
      <c r="A152" s="1">
        <f t="shared" si="90"/>
        <v>2572</v>
      </c>
      <c r="B152" s="1">
        <f t="shared" si="90"/>
        <v>0</v>
      </c>
      <c r="C152" s="1">
        <f t="shared" si="90"/>
        <v>0</v>
      </c>
      <c r="D152" s="1">
        <f t="shared" si="90"/>
        <v>0</v>
      </c>
      <c r="E152" s="1">
        <f t="shared" si="90"/>
        <v>0</v>
      </c>
      <c r="F152" s="1">
        <f t="shared" si="90"/>
        <v>0</v>
      </c>
      <c r="G152" s="1" t="str">
        <f t="shared" si="90"/>
        <v/>
      </c>
      <c r="H152" s="1" t="str">
        <f t="shared" si="90"/>
        <v xml:space="preserve">2572  </v>
      </c>
      <c r="I152" s="137" t="e">
        <f t="shared" si="90"/>
        <v>#N/A</v>
      </c>
      <c r="J152" s="3" t="e">
        <f t="shared" si="90"/>
        <v>#N/A</v>
      </c>
      <c r="K152" s="1">
        <f t="shared" si="90"/>
        <v>0</v>
      </c>
      <c r="L152" s="1" t="str">
        <f>IFERROR(VLOOKUP(L72,'CODIGOS D'!$A$2:$S$451,13,FALSE),"")</f>
        <v/>
      </c>
      <c r="M152" s="1" t="str">
        <f>IFERROR(VLOOKUP(M72,'CODIGOS D'!$A$2:$S$451,13,FALSE),"")</f>
        <v/>
      </c>
      <c r="N152" s="1" t="str">
        <f>IFERROR(VLOOKUP(N72,'CODIGOS D'!$A$2:$S$451,13,FALSE),"")</f>
        <v/>
      </c>
      <c r="O152" s="1" t="str">
        <f>IFERROR(VLOOKUP(O72,'CODIGOS D'!$A$2:$S$451,13,FALSE),"")</f>
        <v/>
      </c>
      <c r="P152" s="1" t="str">
        <f>IFERROR(VLOOKUP(P72,'CODIGOS D'!$A$2:$S$451,13,FALSE),"")</f>
        <v/>
      </c>
      <c r="Q152" s="1" t="str">
        <f>IFERROR(VLOOKUP(Q72,'CODIGOS D'!$A$2:$S$451,13,FALSE),"")</f>
        <v/>
      </c>
      <c r="R152" s="1" t="str">
        <f>IFERROR(VLOOKUP(R72,'CODIGOS D'!$A$2:$S$451,13,FALSE),"")</f>
        <v/>
      </c>
      <c r="S152" s="1" t="str">
        <f>IFERROR(VLOOKUP(S72,'CODIGOS D'!$A$2:$S$451,13,FALSE),"")</f>
        <v/>
      </c>
      <c r="T152" s="1" t="str">
        <f>IFERROR(VLOOKUP(T72,'CODIGOS D'!$A$2:$S$451,13,FALSE),"")</f>
        <v/>
      </c>
      <c r="U152" s="1" t="str">
        <f>IFERROR(VLOOKUP(U72,'CODIGOS D'!$A$2:$S$451,13,FALSE),"")</f>
        <v/>
      </c>
      <c r="V152" s="1" t="str">
        <f>IFERROR(VLOOKUP(V72,'CODIGOS D'!$A$2:$S$451,13,FALSE),"")</f>
        <v/>
      </c>
      <c r="W152" s="1" t="str">
        <f>IFERROR(VLOOKUP(W72,'CODIGOS D'!$A$2:$S$451,13,FALSE),"")</f>
        <v/>
      </c>
      <c r="X152" s="1" t="str">
        <f>IFERROR(VLOOKUP(X72,'CODIGOS D'!$A$2:$S$451,13,FALSE),"")</f>
        <v/>
      </c>
      <c r="Y152" s="1" t="str">
        <f>IFERROR(VLOOKUP(Y72,'CODIGOS D'!$A$2:$S$451,13,FALSE),"")</f>
        <v/>
      </c>
      <c r="Z152" s="1" t="str">
        <f>IFERROR(VLOOKUP(Z72,'CODIGOS D'!$A$2:$S$451,13,FALSE),"")</f>
        <v/>
      </c>
      <c r="AA152" s="1" t="str">
        <f>IFERROR(VLOOKUP(AA72,'CODIGOS D'!$A$2:$S$451,13,FALSE),"")</f>
        <v/>
      </c>
      <c r="AB152" s="1" t="str">
        <f>IFERROR(VLOOKUP(AB72,'CODIGOS D'!$A$2:$S$451,13,FALSE),"")</f>
        <v/>
      </c>
      <c r="AC152" s="1" t="str">
        <f>IFERROR(VLOOKUP(AC72,'CODIGOS D'!$A$2:$S$451,13,FALSE),"")</f>
        <v/>
      </c>
      <c r="AD152" s="1" t="str">
        <f>IFERROR(VLOOKUP(AD72,'CODIGOS D'!$A$2:$S$451,13,FALSE),"")</f>
        <v/>
      </c>
      <c r="AE152" s="1" t="str">
        <f>IFERROR(VLOOKUP(AE72,'CODIGOS D'!$A$2:$S$451,13,FALSE),"")</f>
        <v/>
      </c>
      <c r="AF152" s="1" t="str">
        <f>IFERROR(VLOOKUP(AF72,'CODIGOS D'!$A$2:$S$451,13,FALSE),"")</f>
        <v/>
      </c>
      <c r="AG152" s="1" t="str">
        <f>IFERROR(VLOOKUP(AG72,'CODIGOS D'!$A$2:$S$451,13,FALSE),"")</f>
        <v/>
      </c>
      <c r="AH152" s="1" t="str">
        <f>IFERROR(VLOOKUP(AH72,'CODIGOS D'!$A$2:$S$451,13,FALSE),"")</f>
        <v/>
      </c>
      <c r="AI152" s="89">
        <f t="shared" si="91"/>
        <v>0</v>
      </c>
    </row>
    <row r="153" spans="1:35" ht="15" hidden="1" customHeight="1" x14ac:dyDescent="0.2">
      <c r="A153" s="1">
        <f t="shared" si="90"/>
        <v>2572</v>
      </c>
      <c r="B153" s="1">
        <f t="shared" si="90"/>
        <v>0</v>
      </c>
      <c r="C153" s="1">
        <f t="shared" si="90"/>
        <v>0</v>
      </c>
      <c r="D153" s="1">
        <f t="shared" si="90"/>
        <v>0</v>
      </c>
      <c r="E153" s="1">
        <f t="shared" si="90"/>
        <v>0</v>
      </c>
      <c r="F153" s="1">
        <f t="shared" si="90"/>
        <v>0</v>
      </c>
      <c r="G153" s="1" t="str">
        <f t="shared" si="90"/>
        <v/>
      </c>
      <c r="H153" s="1" t="str">
        <f t="shared" si="90"/>
        <v xml:space="preserve">2572  </v>
      </c>
      <c r="I153" s="137" t="e">
        <f t="shared" si="90"/>
        <v>#N/A</v>
      </c>
      <c r="J153" s="3" t="e">
        <f t="shared" si="90"/>
        <v>#N/A</v>
      </c>
      <c r="K153" s="1">
        <f t="shared" si="90"/>
        <v>0</v>
      </c>
      <c r="L153" s="1" t="str">
        <f>IFERROR(VLOOKUP(L73,'CODIGOS D'!$A$2:$S$451,13,FALSE),"")</f>
        <v/>
      </c>
      <c r="M153" s="1" t="str">
        <f>IFERROR(VLOOKUP(M73,'CODIGOS D'!$A$2:$S$451,13,FALSE),"")</f>
        <v/>
      </c>
      <c r="N153" s="1" t="str">
        <f>IFERROR(VLOOKUP(N73,'CODIGOS D'!$A$2:$S$451,13,FALSE),"")</f>
        <v/>
      </c>
      <c r="O153" s="1" t="str">
        <f>IFERROR(VLOOKUP(O73,'CODIGOS D'!$A$2:$S$451,13,FALSE),"")</f>
        <v/>
      </c>
      <c r="P153" s="1" t="str">
        <f>IFERROR(VLOOKUP(P73,'CODIGOS D'!$A$2:$S$451,13,FALSE),"")</f>
        <v/>
      </c>
      <c r="Q153" s="1" t="str">
        <f>IFERROR(VLOOKUP(Q73,'CODIGOS D'!$A$2:$S$451,13,FALSE),"")</f>
        <v/>
      </c>
      <c r="R153" s="1" t="str">
        <f>IFERROR(VLOOKUP(R73,'CODIGOS D'!$A$2:$S$451,13,FALSE),"")</f>
        <v/>
      </c>
      <c r="S153" s="1" t="str">
        <f>IFERROR(VLOOKUP(S73,'CODIGOS D'!$A$2:$S$451,13,FALSE),"")</f>
        <v/>
      </c>
      <c r="T153" s="1" t="str">
        <f>IFERROR(VLOOKUP(T73,'CODIGOS D'!$A$2:$S$451,13,FALSE),"")</f>
        <v/>
      </c>
      <c r="U153" s="1" t="str">
        <f>IFERROR(VLOOKUP(U73,'CODIGOS D'!$A$2:$S$451,13,FALSE),"")</f>
        <v/>
      </c>
      <c r="V153" s="1" t="str">
        <f>IFERROR(VLOOKUP(V73,'CODIGOS D'!$A$2:$S$451,13,FALSE),"")</f>
        <v/>
      </c>
      <c r="W153" s="1" t="str">
        <f>IFERROR(VLOOKUP(W73,'CODIGOS D'!$A$2:$S$451,13,FALSE),"")</f>
        <v/>
      </c>
      <c r="X153" s="1" t="str">
        <f>IFERROR(VLOOKUP(X73,'CODIGOS D'!$A$2:$S$451,13,FALSE),"")</f>
        <v/>
      </c>
      <c r="Y153" s="1" t="str">
        <f>IFERROR(VLOOKUP(Y73,'CODIGOS D'!$A$2:$S$451,13,FALSE),"")</f>
        <v/>
      </c>
      <c r="Z153" s="1" t="str">
        <f>IFERROR(VLOOKUP(Z73,'CODIGOS D'!$A$2:$S$451,13,FALSE),"")</f>
        <v/>
      </c>
      <c r="AA153" s="1" t="str">
        <f>IFERROR(VLOOKUP(AA73,'CODIGOS D'!$A$2:$S$451,13,FALSE),"")</f>
        <v/>
      </c>
      <c r="AB153" s="1" t="str">
        <f>IFERROR(VLOOKUP(AB73,'CODIGOS D'!$A$2:$S$451,13,FALSE),"")</f>
        <v/>
      </c>
      <c r="AC153" s="1" t="str">
        <f>IFERROR(VLOOKUP(AC73,'CODIGOS D'!$A$2:$S$451,13,FALSE),"")</f>
        <v/>
      </c>
      <c r="AD153" s="1" t="str">
        <f>IFERROR(VLOOKUP(AD73,'CODIGOS D'!$A$2:$S$451,13,FALSE),"")</f>
        <v/>
      </c>
      <c r="AE153" s="1" t="str">
        <f>IFERROR(VLOOKUP(AE73,'CODIGOS D'!$A$2:$S$451,13,FALSE),"")</f>
        <v/>
      </c>
      <c r="AF153" s="1" t="str">
        <f>IFERROR(VLOOKUP(AF73,'CODIGOS D'!$A$2:$S$451,13,FALSE),"")</f>
        <v/>
      </c>
      <c r="AG153" s="1" t="str">
        <f>IFERROR(VLOOKUP(AG73,'CODIGOS D'!$A$2:$S$451,13,FALSE),"")</f>
        <v/>
      </c>
      <c r="AH153" s="1" t="str">
        <f>IFERROR(VLOOKUP(AH73,'CODIGOS D'!$A$2:$S$451,13,FALSE),"")</f>
        <v/>
      </c>
      <c r="AI153" s="89">
        <f t="shared" si="91"/>
        <v>0</v>
      </c>
    </row>
    <row r="154" spans="1:35" ht="15" hidden="1" customHeight="1" x14ac:dyDescent="0.2">
      <c r="A154" s="1">
        <f t="shared" si="90"/>
        <v>2572</v>
      </c>
      <c r="B154" s="1">
        <f t="shared" si="90"/>
        <v>0</v>
      </c>
      <c r="C154" s="1">
        <f t="shared" si="90"/>
        <v>0</v>
      </c>
      <c r="D154" s="1">
        <f t="shared" si="90"/>
        <v>0</v>
      </c>
      <c r="E154" s="1">
        <f t="shared" si="90"/>
        <v>0</v>
      </c>
      <c r="F154" s="1">
        <f t="shared" si="90"/>
        <v>0</v>
      </c>
      <c r="G154" s="1" t="str">
        <f t="shared" si="90"/>
        <v/>
      </c>
      <c r="H154" s="1" t="str">
        <f t="shared" si="90"/>
        <v xml:space="preserve">2572  </v>
      </c>
      <c r="I154" s="137" t="e">
        <f t="shared" si="90"/>
        <v>#N/A</v>
      </c>
      <c r="J154" s="3" t="e">
        <f t="shared" si="90"/>
        <v>#N/A</v>
      </c>
      <c r="K154" s="1">
        <f t="shared" si="90"/>
        <v>0</v>
      </c>
      <c r="L154" s="1" t="str">
        <f>IFERROR(VLOOKUP(L74,'CODIGOS D'!$A$2:$S$451,13,FALSE),"")</f>
        <v/>
      </c>
      <c r="M154" s="1" t="str">
        <f>IFERROR(VLOOKUP(M74,'CODIGOS D'!$A$2:$S$451,13,FALSE),"")</f>
        <v/>
      </c>
      <c r="N154" s="1" t="str">
        <f>IFERROR(VLOOKUP(N74,'CODIGOS D'!$A$2:$S$451,13,FALSE),"")</f>
        <v/>
      </c>
      <c r="O154" s="1" t="str">
        <f>IFERROR(VLOOKUP(O74,'CODIGOS D'!$A$2:$S$451,13,FALSE),"")</f>
        <v/>
      </c>
      <c r="P154" s="1" t="str">
        <f>IFERROR(VLOOKUP(P74,'CODIGOS D'!$A$2:$S$451,13,FALSE),"")</f>
        <v/>
      </c>
      <c r="Q154" s="1" t="str">
        <f>IFERROR(VLOOKUP(Q74,'CODIGOS D'!$A$2:$S$451,13,FALSE),"")</f>
        <v/>
      </c>
      <c r="R154" s="1" t="str">
        <f>IFERROR(VLOOKUP(R74,'CODIGOS D'!$A$2:$S$451,13,FALSE),"")</f>
        <v/>
      </c>
      <c r="S154" s="1" t="str">
        <f>IFERROR(VLOOKUP(S74,'CODIGOS D'!$A$2:$S$451,13,FALSE),"")</f>
        <v/>
      </c>
      <c r="T154" s="1" t="str">
        <f>IFERROR(VLOOKUP(T74,'CODIGOS D'!$A$2:$S$451,13,FALSE),"")</f>
        <v/>
      </c>
      <c r="U154" s="1" t="str">
        <f>IFERROR(VLOOKUP(U74,'CODIGOS D'!$A$2:$S$451,13,FALSE),"")</f>
        <v/>
      </c>
      <c r="V154" s="1" t="str">
        <f>IFERROR(VLOOKUP(V74,'CODIGOS D'!$A$2:$S$451,13,FALSE),"")</f>
        <v/>
      </c>
      <c r="W154" s="1" t="str">
        <f>IFERROR(VLOOKUP(W74,'CODIGOS D'!$A$2:$S$451,13,FALSE),"")</f>
        <v/>
      </c>
      <c r="X154" s="1" t="str">
        <f>IFERROR(VLOOKUP(X74,'CODIGOS D'!$A$2:$S$451,13,FALSE),"")</f>
        <v/>
      </c>
      <c r="Y154" s="1" t="str">
        <f>IFERROR(VLOOKUP(Y74,'CODIGOS D'!$A$2:$S$451,13,FALSE),"")</f>
        <v/>
      </c>
      <c r="Z154" s="1" t="str">
        <f>IFERROR(VLOOKUP(Z74,'CODIGOS D'!$A$2:$S$451,13,FALSE),"")</f>
        <v/>
      </c>
      <c r="AA154" s="1" t="str">
        <f>IFERROR(VLOOKUP(AA74,'CODIGOS D'!$A$2:$S$451,13,FALSE),"")</f>
        <v/>
      </c>
      <c r="AB154" s="1" t="str">
        <f>IFERROR(VLOOKUP(AB74,'CODIGOS D'!$A$2:$S$451,13,FALSE),"")</f>
        <v/>
      </c>
      <c r="AC154" s="1" t="str">
        <f>IFERROR(VLOOKUP(AC74,'CODIGOS D'!$A$2:$S$451,13,FALSE),"")</f>
        <v/>
      </c>
      <c r="AD154" s="1" t="str">
        <f>IFERROR(VLOOKUP(AD74,'CODIGOS D'!$A$2:$S$451,13,FALSE),"")</f>
        <v/>
      </c>
      <c r="AE154" s="1" t="str">
        <f>IFERROR(VLOOKUP(AE74,'CODIGOS D'!$A$2:$S$451,13,FALSE),"")</f>
        <v/>
      </c>
      <c r="AF154" s="1" t="str">
        <f>IFERROR(VLOOKUP(AF74,'CODIGOS D'!$A$2:$S$451,13,FALSE),"")</f>
        <v/>
      </c>
      <c r="AG154" s="1" t="str">
        <f>IFERROR(VLOOKUP(AG74,'CODIGOS D'!$A$2:$S$451,13,FALSE),"")</f>
        <v/>
      </c>
      <c r="AH154" s="1" t="str">
        <f>IFERROR(VLOOKUP(AH74,'CODIGOS D'!$A$2:$S$451,13,FALSE),"")</f>
        <v/>
      </c>
      <c r="AI154" s="89">
        <f t="shared" si="91"/>
        <v>0</v>
      </c>
    </row>
    <row r="155" spans="1:35" ht="15" hidden="1" customHeight="1" x14ac:dyDescent="0.2">
      <c r="A155" s="1">
        <f t="shared" si="90"/>
        <v>2572</v>
      </c>
      <c r="B155" s="1">
        <f t="shared" si="90"/>
        <v>0</v>
      </c>
      <c r="C155" s="1">
        <f t="shared" si="90"/>
        <v>0</v>
      </c>
      <c r="D155" s="1">
        <f t="shared" si="90"/>
        <v>0</v>
      </c>
      <c r="E155" s="1">
        <f t="shared" si="90"/>
        <v>0</v>
      </c>
      <c r="F155" s="1">
        <f t="shared" si="90"/>
        <v>0</v>
      </c>
      <c r="G155" s="1" t="str">
        <f t="shared" si="90"/>
        <v/>
      </c>
      <c r="H155" s="1" t="str">
        <f t="shared" si="90"/>
        <v xml:space="preserve">2572  </v>
      </c>
      <c r="I155" s="137" t="e">
        <f t="shared" si="90"/>
        <v>#N/A</v>
      </c>
      <c r="J155" s="3" t="e">
        <f t="shared" si="90"/>
        <v>#N/A</v>
      </c>
      <c r="K155" s="1">
        <f t="shared" si="90"/>
        <v>0</v>
      </c>
      <c r="L155" s="1" t="str">
        <f>IFERROR(VLOOKUP(L75,'CODIGOS D'!$A$2:$S$451,13,FALSE),"")</f>
        <v/>
      </c>
      <c r="M155" s="1" t="str">
        <f>IFERROR(VLOOKUP(M75,'CODIGOS D'!$A$2:$S$451,13,FALSE),"")</f>
        <v/>
      </c>
      <c r="N155" s="1" t="str">
        <f>IFERROR(VLOOKUP(N75,'CODIGOS D'!$A$2:$S$451,13,FALSE),"")</f>
        <v/>
      </c>
      <c r="O155" s="1" t="str">
        <f>IFERROR(VLOOKUP(O75,'CODIGOS D'!$A$2:$S$451,13,FALSE),"")</f>
        <v/>
      </c>
      <c r="P155" s="1" t="str">
        <f>IFERROR(VLOOKUP(P75,'CODIGOS D'!$A$2:$S$451,13,FALSE),"")</f>
        <v/>
      </c>
      <c r="Q155" s="1" t="str">
        <f>IFERROR(VLOOKUP(Q75,'CODIGOS D'!$A$2:$S$451,13,FALSE),"")</f>
        <v/>
      </c>
      <c r="R155" s="1" t="str">
        <f>IFERROR(VLOOKUP(R75,'CODIGOS D'!$A$2:$S$451,13,FALSE),"")</f>
        <v/>
      </c>
      <c r="S155" s="1" t="str">
        <f>IFERROR(VLOOKUP(S75,'CODIGOS D'!$A$2:$S$451,13,FALSE),"")</f>
        <v/>
      </c>
      <c r="T155" s="1" t="str">
        <f>IFERROR(VLOOKUP(T75,'CODIGOS D'!$A$2:$S$451,13,FALSE),"")</f>
        <v/>
      </c>
      <c r="U155" s="1" t="str">
        <f>IFERROR(VLOOKUP(U75,'CODIGOS D'!$A$2:$S$451,13,FALSE),"")</f>
        <v/>
      </c>
      <c r="V155" s="1" t="str">
        <f>IFERROR(VLOOKUP(V75,'CODIGOS D'!$A$2:$S$451,13,FALSE),"")</f>
        <v/>
      </c>
      <c r="W155" s="1" t="str">
        <f>IFERROR(VLOOKUP(W75,'CODIGOS D'!$A$2:$S$451,13,FALSE),"")</f>
        <v/>
      </c>
      <c r="X155" s="1" t="str">
        <f>IFERROR(VLOOKUP(X75,'CODIGOS D'!$A$2:$S$451,13,FALSE),"")</f>
        <v/>
      </c>
      <c r="Y155" s="1" t="str">
        <f>IFERROR(VLOOKUP(Y75,'CODIGOS D'!$A$2:$S$451,13,FALSE),"")</f>
        <v/>
      </c>
      <c r="Z155" s="1" t="str">
        <f>IFERROR(VLOOKUP(Z75,'CODIGOS D'!$A$2:$S$451,13,FALSE),"")</f>
        <v/>
      </c>
      <c r="AA155" s="1" t="str">
        <f>IFERROR(VLOOKUP(AA75,'CODIGOS D'!$A$2:$S$451,13,FALSE),"")</f>
        <v/>
      </c>
      <c r="AB155" s="1" t="str">
        <f>IFERROR(VLOOKUP(AB75,'CODIGOS D'!$A$2:$S$451,13,FALSE),"")</f>
        <v/>
      </c>
      <c r="AC155" s="1" t="str">
        <f>IFERROR(VLOOKUP(AC75,'CODIGOS D'!$A$2:$S$451,13,FALSE),"")</f>
        <v/>
      </c>
      <c r="AD155" s="1" t="str">
        <f>IFERROR(VLOOKUP(AD75,'CODIGOS D'!$A$2:$S$451,13,FALSE),"")</f>
        <v/>
      </c>
      <c r="AE155" s="1" t="str">
        <f>IFERROR(VLOOKUP(AE75,'CODIGOS D'!$A$2:$S$451,13,FALSE),"")</f>
        <v/>
      </c>
      <c r="AF155" s="1" t="str">
        <f>IFERROR(VLOOKUP(AF75,'CODIGOS D'!$A$2:$S$451,13,FALSE),"")</f>
        <v/>
      </c>
      <c r="AG155" s="1" t="str">
        <f>IFERROR(VLOOKUP(AG75,'CODIGOS D'!$A$2:$S$451,13,FALSE),"")</f>
        <v/>
      </c>
      <c r="AH155" s="1" t="str">
        <f>IFERROR(VLOOKUP(AH75,'CODIGOS D'!$A$2:$S$451,13,FALSE),"")</f>
        <v/>
      </c>
      <c r="AI155" s="89">
        <f t="shared" si="91"/>
        <v>0</v>
      </c>
    </row>
    <row r="156" spans="1:35" ht="15" hidden="1" customHeight="1" x14ac:dyDescent="0.2">
      <c r="A156" s="1">
        <f t="shared" si="90"/>
        <v>2572</v>
      </c>
      <c r="B156" s="1">
        <f t="shared" si="90"/>
        <v>0</v>
      </c>
      <c r="C156" s="1">
        <f t="shared" si="90"/>
        <v>0</v>
      </c>
      <c r="D156" s="1">
        <f t="shared" si="90"/>
        <v>0</v>
      </c>
      <c r="E156" s="1">
        <f t="shared" si="90"/>
        <v>0</v>
      </c>
      <c r="F156" s="1">
        <f t="shared" si="90"/>
        <v>0</v>
      </c>
      <c r="G156" s="1" t="str">
        <f t="shared" si="90"/>
        <v/>
      </c>
      <c r="H156" s="1" t="str">
        <f t="shared" si="90"/>
        <v xml:space="preserve">2572  </v>
      </c>
      <c r="I156" s="137" t="e">
        <f t="shared" si="90"/>
        <v>#N/A</v>
      </c>
      <c r="J156" s="3" t="e">
        <f t="shared" si="90"/>
        <v>#N/A</v>
      </c>
      <c r="K156" s="1">
        <f t="shared" si="90"/>
        <v>0</v>
      </c>
      <c r="L156" s="1" t="str">
        <f>IFERROR(VLOOKUP(L76,'CODIGOS D'!$A$2:$S$451,13,FALSE),"")</f>
        <v/>
      </c>
      <c r="M156" s="1" t="str">
        <f>IFERROR(VLOOKUP(M76,'CODIGOS D'!$A$2:$S$451,13,FALSE),"")</f>
        <v/>
      </c>
      <c r="N156" s="1" t="str">
        <f>IFERROR(VLOOKUP(N76,'CODIGOS D'!$A$2:$S$451,13,FALSE),"")</f>
        <v/>
      </c>
      <c r="O156" s="1" t="str">
        <f>IFERROR(VLOOKUP(O76,'CODIGOS D'!$A$2:$S$451,13,FALSE),"")</f>
        <v/>
      </c>
      <c r="P156" s="1" t="str">
        <f>IFERROR(VLOOKUP(P76,'CODIGOS D'!$A$2:$S$451,13,FALSE),"")</f>
        <v/>
      </c>
      <c r="Q156" s="1" t="str">
        <f>IFERROR(VLOOKUP(Q76,'CODIGOS D'!$A$2:$S$451,13,FALSE),"")</f>
        <v/>
      </c>
      <c r="R156" s="1" t="str">
        <f>IFERROR(VLOOKUP(R76,'CODIGOS D'!$A$2:$S$451,13,FALSE),"")</f>
        <v/>
      </c>
      <c r="S156" s="1" t="str">
        <f>IFERROR(VLOOKUP(S76,'CODIGOS D'!$A$2:$S$451,13,FALSE),"")</f>
        <v/>
      </c>
      <c r="T156" s="1" t="str">
        <f>IFERROR(VLOOKUP(T76,'CODIGOS D'!$A$2:$S$451,13,FALSE),"")</f>
        <v/>
      </c>
      <c r="U156" s="1" t="str">
        <f>IFERROR(VLOOKUP(U76,'CODIGOS D'!$A$2:$S$451,13,FALSE),"")</f>
        <v/>
      </c>
      <c r="V156" s="1" t="str">
        <f>IFERROR(VLOOKUP(V76,'CODIGOS D'!$A$2:$S$451,13,FALSE),"")</f>
        <v/>
      </c>
      <c r="W156" s="1" t="str">
        <f>IFERROR(VLOOKUP(W76,'CODIGOS D'!$A$2:$S$451,13,FALSE),"")</f>
        <v/>
      </c>
      <c r="X156" s="1" t="str">
        <f>IFERROR(VLOOKUP(X76,'CODIGOS D'!$A$2:$S$451,13,FALSE),"")</f>
        <v/>
      </c>
      <c r="Y156" s="1" t="str">
        <f>IFERROR(VLOOKUP(Y76,'CODIGOS D'!$A$2:$S$451,13,FALSE),"")</f>
        <v/>
      </c>
      <c r="Z156" s="1" t="str">
        <f>IFERROR(VLOOKUP(Z76,'CODIGOS D'!$A$2:$S$451,13,FALSE),"")</f>
        <v/>
      </c>
      <c r="AA156" s="1" t="str">
        <f>IFERROR(VLOOKUP(AA76,'CODIGOS D'!$A$2:$S$451,13,FALSE),"")</f>
        <v/>
      </c>
      <c r="AB156" s="1" t="str">
        <f>IFERROR(VLOOKUP(AB76,'CODIGOS D'!$A$2:$S$451,13,FALSE),"")</f>
        <v/>
      </c>
      <c r="AC156" s="1" t="str">
        <f>IFERROR(VLOOKUP(AC76,'CODIGOS D'!$A$2:$S$451,13,FALSE),"")</f>
        <v/>
      </c>
      <c r="AD156" s="1" t="str">
        <f>IFERROR(VLOOKUP(AD76,'CODIGOS D'!$A$2:$S$451,13,FALSE),"")</f>
        <v/>
      </c>
      <c r="AE156" s="1" t="str">
        <f>IFERROR(VLOOKUP(AE76,'CODIGOS D'!$A$2:$S$451,13,FALSE),"")</f>
        <v/>
      </c>
      <c r="AF156" s="1" t="str">
        <f>IFERROR(VLOOKUP(AF76,'CODIGOS D'!$A$2:$S$451,13,FALSE),"")</f>
        <v/>
      </c>
      <c r="AG156" s="1" t="str">
        <f>IFERROR(VLOOKUP(AG76,'CODIGOS D'!$A$2:$S$451,13,FALSE),"")</f>
        <v/>
      </c>
      <c r="AH156" s="1" t="str">
        <f>IFERROR(VLOOKUP(AH76,'CODIGOS D'!$A$2:$S$451,13,FALSE),"")</f>
        <v/>
      </c>
      <c r="AI156" s="89">
        <f t="shared" si="91"/>
        <v>0</v>
      </c>
    </row>
    <row r="157" spans="1:35" ht="15" hidden="1" customHeight="1" x14ac:dyDescent="0.2">
      <c r="A157" s="1">
        <f t="shared" si="90"/>
        <v>2572</v>
      </c>
      <c r="B157" s="1">
        <f t="shared" si="90"/>
        <v>0</v>
      </c>
      <c r="C157" s="1">
        <f t="shared" si="90"/>
        <v>0</v>
      </c>
      <c r="D157" s="1">
        <f t="shared" si="90"/>
        <v>0</v>
      </c>
      <c r="E157" s="1">
        <f t="shared" si="90"/>
        <v>0</v>
      </c>
      <c r="F157" s="1">
        <f t="shared" si="90"/>
        <v>0</v>
      </c>
      <c r="G157" s="1" t="str">
        <f t="shared" si="90"/>
        <v/>
      </c>
      <c r="H157" s="1" t="str">
        <f t="shared" si="90"/>
        <v xml:space="preserve">2572  </v>
      </c>
      <c r="I157" s="137" t="e">
        <f t="shared" si="90"/>
        <v>#N/A</v>
      </c>
      <c r="J157" s="3" t="e">
        <f t="shared" si="90"/>
        <v>#N/A</v>
      </c>
      <c r="K157" s="1">
        <f t="shared" si="90"/>
        <v>0</v>
      </c>
      <c r="L157" s="1" t="str">
        <f>IFERROR(VLOOKUP(L77,'CODIGOS D'!$A$2:$S$451,13,FALSE),"")</f>
        <v/>
      </c>
      <c r="M157" s="1" t="str">
        <f>IFERROR(VLOOKUP(M77,'CODIGOS D'!$A$2:$S$451,13,FALSE),"")</f>
        <v/>
      </c>
      <c r="N157" s="1" t="str">
        <f>IFERROR(VLOOKUP(N77,'CODIGOS D'!$A$2:$S$451,13,FALSE),"")</f>
        <v/>
      </c>
      <c r="O157" s="1" t="str">
        <f>IFERROR(VLOOKUP(O77,'CODIGOS D'!$A$2:$S$451,13,FALSE),"")</f>
        <v/>
      </c>
      <c r="P157" s="1" t="str">
        <f>IFERROR(VLOOKUP(P77,'CODIGOS D'!$A$2:$S$451,13,FALSE),"")</f>
        <v/>
      </c>
      <c r="Q157" s="1" t="str">
        <f>IFERROR(VLOOKUP(Q77,'CODIGOS D'!$A$2:$S$451,13,FALSE),"")</f>
        <v/>
      </c>
      <c r="R157" s="1" t="str">
        <f>IFERROR(VLOOKUP(R77,'CODIGOS D'!$A$2:$S$451,13,FALSE),"")</f>
        <v/>
      </c>
      <c r="S157" s="1" t="str">
        <f>IFERROR(VLOOKUP(S77,'CODIGOS D'!$A$2:$S$451,13,FALSE),"")</f>
        <v/>
      </c>
      <c r="T157" s="1" t="str">
        <f>IFERROR(VLOOKUP(T77,'CODIGOS D'!$A$2:$S$451,13,FALSE),"")</f>
        <v/>
      </c>
      <c r="U157" s="1" t="str">
        <f>IFERROR(VLOOKUP(U77,'CODIGOS D'!$A$2:$S$451,13,FALSE),"")</f>
        <v/>
      </c>
      <c r="V157" s="1" t="str">
        <f>IFERROR(VLOOKUP(V77,'CODIGOS D'!$A$2:$S$451,13,FALSE),"")</f>
        <v/>
      </c>
      <c r="W157" s="1" t="str">
        <f>IFERROR(VLOOKUP(W77,'CODIGOS D'!$A$2:$S$451,13,FALSE),"")</f>
        <v/>
      </c>
      <c r="X157" s="1" t="str">
        <f>IFERROR(VLOOKUP(X77,'CODIGOS D'!$A$2:$S$451,13,FALSE),"")</f>
        <v/>
      </c>
      <c r="Y157" s="1" t="str">
        <f>IFERROR(VLOOKUP(Y77,'CODIGOS D'!$A$2:$S$451,13,FALSE),"")</f>
        <v/>
      </c>
      <c r="Z157" s="1" t="str">
        <f>IFERROR(VLOOKUP(Z77,'CODIGOS D'!$A$2:$S$451,13,FALSE),"")</f>
        <v/>
      </c>
      <c r="AA157" s="1" t="str">
        <f>IFERROR(VLOOKUP(AA77,'CODIGOS D'!$A$2:$S$451,13,FALSE),"")</f>
        <v/>
      </c>
      <c r="AB157" s="1" t="str">
        <f>IFERROR(VLOOKUP(AB77,'CODIGOS D'!$A$2:$S$451,13,FALSE),"")</f>
        <v/>
      </c>
      <c r="AC157" s="1" t="str">
        <f>IFERROR(VLOOKUP(AC77,'CODIGOS D'!$A$2:$S$451,13,FALSE),"")</f>
        <v/>
      </c>
      <c r="AD157" s="1" t="str">
        <f>IFERROR(VLOOKUP(AD77,'CODIGOS D'!$A$2:$S$451,13,FALSE),"")</f>
        <v/>
      </c>
      <c r="AE157" s="1" t="str">
        <f>IFERROR(VLOOKUP(AE77,'CODIGOS D'!$A$2:$S$451,13,FALSE),"")</f>
        <v/>
      </c>
      <c r="AF157" s="1" t="str">
        <f>IFERROR(VLOOKUP(AF77,'CODIGOS D'!$A$2:$S$451,13,FALSE),"")</f>
        <v/>
      </c>
      <c r="AG157" s="1" t="str">
        <f>IFERROR(VLOOKUP(AG77,'CODIGOS D'!$A$2:$S$451,13,FALSE),"")</f>
        <v/>
      </c>
      <c r="AH157" s="1" t="str">
        <f>IFERROR(VLOOKUP(AH77,'CODIGOS D'!$A$2:$S$451,13,FALSE),"")</f>
        <v/>
      </c>
      <c r="AI157" s="89">
        <f t="shared" si="91"/>
        <v>0</v>
      </c>
    </row>
    <row r="158" spans="1:35" ht="15" hidden="1" customHeight="1" x14ac:dyDescent="0.2">
      <c r="A158" s="1">
        <f t="shared" si="90"/>
        <v>2572</v>
      </c>
      <c r="B158" s="1">
        <f t="shared" si="90"/>
        <v>0</v>
      </c>
      <c r="C158" s="1">
        <f t="shared" si="90"/>
        <v>0</v>
      </c>
      <c r="D158" s="1">
        <f t="shared" si="90"/>
        <v>0</v>
      </c>
      <c r="E158" s="1">
        <f t="shared" si="90"/>
        <v>0</v>
      </c>
      <c r="F158" s="1">
        <f t="shared" si="90"/>
        <v>0</v>
      </c>
      <c r="G158" s="1" t="str">
        <f t="shared" si="90"/>
        <v/>
      </c>
      <c r="H158" s="1" t="str">
        <f t="shared" si="90"/>
        <v xml:space="preserve">2572  </v>
      </c>
      <c r="I158" s="137" t="e">
        <f t="shared" si="90"/>
        <v>#N/A</v>
      </c>
      <c r="J158" s="3" t="e">
        <f t="shared" si="90"/>
        <v>#N/A</v>
      </c>
      <c r="K158" s="1">
        <f t="shared" si="90"/>
        <v>0</v>
      </c>
      <c r="L158" s="1" t="str">
        <f>IFERROR(VLOOKUP(L78,'CODIGOS D'!$A$2:$S$451,13,FALSE),"")</f>
        <v/>
      </c>
      <c r="M158" s="1" t="str">
        <f>IFERROR(VLOOKUP(M78,'CODIGOS D'!$A$2:$S$451,13,FALSE),"")</f>
        <v/>
      </c>
      <c r="N158" s="1" t="str">
        <f>IFERROR(VLOOKUP(N78,'CODIGOS D'!$A$2:$S$451,13,FALSE),"")</f>
        <v/>
      </c>
      <c r="O158" s="1" t="str">
        <f>IFERROR(VLOOKUP(O78,'CODIGOS D'!$A$2:$S$451,13,FALSE),"")</f>
        <v/>
      </c>
      <c r="P158" s="1" t="str">
        <f>IFERROR(VLOOKUP(P78,'CODIGOS D'!$A$2:$S$451,13,FALSE),"")</f>
        <v/>
      </c>
      <c r="Q158" s="1" t="str">
        <f>IFERROR(VLOOKUP(Q78,'CODIGOS D'!$A$2:$S$451,13,FALSE),"")</f>
        <v/>
      </c>
      <c r="R158" s="1" t="str">
        <f>IFERROR(VLOOKUP(R78,'CODIGOS D'!$A$2:$S$451,13,FALSE),"")</f>
        <v/>
      </c>
      <c r="S158" s="1" t="str">
        <f>IFERROR(VLOOKUP(S78,'CODIGOS D'!$A$2:$S$451,13,FALSE),"")</f>
        <v/>
      </c>
      <c r="T158" s="1" t="str">
        <f>IFERROR(VLOOKUP(T78,'CODIGOS D'!$A$2:$S$451,13,FALSE),"")</f>
        <v/>
      </c>
      <c r="U158" s="1" t="str">
        <f>IFERROR(VLOOKUP(U78,'CODIGOS D'!$A$2:$S$451,13,FALSE),"")</f>
        <v/>
      </c>
      <c r="V158" s="1" t="str">
        <f>IFERROR(VLOOKUP(V78,'CODIGOS D'!$A$2:$S$451,13,FALSE),"")</f>
        <v/>
      </c>
      <c r="W158" s="1" t="str">
        <f>IFERROR(VLOOKUP(W78,'CODIGOS D'!$A$2:$S$451,13,FALSE),"")</f>
        <v/>
      </c>
      <c r="X158" s="1" t="str">
        <f>IFERROR(VLOOKUP(X78,'CODIGOS D'!$A$2:$S$451,13,FALSE),"")</f>
        <v/>
      </c>
      <c r="Y158" s="1" t="str">
        <f>IFERROR(VLOOKUP(Y78,'CODIGOS D'!$A$2:$S$451,13,FALSE),"")</f>
        <v/>
      </c>
      <c r="Z158" s="1" t="str">
        <f>IFERROR(VLOOKUP(Z78,'CODIGOS D'!$A$2:$S$451,13,FALSE),"")</f>
        <v/>
      </c>
      <c r="AA158" s="1" t="str">
        <f>IFERROR(VLOOKUP(AA78,'CODIGOS D'!$A$2:$S$451,13,FALSE),"")</f>
        <v/>
      </c>
      <c r="AB158" s="1" t="str">
        <f>IFERROR(VLOOKUP(AB78,'CODIGOS D'!$A$2:$S$451,13,FALSE),"")</f>
        <v/>
      </c>
      <c r="AC158" s="1" t="str">
        <f>IFERROR(VLOOKUP(AC78,'CODIGOS D'!$A$2:$S$451,13,FALSE),"")</f>
        <v/>
      </c>
      <c r="AD158" s="1" t="str">
        <f>IFERROR(VLOOKUP(AD78,'CODIGOS D'!$A$2:$S$451,13,FALSE),"")</f>
        <v/>
      </c>
      <c r="AE158" s="1" t="str">
        <f>IFERROR(VLOOKUP(AE78,'CODIGOS D'!$A$2:$S$451,13,FALSE),"")</f>
        <v/>
      </c>
      <c r="AF158" s="1" t="str">
        <f>IFERROR(VLOOKUP(AF78,'CODIGOS D'!$A$2:$S$451,13,FALSE),"")</f>
        <v/>
      </c>
      <c r="AG158" s="1" t="str">
        <f>IFERROR(VLOOKUP(AG78,'CODIGOS D'!$A$2:$S$451,13,FALSE),"")</f>
        <v/>
      </c>
      <c r="AH158" s="1" t="str">
        <f>IFERROR(VLOOKUP(AH78,'CODIGOS D'!$A$2:$S$451,13,FALSE),"")</f>
        <v/>
      </c>
      <c r="AI158" s="89">
        <f t="shared" si="91"/>
        <v>0</v>
      </c>
    </row>
    <row r="159" spans="1:35" ht="15" hidden="1" customHeight="1" x14ac:dyDescent="0.2">
      <c r="A159" s="1">
        <f t="shared" si="90"/>
        <v>2572</v>
      </c>
      <c r="B159" s="1">
        <f t="shared" si="90"/>
        <v>0</v>
      </c>
      <c r="C159" s="1">
        <f t="shared" si="90"/>
        <v>0</v>
      </c>
      <c r="D159" s="1">
        <f t="shared" si="90"/>
        <v>0</v>
      </c>
      <c r="E159" s="1">
        <f t="shared" si="90"/>
        <v>0</v>
      </c>
      <c r="F159" s="1">
        <f t="shared" si="90"/>
        <v>0</v>
      </c>
      <c r="G159" s="1" t="str">
        <f t="shared" si="90"/>
        <v/>
      </c>
      <c r="H159" s="1" t="str">
        <f t="shared" si="90"/>
        <v xml:space="preserve">2572  </v>
      </c>
      <c r="I159" s="137" t="e">
        <f t="shared" si="90"/>
        <v>#N/A</v>
      </c>
      <c r="J159" s="3" t="e">
        <f t="shared" si="90"/>
        <v>#N/A</v>
      </c>
      <c r="K159" s="1">
        <f t="shared" si="90"/>
        <v>0</v>
      </c>
      <c r="L159" s="1" t="str">
        <f>IFERROR(VLOOKUP(L79,'CODIGOS D'!$A$2:$S$451,13,FALSE),"")</f>
        <v/>
      </c>
      <c r="M159" s="1" t="str">
        <f>IFERROR(VLOOKUP(M79,'CODIGOS D'!$A$2:$S$451,13,FALSE),"")</f>
        <v/>
      </c>
      <c r="N159" s="1" t="str">
        <f>IFERROR(VLOOKUP(N79,'CODIGOS D'!$A$2:$S$451,13,FALSE),"")</f>
        <v/>
      </c>
      <c r="O159" s="1" t="str">
        <f>IFERROR(VLOOKUP(O79,'CODIGOS D'!$A$2:$S$451,13,FALSE),"")</f>
        <v/>
      </c>
      <c r="P159" s="1" t="str">
        <f>IFERROR(VLOOKUP(P79,'CODIGOS D'!$A$2:$S$451,13,FALSE),"")</f>
        <v/>
      </c>
      <c r="Q159" s="1" t="str">
        <f>IFERROR(VLOOKUP(Q79,'CODIGOS D'!$A$2:$S$451,13,FALSE),"")</f>
        <v/>
      </c>
      <c r="R159" s="1" t="str">
        <f>IFERROR(VLOOKUP(R79,'CODIGOS D'!$A$2:$S$451,13,FALSE),"")</f>
        <v/>
      </c>
      <c r="S159" s="1" t="str">
        <f>IFERROR(VLOOKUP(S79,'CODIGOS D'!$A$2:$S$451,13,FALSE),"")</f>
        <v/>
      </c>
      <c r="T159" s="1" t="str">
        <f>IFERROR(VLOOKUP(T79,'CODIGOS D'!$A$2:$S$451,13,FALSE),"")</f>
        <v/>
      </c>
      <c r="U159" s="1" t="str">
        <f>IFERROR(VLOOKUP(U79,'CODIGOS D'!$A$2:$S$451,13,FALSE),"")</f>
        <v/>
      </c>
      <c r="V159" s="1" t="str">
        <f>IFERROR(VLOOKUP(V79,'CODIGOS D'!$A$2:$S$451,13,FALSE),"")</f>
        <v/>
      </c>
      <c r="W159" s="1" t="str">
        <f>IFERROR(VLOOKUP(W79,'CODIGOS D'!$A$2:$S$451,13,FALSE),"")</f>
        <v/>
      </c>
      <c r="X159" s="1" t="str">
        <f>IFERROR(VLOOKUP(X79,'CODIGOS D'!$A$2:$S$451,13,FALSE),"")</f>
        <v/>
      </c>
      <c r="Y159" s="1" t="str">
        <f>IFERROR(VLOOKUP(Y79,'CODIGOS D'!$A$2:$S$451,13,FALSE),"")</f>
        <v/>
      </c>
      <c r="Z159" s="1" t="str">
        <f>IFERROR(VLOOKUP(Z79,'CODIGOS D'!$A$2:$S$451,13,FALSE),"")</f>
        <v/>
      </c>
      <c r="AA159" s="1" t="str">
        <f>IFERROR(VLOOKUP(AA79,'CODIGOS D'!$A$2:$S$451,13,FALSE),"")</f>
        <v/>
      </c>
      <c r="AB159" s="1" t="str">
        <f>IFERROR(VLOOKUP(AB79,'CODIGOS D'!$A$2:$S$451,13,FALSE),"")</f>
        <v/>
      </c>
      <c r="AC159" s="1" t="str">
        <f>IFERROR(VLOOKUP(AC79,'CODIGOS D'!$A$2:$S$451,13,FALSE),"")</f>
        <v/>
      </c>
      <c r="AD159" s="1" t="str">
        <f>IFERROR(VLOOKUP(AD79,'CODIGOS D'!$A$2:$S$451,13,FALSE),"")</f>
        <v/>
      </c>
      <c r="AE159" s="1" t="str">
        <f>IFERROR(VLOOKUP(AE79,'CODIGOS D'!$A$2:$S$451,13,FALSE),"")</f>
        <v/>
      </c>
      <c r="AF159" s="1" t="str">
        <f>IFERROR(VLOOKUP(AF79,'CODIGOS D'!$A$2:$S$451,13,FALSE),"")</f>
        <v/>
      </c>
      <c r="AG159" s="1" t="str">
        <f>IFERROR(VLOOKUP(AG79,'CODIGOS D'!$A$2:$S$451,13,FALSE),"")</f>
        <v/>
      </c>
      <c r="AH159" s="1" t="str">
        <f>IFERROR(VLOOKUP(AH79,'CODIGOS D'!$A$2:$S$451,13,FALSE),"")</f>
        <v/>
      </c>
      <c r="AI159" s="89">
        <f t="shared" si="91"/>
        <v>0</v>
      </c>
    </row>
    <row r="160" spans="1:35" ht="15" hidden="1" customHeight="1" x14ac:dyDescent="0.2">
      <c r="A160" s="1">
        <f t="shared" si="90"/>
        <v>2572</v>
      </c>
      <c r="B160" s="1">
        <f t="shared" si="90"/>
        <v>0</v>
      </c>
      <c r="C160" s="1">
        <f t="shared" si="90"/>
        <v>0</v>
      </c>
      <c r="D160" s="1">
        <f t="shared" si="90"/>
        <v>0</v>
      </c>
      <c r="E160" s="1">
        <f t="shared" si="90"/>
        <v>0</v>
      </c>
      <c r="F160" s="1">
        <f t="shared" si="90"/>
        <v>0</v>
      </c>
      <c r="G160" s="1" t="str">
        <f t="shared" si="90"/>
        <v/>
      </c>
      <c r="H160" s="1" t="str">
        <f t="shared" si="90"/>
        <v xml:space="preserve">2572  </v>
      </c>
      <c r="I160" s="137" t="e">
        <f t="shared" si="90"/>
        <v>#N/A</v>
      </c>
      <c r="J160" s="3" t="e">
        <f t="shared" si="90"/>
        <v>#N/A</v>
      </c>
      <c r="K160" s="1">
        <f t="shared" si="90"/>
        <v>0</v>
      </c>
      <c r="L160" s="1" t="str">
        <f>IFERROR(VLOOKUP(L80,'CODIGOS D'!$A$2:$S$451,13,FALSE),"")</f>
        <v/>
      </c>
      <c r="M160" s="1" t="str">
        <f>IFERROR(VLOOKUP(M80,'CODIGOS D'!$A$2:$S$451,13,FALSE),"")</f>
        <v/>
      </c>
      <c r="N160" s="1" t="str">
        <f>IFERROR(VLOOKUP(N80,'CODIGOS D'!$A$2:$S$451,13,FALSE),"")</f>
        <v/>
      </c>
      <c r="O160" s="1" t="str">
        <f>IFERROR(VLOOKUP(O80,'CODIGOS D'!$A$2:$S$451,13,FALSE),"")</f>
        <v/>
      </c>
      <c r="P160" s="1" t="str">
        <f>IFERROR(VLOOKUP(P80,'CODIGOS D'!$A$2:$S$451,13,FALSE),"")</f>
        <v/>
      </c>
      <c r="Q160" s="1" t="str">
        <f>IFERROR(VLOOKUP(Q80,'CODIGOS D'!$A$2:$S$451,13,FALSE),"")</f>
        <v/>
      </c>
      <c r="R160" s="1" t="str">
        <f>IFERROR(VLOOKUP(R80,'CODIGOS D'!$A$2:$S$451,13,FALSE),"")</f>
        <v/>
      </c>
      <c r="S160" s="1" t="str">
        <f>IFERROR(VLOOKUP(S80,'CODIGOS D'!$A$2:$S$451,13,FALSE),"")</f>
        <v/>
      </c>
      <c r="T160" s="1" t="str">
        <f>IFERROR(VLOOKUP(T80,'CODIGOS D'!$A$2:$S$451,13,FALSE),"")</f>
        <v/>
      </c>
      <c r="U160" s="1" t="str">
        <f>IFERROR(VLOOKUP(U80,'CODIGOS D'!$A$2:$S$451,13,FALSE),"")</f>
        <v/>
      </c>
      <c r="V160" s="1" t="str">
        <f>IFERROR(VLOOKUP(V80,'CODIGOS D'!$A$2:$S$451,13,FALSE),"")</f>
        <v/>
      </c>
      <c r="W160" s="1" t="str">
        <f>IFERROR(VLOOKUP(W80,'CODIGOS D'!$A$2:$S$451,13,FALSE),"")</f>
        <v/>
      </c>
      <c r="X160" s="1" t="str">
        <f>IFERROR(VLOOKUP(X80,'CODIGOS D'!$A$2:$S$451,13,FALSE),"")</f>
        <v/>
      </c>
      <c r="Y160" s="1" t="str">
        <f>IFERROR(VLOOKUP(Y80,'CODIGOS D'!$A$2:$S$451,13,FALSE),"")</f>
        <v/>
      </c>
      <c r="Z160" s="1" t="str">
        <f>IFERROR(VLOOKUP(Z80,'CODIGOS D'!$A$2:$S$451,13,FALSE),"")</f>
        <v/>
      </c>
      <c r="AA160" s="1" t="str">
        <f>IFERROR(VLOOKUP(AA80,'CODIGOS D'!$A$2:$S$451,13,FALSE),"")</f>
        <v/>
      </c>
      <c r="AB160" s="1" t="str">
        <f>IFERROR(VLOOKUP(AB80,'CODIGOS D'!$A$2:$S$451,13,FALSE),"")</f>
        <v/>
      </c>
      <c r="AC160" s="1" t="str">
        <f>IFERROR(VLOOKUP(AC80,'CODIGOS D'!$A$2:$S$451,13,FALSE),"")</f>
        <v/>
      </c>
      <c r="AD160" s="1" t="str">
        <f>IFERROR(VLOOKUP(AD80,'CODIGOS D'!$A$2:$S$451,13,FALSE),"")</f>
        <v/>
      </c>
      <c r="AE160" s="1" t="str">
        <f>IFERROR(VLOOKUP(AE80,'CODIGOS D'!$A$2:$S$451,13,FALSE),"")</f>
        <v/>
      </c>
      <c r="AF160" s="1" t="str">
        <f>IFERROR(VLOOKUP(AF80,'CODIGOS D'!$A$2:$S$451,13,FALSE),"")</f>
        <v/>
      </c>
      <c r="AG160" s="1" t="str">
        <f>IFERROR(VLOOKUP(AG80,'CODIGOS D'!$A$2:$S$451,13,FALSE),"")</f>
        <v/>
      </c>
      <c r="AH160" s="1" t="str">
        <f>IFERROR(VLOOKUP(AH80,'CODIGOS D'!$A$2:$S$451,13,FALSE),"")</f>
        <v/>
      </c>
      <c r="AI160" s="89">
        <f t="shared" si="91"/>
        <v>0</v>
      </c>
    </row>
    <row r="161" spans="1:35" s="32" customFormat="1" ht="15" customHeight="1" x14ac:dyDescent="0.2">
      <c r="A161" s="135" t="str">
        <f t="shared" si="90"/>
        <v>FIN</v>
      </c>
      <c r="B161" s="135" t="str">
        <f t="shared" si="90"/>
        <v>FIN</v>
      </c>
      <c r="C161" s="135" t="str">
        <f t="shared" si="90"/>
        <v>FIN</v>
      </c>
      <c r="D161" s="135" t="str">
        <f t="shared" si="90"/>
        <v>FIN</v>
      </c>
      <c r="E161" s="135" t="str">
        <f t="shared" si="90"/>
        <v>FIN</v>
      </c>
      <c r="F161" s="135" t="str">
        <f t="shared" si="90"/>
        <v>FIN</v>
      </c>
      <c r="G161" s="135" t="str">
        <f t="shared" si="90"/>
        <v>FIN</v>
      </c>
      <c r="H161" s="135" t="str">
        <f t="shared" si="90"/>
        <v>FIN</v>
      </c>
      <c r="I161" s="135" t="str">
        <f t="shared" si="90"/>
        <v>FIN</v>
      </c>
      <c r="J161" s="135" t="str">
        <f t="shared" si="90"/>
        <v>FIN</v>
      </c>
      <c r="K161" s="135" t="str">
        <f t="shared" si="90"/>
        <v>FIN</v>
      </c>
      <c r="L161" s="135" t="str">
        <f t="shared" ref="L161:AI161" si="92">L81</f>
        <v>FIN</v>
      </c>
      <c r="M161" s="135" t="str">
        <f t="shared" si="92"/>
        <v>FIN</v>
      </c>
      <c r="N161" s="135" t="str">
        <f t="shared" si="92"/>
        <v>FIN</v>
      </c>
      <c r="O161" s="135" t="str">
        <f t="shared" si="92"/>
        <v>FIN</v>
      </c>
      <c r="P161" s="135" t="str">
        <f t="shared" si="92"/>
        <v>FIN</v>
      </c>
      <c r="Q161" s="135" t="str">
        <f t="shared" si="92"/>
        <v>FIN</v>
      </c>
      <c r="R161" s="135" t="str">
        <f t="shared" si="92"/>
        <v>FIN</v>
      </c>
      <c r="S161" s="135" t="str">
        <f t="shared" si="92"/>
        <v>FIN</v>
      </c>
      <c r="T161" s="135" t="str">
        <f t="shared" si="92"/>
        <v>FIN</v>
      </c>
      <c r="U161" s="135" t="str">
        <f t="shared" si="92"/>
        <v>FIN</v>
      </c>
      <c r="V161" s="135" t="str">
        <f t="shared" si="92"/>
        <v>FIN</v>
      </c>
      <c r="W161" s="135" t="str">
        <f t="shared" si="92"/>
        <v>FIN</v>
      </c>
      <c r="X161" s="135" t="str">
        <f t="shared" si="92"/>
        <v>FIN</v>
      </c>
      <c r="Y161" s="135" t="str">
        <f t="shared" si="92"/>
        <v>FIN</v>
      </c>
      <c r="Z161" s="135" t="str">
        <f t="shared" si="92"/>
        <v>FIN</v>
      </c>
      <c r="AA161" s="135" t="str">
        <f t="shared" si="92"/>
        <v>FIN</v>
      </c>
      <c r="AB161" s="135" t="str">
        <f t="shared" si="92"/>
        <v>FIN</v>
      </c>
      <c r="AC161" s="135" t="str">
        <f t="shared" si="92"/>
        <v>FIN</v>
      </c>
      <c r="AD161" s="135" t="str">
        <f t="shared" si="92"/>
        <v>FIN</v>
      </c>
      <c r="AE161" s="135" t="str">
        <f t="shared" si="92"/>
        <v>FIN</v>
      </c>
      <c r="AF161" s="135" t="str">
        <f t="shared" si="92"/>
        <v>FIN</v>
      </c>
      <c r="AG161" s="135" t="str">
        <f t="shared" si="92"/>
        <v>FIN</v>
      </c>
      <c r="AH161" s="135" t="str">
        <f t="shared" si="92"/>
        <v>FIN</v>
      </c>
      <c r="AI161" s="185" t="str">
        <f t="shared" si="92"/>
        <v>FIN</v>
      </c>
    </row>
  </sheetData>
  <autoFilter ref="A2:AI161" xr:uid="{103B3BCE-150E-440B-B6AA-601224623EE2}">
    <filterColumn colId="34">
      <filters>
        <filter val="0,6"/>
        <filter val="0,7"/>
        <filter val="1,1"/>
        <filter val="1,7"/>
        <filter val="15,0"/>
        <filter val="15,5"/>
        <filter val="2,2"/>
        <filter val="4,2"/>
        <filter val="FIN"/>
      </filters>
    </filterColumn>
  </autoFilter>
  <phoneticPr fontId="17" type="noConversion"/>
  <pageMargins left="0.48" right="0" top="0.35433070866141736" bottom="0.35433070866141736" header="0.31496062992125984" footer="0.31496062992125984"/>
  <pageSetup paperSize="9" scale="2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50"/>
  </sheetPr>
  <dimension ref="A1:L472"/>
  <sheetViews>
    <sheetView zoomScaleNormal="100" workbookViewId="0">
      <pane xSplit="4" ySplit="2" topLeftCell="E27" activePane="bottomRight" state="frozen"/>
      <selection activeCell="A58" sqref="A58:XFD58"/>
      <selection pane="topRight" activeCell="A58" sqref="A58:XFD58"/>
      <selection pane="bottomLeft" activeCell="A58" sqref="A58:XFD58"/>
      <selection pane="bottomRight" activeCell="F87" sqref="F87"/>
    </sheetView>
  </sheetViews>
  <sheetFormatPr baseColWidth="10" defaultRowHeight="12.75" x14ac:dyDescent="0.2"/>
  <cols>
    <col min="1" max="1" width="25.28515625" customWidth="1"/>
    <col min="2" max="2" width="4.140625" customWidth="1"/>
    <col min="3" max="3" width="8.7109375" customWidth="1"/>
    <col min="5" max="7" width="8.7109375" customWidth="1"/>
    <col min="8" max="8" width="8.140625" customWidth="1"/>
    <col min="9" max="10" width="10.7109375" customWidth="1"/>
    <col min="11" max="11" width="6.28515625" customWidth="1"/>
    <col min="12" max="12" width="12.42578125" customWidth="1"/>
  </cols>
  <sheetData>
    <row r="1" spans="1:12" ht="29.25" customHeight="1" thickBot="1" x14ac:dyDescent="0.3">
      <c r="A1" s="325" t="str">
        <f>CONCATENATE(('PROGRAMA DRENCH PASO 1'!C1)," ",('PROGRAMA DRENCH PASO 1'!J1))</f>
        <v>PROGRAMACION PARA DRENCH 2619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7"/>
    </row>
    <row r="2" spans="1:12" s="17" customFormat="1" ht="38.25" x14ac:dyDescent="0.2">
      <c r="A2" s="18" t="s">
        <v>20</v>
      </c>
      <c r="B2" s="61" t="s">
        <v>1111</v>
      </c>
      <c r="C2" s="18" t="s">
        <v>0</v>
      </c>
      <c r="D2" s="18" t="s">
        <v>9</v>
      </c>
      <c r="E2" s="20" t="s">
        <v>21</v>
      </c>
      <c r="F2" s="21" t="s">
        <v>305</v>
      </c>
      <c r="G2" s="20" t="s">
        <v>22</v>
      </c>
      <c r="H2" s="22" t="s">
        <v>1</v>
      </c>
      <c r="I2" s="21" t="s">
        <v>306</v>
      </c>
      <c r="J2" s="21" t="s">
        <v>307</v>
      </c>
      <c r="K2" s="23" t="s">
        <v>23</v>
      </c>
      <c r="L2" s="19" t="s">
        <v>290</v>
      </c>
    </row>
    <row r="3" spans="1:12" hidden="1" x14ac:dyDescent="0.2">
      <c r="A3" s="295" t="str">
        <f>'PROGRAMA DRENCH PASO 1'!L3</f>
        <v>Flutrialaq</v>
      </c>
      <c r="B3" s="1"/>
      <c r="C3" s="1" t="str">
        <f>IFERROR((VLOOKUP($A3,'[2]CODIGOS D'!$A$3:$S$451,2,FALSE)),"0")</f>
        <v>0</v>
      </c>
      <c r="D3" s="298">
        <f>+'PROGRAMA DRENCH PASO 1'!M3</f>
        <v>108</v>
      </c>
      <c r="E3" s="1"/>
      <c r="F3" s="1"/>
      <c r="G3" s="1"/>
      <c r="H3" s="4">
        <f>'PROGRAMA DRENCH PASO 1'!B3</f>
        <v>27</v>
      </c>
      <c r="I3" s="1"/>
      <c r="J3" s="1"/>
      <c r="K3" s="11" t="str">
        <f>VLOOKUP(H3,'Inf Bloques'!$A$1:$J$453,10,FALSE)</f>
        <v>CV</v>
      </c>
      <c r="L3" s="13"/>
    </row>
    <row r="4" spans="1:12" hidden="1" x14ac:dyDescent="0.2">
      <c r="A4" s="295" t="str">
        <f>+'PROGRAMA DRENCH PASO 1'!P3</f>
        <v>Agral</v>
      </c>
      <c r="B4" s="1"/>
      <c r="C4" s="1" t="str">
        <f>IFERROR((VLOOKUP($A4,'[2]CODIGOS D'!$A$3:$S$451,2,FALSE)),"0")</f>
        <v>PJ010</v>
      </c>
      <c r="D4" s="299">
        <f>+'PROGRAMA DRENCH PASO 1'!Q3</f>
        <v>54</v>
      </c>
      <c r="E4" s="1"/>
      <c r="F4" s="1"/>
      <c r="G4" s="1"/>
      <c r="H4" s="5">
        <f>+H3</f>
        <v>27</v>
      </c>
      <c r="I4" s="1"/>
      <c r="J4" s="1"/>
      <c r="K4" s="11" t="str">
        <f>VLOOKUP(H4,'Inf Bloques'!$A$1:$J$453,10,FALSE)</f>
        <v>CV</v>
      </c>
      <c r="L4" s="13"/>
    </row>
    <row r="5" spans="1:12" hidden="1" x14ac:dyDescent="0.2">
      <c r="A5" s="295">
        <f>+'PROGRAMA DRENCH PASO 1'!T3</f>
        <v>0</v>
      </c>
      <c r="B5" s="1"/>
      <c r="C5" s="1" t="str">
        <f>IFERROR((VLOOKUP($A5,'[2]CODIGOS D'!$A$3:$S$451,2,FALSE)),"0")</f>
        <v>0</v>
      </c>
      <c r="D5" s="299">
        <f>+'PROGRAMA DRENCH PASO 1'!U3</f>
        <v>0</v>
      </c>
      <c r="E5" s="1"/>
      <c r="F5" s="1"/>
      <c r="G5" s="1"/>
      <c r="H5" s="5">
        <f t="shared" ref="H5:H8" si="0">+H4</f>
        <v>27</v>
      </c>
      <c r="I5" s="1"/>
      <c r="J5" s="1"/>
      <c r="K5" s="11" t="str">
        <f>VLOOKUP(H5,'Inf Bloques'!$A$1:$J$453,10,FALSE)</f>
        <v>CV</v>
      </c>
      <c r="L5" s="13"/>
    </row>
    <row r="6" spans="1:12" hidden="1" x14ac:dyDescent="0.2">
      <c r="A6" s="295">
        <f>+'PROGRAMA DRENCH PASO 1'!X3</f>
        <v>0</v>
      </c>
      <c r="B6" s="1"/>
      <c r="C6" s="1" t="str">
        <f>IFERROR((VLOOKUP($A6,'[2]CODIGOS D'!$A$3:$S$451,2,FALSE)),"0")</f>
        <v>0</v>
      </c>
      <c r="D6" s="299">
        <f>+'PROGRAMA DRENCH PASO 1'!Y3</f>
        <v>0</v>
      </c>
      <c r="E6" s="1"/>
      <c r="F6" s="1"/>
      <c r="G6" s="1"/>
      <c r="H6" s="5">
        <f t="shared" si="0"/>
        <v>27</v>
      </c>
      <c r="I6" s="1"/>
      <c r="J6" s="1"/>
      <c r="K6" s="11" t="str">
        <f>VLOOKUP(H6,'Inf Bloques'!$A$1:$J$453,10,FALSE)</f>
        <v>CV</v>
      </c>
      <c r="L6" s="13"/>
    </row>
    <row r="7" spans="1:12" hidden="1" x14ac:dyDescent="0.2">
      <c r="A7" s="296">
        <f>+'PROGRAMA DRENCH PASO 1'!AB3</f>
        <v>0</v>
      </c>
      <c r="B7" s="1"/>
      <c r="C7" s="1" t="str">
        <f>IFERROR((VLOOKUP($A7,'[2]CODIGOS D'!$A$3:$S$451,2,FALSE)),"0")</f>
        <v>0</v>
      </c>
      <c r="D7" s="299">
        <f>+'PROGRAMA DRENCH PASO 1'!AC3</f>
        <v>0</v>
      </c>
      <c r="E7" s="1"/>
      <c r="F7" s="1"/>
      <c r="G7" s="1"/>
      <c r="H7" s="5">
        <f t="shared" si="0"/>
        <v>27</v>
      </c>
      <c r="I7" s="1"/>
      <c r="J7" s="1"/>
      <c r="K7" s="11" t="str">
        <f>VLOOKUP(H7,'Inf Bloques'!$A$1:$J$453,10,FALSE)</f>
        <v>CV</v>
      </c>
      <c r="L7" s="13"/>
    </row>
    <row r="8" spans="1:12" hidden="1" x14ac:dyDescent="0.2">
      <c r="A8" s="296">
        <f>+'PROGRAMA DRENCH PASO 1'!AF3</f>
        <v>0</v>
      </c>
      <c r="B8" s="1"/>
      <c r="C8" s="1" t="str">
        <f>IFERROR((VLOOKUP($A8,'[2]CODIGOS D'!$A$3:$S$451,2,FALSE)),"0")</f>
        <v>0</v>
      </c>
      <c r="D8" s="299">
        <f>+'PROGRAMA DRENCH PASO 1'!AG3</f>
        <v>0</v>
      </c>
      <c r="E8" s="1"/>
      <c r="F8" s="1"/>
      <c r="G8" s="1"/>
      <c r="H8" s="5">
        <f t="shared" si="0"/>
        <v>27</v>
      </c>
      <c r="I8" s="1"/>
      <c r="J8" s="1"/>
      <c r="K8" s="11" t="str">
        <f>VLOOKUP(H8,'Inf Bloques'!$A$1:$J$453,10,FALSE)</f>
        <v>CV</v>
      </c>
      <c r="L8" s="13"/>
    </row>
    <row r="9" spans="1:12" hidden="1" x14ac:dyDescent="0.2">
      <c r="A9" s="295" t="str">
        <f>+'PROGRAMA DRENCH PASO 1'!L4</f>
        <v>ALCAPLANT</v>
      </c>
      <c r="B9" s="1"/>
      <c r="C9" s="1" t="str">
        <f>IFERROR((VLOOKUP($A9,'[2]CODIGOS D'!$A$3:$S$451,2,FALSE)),"0")</f>
        <v>FA053</v>
      </c>
      <c r="D9" s="298">
        <f>+'PROGRAMA DRENCH PASO 1'!M4</f>
        <v>1826.0000000000002</v>
      </c>
      <c r="E9" s="1"/>
      <c r="F9" s="1"/>
      <c r="G9" s="1"/>
      <c r="H9" s="4">
        <f>'PROGRAMA DRENCH PASO 1'!B4</f>
        <v>5</v>
      </c>
      <c r="I9" s="1"/>
      <c r="J9" s="1"/>
      <c r="K9" s="11" t="str">
        <f>VLOOKUP(H9,'Inf Bloques'!$A$1:$J$453,10,FALSE)</f>
        <v>CV</v>
      </c>
      <c r="L9" s="13"/>
    </row>
    <row r="10" spans="1:12" hidden="1" x14ac:dyDescent="0.2">
      <c r="A10" s="295">
        <f>+'PROGRAMA DRENCH PASO 1'!P4</f>
        <v>0</v>
      </c>
      <c r="B10" s="1"/>
      <c r="C10" s="1" t="str">
        <f>IFERROR((VLOOKUP($A10,'[2]CODIGOS D'!$A$3:$S$451,2,FALSE)),"0")</f>
        <v>0</v>
      </c>
      <c r="D10" s="299">
        <f>+'PROGRAMA DRENCH PASO 1'!Q4</f>
        <v>0</v>
      </c>
      <c r="E10" s="1"/>
      <c r="F10" s="1"/>
      <c r="G10" s="1"/>
      <c r="H10" s="5">
        <f>+H9</f>
        <v>5</v>
      </c>
      <c r="I10" s="1"/>
      <c r="J10" s="1"/>
      <c r="K10" s="11" t="str">
        <f>VLOOKUP(H10,'Inf Bloques'!$A$1:$J$453,10,FALSE)</f>
        <v>CV</v>
      </c>
      <c r="L10" s="13"/>
    </row>
    <row r="11" spans="1:12" hidden="1" x14ac:dyDescent="0.2">
      <c r="A11" s="295">
        <f>+'PROGRAMA DRENCH PASO 1'!T4</f>
        <v>0</v>
      </c>
      <c r="B11" s="1"/>
      <c r="C11" s="1" t="str">
        <f>IFERROR((VLOOKUP($A11,'[2]CODIGOS D'!$A$3:$S$451,2,FALSE)),"0")</f>
        <v>0</v>
      </c>
      <c r="D11" s="299">
        <f>+'PROGRAMA DRENCH PASO 1'!U4</f>
        <v>0</v>
      </c>
      <c r="E11" s="1"/>
      <c r="F11" s="1"/>
      <c r="G11" s="1"/>
      <c r="H11" s="5">
        <f t="shared" ref="H11:H14" si="1">+H10</f>
        <v>5</v>
      </c>
      <c r="I11" s="1"/>
      <c r="J11" s="1"/>
      <c r="K11" s="11" t="str">
        <f>VLOOKUP(H11,'Inf Bloques'!$A$1:$J$453,10,FALSE)</f>
        <v>CV</v>
      </c>
      <c r="L11" s="13"/>
    </row>
    <row r="12" spans="1:12" hidden="1" x14ac:dyDescent="0.2">
      <c r="A12" s="295">
        <f>+'PROGRAMA DRENCH PASO 1'!X4</f>
        <v>0</v>
      </c>
      <c r="B12" s="1"/>
      <c r="C12" s="1" t="str">
        <f>IFERROR((VLOOKUP($A12,'[2]CODIGOS D'!$A$3:$S$451,2,FALSE)),"0")</f>
        <v>0</v>
      </c>
      <c r="D12" s="299">
        <f>+'PROGRAMA DRENCH PASO 1'!Y4</f>
        <v>0</v>
      </c>
      <c r="E12" s="1"/>
      <c r="F12" s="1"/>
      <c r="G12" s="1"/>
      <c r="H12" s="5">
        <f t="shared" si="1"/>
        <v>5</v>
      </c>
      <c r="I12" s="1"/>
      <c r="J12" s="1"/>
      <c r="K12" s="11" t="str">
        <f>VLOOKUP(H12,'Inf Bloques'!$A$1:$J$453,10,FALSE)</f>
        <v>CV</v>
      </c>
      <c r="L12" s="13"/>
    </row>
    <row r="13" spans="1:12" hidden="1" x14ac:dyDescent="0.2">
      <c r="A13" s="296">
        <f>+'PROGRAMA DRENCH PASO 1'!AB4</f>
        <v>0</v>
      </c>
      <c r="B13" s="1"/>
      <c r="C13" s="1" t="str">
        <f>IFERROR((VLOOKUP($A13,'[2]CODIGOS D'!$A$3:$S$451,2,FALSE)),"0")</f>
        <v>0</v>
      </c>
      <c r="D13" s="299">
        <f>+'PROGRAMA DRENCH PASO 1'!AC4</f>
        <v>0</v>
      </c>
      <c r="E13" s="1"/>
      <c r="F13" s="1"/>
      <c r="G13" s="1"/>
      <c r="H13" s="5">
        <f t="shared" si="1"/>
        <v>5</v>
      </c>
      <c r="I13" s="1"/>
      <c r="J13" s="1"/>
      <c r="K13" s="11" t="str">
        <f>VLOOKUP(H13,'Inf Bloques'!$A$1:$J$453,10,FALSE)</f>
        <v>CV</v>
      </c>
      <c r="L13" s="13"/>
    </row>
    <row r="14" spans="1:12" hidden="1" x14ac:dyDescent="0.2">
      <c r="A14" s="296">
        <f>+'PROGRAMA DRENCH PASO 1'!AF4</f>
        <v>0</v>
      </c>
      <c r="B14" s="1"/>
      <c r="C14" s="1" t="str">
        <f>IFERROR((VLOOKUP($A14,'[2]CODIGOS D'!$A$3:$S$451,2,FALSE)),"0")</f>
        <v>0</v>
      </c>
      <c r="D14" s="299">
        <f>+'PROGRAMA DRENCH PASO 1'!AG4</f>
        <v>0</v>
      </c>
      <c r="E14" s="1"/>
      <c r="F14" s="1"/>
      <c r="G14" s="1"/>
      <c r="H14" s="5">
        <f t="shared" si="1"/>
        <v>5</v>
      </c>
      <c r="I14" s="1"/>
      <c r="J14" s="1"/>
      <c r="K14" s="11" t="str">
        <f>VLOOKUP(H14,'Inf Bloques'!$A$1:$J$453,10,FALSE)</f>
        <v>CV</v>
      </c>
      <c r="L14" s="13"/>
    </row>
    <row r="15" spans="1:12" hidden="1" x14ac:dyDescent="0.2">
      <c r="A15" s="295" t="str">
        <f>+'PROGRAMA DRENCH PASO 1'!L5</f>
        <v>ALCAPLANT</v>
      </c>
      <c r="B15" s="1"/>
      <c r="C15" s="1" t="str">
        <f>IFERROR((VLOOKUP($A15,'[2]CODIGOS D'!$A$3:$S$451,2,FALSE)),"0")</f>
        <v>FA053</v>
      </c>
      <c r="D15" s="298">
        <f>+'PROGRAMA DRENCH PASO 1'!M5</f>
        <v>2178</v>
      </c>
      <c r="E15" s="1"/>
      <c r="F15" s="1"/>
      <c r="G15" s="1"/>
      <c r="H15" s="4">
        <f>'PROGRAMA DRENCH PASO 1'!B5</f>
        <v>15</v>
      </c>
      <c r="I15" s="1"/>
      <c r="J15" s="1"/>
      <c r="K15" s="11" t="str">
        <f>VLOOKUP(H15,'Inf Bloques'!$A$1:$J$453,10,FALSE)</f>
        <v>MM1</v>
      </c>
      <c r="L15" s="13"/>
    </row>
    <row r="16" spans="1:12" hidden="1" x14ac:dyDescent="0.2">
      <c r="A16" s="295">
        <f>+'PROGRAMA DRENCH PASO 1'!P5</f>
        <v>0</v>
      </c>
      <c r="B16" s="1"/>
      <c r="C16" s="1" t="str">
        <f>IFERROR((VLOOKUP($A16,'[2]CODIGOS D'!$A$3:$S$451,2,FALSE)),"0")</f>
        <v>0</v>
      </c>
      <c r="D16" s="299">
        <f>+'PROGRAMA DRENCH PASO 1'!Q5</f>
        <v>0</v>
      </c>
      <c r="E16" s="1"/>
      <c r="F16" s="1"/>
      <c r="G16" s="1"/>
      <c r="H16" s="5">
        <f>+H15</f>
        <v>15</v>
      </c>
      <c r="I16" s="1"/>
      <c r="J16" s="1"/>
      <c r="K16" s="11" t="str">
        <f>VLOOKUP(H16,'Inf Bloques'!$A$1:$J$453,10,FALSE)</f>
        <v>MM1</v>
      </c>
      <c r="L16" s="13"/>
    </row>
    <row r="17" spans="1:12" hidden="1" x14ac:dyDescent="0.2">
      <c r="A17" s="295">
        <f>+'PROGRAMA DRENCH PASO 1'!T5</f>
        <v>0</v>
      </c>
      <c r="B17" s="1"/>
      <c r="C17" s="1" t="str">
        <f>IFERROR((VLOOKUP($A17,'[2]CODIGOS D'!$A$3:$S$451,2,FALSE)),"0")</f>
        <v>0</v>
      </c>
      <c r="D17" s="299">
        <f>+'PROGRAMA DRENCH PASO 1'!U5</f>
        <v>0</v>
      </c>
      <c r="E17" s="1"/>
      <c r="F17" s="1"/>
      <c r="G17" s="1"/>
      <c r="H17" s="5">
        <f t="shared" ref="H17:H20" si="2">+H16</f>
        <v>15</v>
      </c>
      <c r="I17" s="1"/>
      <c r="J17" s="1"/>
      <c r="K17" s="11" t="str">
        <f>VLOOKUP(H17,'Inf Bloques'!$A$1:$J$453,10,FALSE)</f>
        <v>MM1</v>
      </c>
      <c r="L17" s="13"/>
    </row>
    <row r="18" spans="1:12" hidden="1" x14ac:dyDescent="0.2">
      <c r="A18" s="295">
        <f>+'PROGRAMA DRENCH PASO 1'!X5</f>
        <v>0</v>
      </c>
      <c r="B18" s="1"/>
      <c r="C18" s="1" t="str">
        <f>IFERROR((VLOOKUP($A18,'[2]CODIGOS D'!$A$3:$S$451,2,FALSE)),"0")</f>
        <v>0</v>
      </c>
      <c r="D18" s="299">
        <f>+'PROGRAMA DRENCH PASO 1'!Y5</f>
        <v>0</v>
      </c>
      <c r="E18" s="1"/>
      <c r="F18" s="1"/>
      <c r="G18" s="1"/>
      <c r="H18" s="5">
        <f t="shared" si="2"/>
        <v>15</v>
      </c>
      <c r="I18" s="1"/>
      <c r="J18" s="1"/>
      <c r="K18" s="11" t="str">
        <f>VLOOKUP(H18,'Inf Bloques'!$A$1:$J$453,10,FALSE)</f>
        <v>MM1</v>
      </c>
      <c r="L18" s="13"/>
    </row>
    <row r="19" spans="1:12" hidden="1" x14ac:dyDescent="0.2">
      <c r="A19" s="296">
        <f>+'PROGRAMA DRENCH PASO 1'!AB5</f>
        <v>0</v>
      </c>
      <c r="B19" s="1"/>
      <c r="C19" s="1" t="str">
        <f>IFERROR((VLOOKUP($A19,'[2]CODIGOS D'!$A$3:$S$451,2,FALSE)),"0")</f>
        <v>0</v>
      </c>
      <c r="D19" s="299">
        <f>+'PROGRAMA DRENCH PASO 1'!AC5</f>
        <v>0</v>
      </c>
      <c r="E19" s="1"/>
      <c r="F19" s="1"/>
      <c r="G19" s="1"/>
      <c r="H19" s="5">
        <f t="shared" si="2"/>
        <v>15</v>
      </c>
      <c r="I19" s="1"/>
      <c r="J19" s="1"/>
      <c r="K19" s="11" t="str">
        <f>VLOOKUP(H19,'Inf Bloques'!$A$1:$J$453,10,FALSE)</f>
        <v>MM1</v>
      </c>
      <c r="L19" s="13"/>
    </row>
    <row r="20" spans="1:12" hidden="1" x14ac:dyDescent="0.2">
      <c r="A20" s="296">
        <f>+'PROGRAMA DRENCH PASO 1'!AF5</f>
        <v>0</v>
      </c>
      <c r="B20" s="1"/>
      <c r="C20" s="1" t="str">
        <f>IFERROR((VLOOKUP($A20,'[2]CODIGOS D'!$A$3:$S$451,2,FALSE)),"0")</f>
        <v>0</v>
      </c>
      <c r="D20" s="299">
        <f>+'PROGRAMA DRENCH PASO 1'!AG5</f>
        <v>0</v>
      </c>
      <c r="E20" s="1"/>
      <c r="F20" s="1"/>
      <c r="G20" s="1"/>
      <c r="H20" s="5">
        <f t="shared" si="2"/>
        <v>15</v>
      </c>
      <c r="I20" s="1"/>
      <c r="J20" s="1"/>
      <c r="K20" s="11" t="str">
        <f>VLOOKUP(H20,'Inf Bloques'!$A$1:$J$453,10,FALSE)</f>
        <v>MM1</v>
      </c>
      <c r="L20" s="13"/>
    </row>
    <row r="21" spans="1:12" hidden="1" x14ac:dyDescent="0.2">
      <c r="A21" s="295" t="str">
        <f>+'PROGRAMA DRENCH PASO 1'!L6</f>
        <v>Sulfex</v>
      </c>
      <c r="B21" s="1"/>
      <c r="C21" s="1" t="str">
        <f>IFERROR((VLOOKUP($A21,'[2]CODIGOS D'!$A$3:$S$451,2,FALSE)),"0")</f>
        <v>0</v>
      </c>
      <c r="D21" s="298">
        <f>+'PROGRAMA DRENCH PASO 1'!M6</f>
        <v>405</v>
      </c>
      <c r="E21" s="1"/>
      <c r="F21" s="1"/>
      <c r="G21" s="1"/>
      <c r="H21" s="4">
        <f>'PROGRAMA DRENCH PASO 1'!B6</f>
        <v>22</v>
      </c>
      <c r="I21" s="1"/>
      <c r="J21" s="1"/>
      <c r="K21" s="11" t="str">
        <f>VLOOKUP(H21,'Inf Bloques'!$A$1:$J$453,10,FALSE)</f>
        <v>CV</v>
      </c>
      <c r="L21" s="13"/>
    </row>
    <row r="22" spans="1:12" hidden="1" x14ac:dyDescent="0.2">
      <c r="A22" s="295" t="str">
        <f>+'PROGRAMA DRENCH PASO 1'!P6</f>
        <v>Agral</v>
      </c>
      <c r="B22" s="1"/>
      <c r="C22" s="1" t="str">
        <f>IFERROR((VLOOKUP($A22,'[2]CODIGOS D'!$A$3:$S$451,2,FALSE)),"0")</f>
        <v>PJ010</v>
      </c>
      <c r="D22" s="299">
        <f>+'PROGRAMA DRENCH PASO 1'!Q6</f>
        <v>54</v>
      </c>
      <c r="E22" s="1"/>
      <c r="F22" s="1"/>
      <c r="G22" s="1"/>
      <c r="H22" s="5">
        <f>+H21</f>
        <v>22</v>
      </c>
      <c r="I22" s="1"/>
      <c r="J22" s="1"/>
      <c r="K22" s="11" t="str">
        <f>VLOOKUP(H22,'Inf Bloques'!$A$1:$J$453,10,FALSE)</f>
        <v>CV</v>
      </c>
      <c r="L22" s="13"/>
    </row>
    <row r="23" spans="1:12" hidden="1" x14ac:dyDescent="0.2">
      <c r="A23" s="295">
        <f>+'PROGRAMA DRENCH PASO 1'!T6</f>
        <v>0</v>
      </c>
      <c r="B23" s="1"/>
      <c r="C23" s="1" t="str">
        <f>IFERROR((VLOOKUP($A23,'[2]CODIGOS D'!$A$3:$S$451,2,FALSE)),"0")</f>
        <v>0</v>
      </c>
      <c r="D23" s="299">
        <f>+'PROGRAMA DRENCH PASO 1'!U6</f>
        <v>0</v>
      </c>
      <c r="E23" s="1"/>
      <c r="F23" s="1"/>
      <c r="G23" s="1"/>
      <c r="H23" s="5">
        <f t="shared" ref="H23:H26" si="3">+H22</f>
        <v>22</v>
      </c>
      <c r="I23" s="1"/>
      <c r="J23" s="1"/>
      <c r="K23" s="11" t="str">
        <f>VLOOKUP(H23,'Inf Bloques'!$A$1:$J$453,10,FALSE)</f>
        <v>CV</v>
      </c>
      <c r="L23" s="13"/>
    </row>
    <row r="24" spans="1:12" hidden="1" x14ac:dyDescent="0.2">
      <c r="A24" s="295">
        <f>+'PROGRAMA DRENCH PASO 1'!X6</f>
        <v>0</v>
      </c>
      <c r="B24" s="1"/>
      <c r="C24" s="1" t="str">
        <f>IFERROR((VLOOKUP($A24,'[2]CODIGOS D'!$A$3:$S$451,2,FALSE)),"0")</f>
        <v>0</v>
      </c>
      <c r="D24" s="299">
        <f>+'PROGRAMA DRENCH PASO 1'!Y6</f>
        <v>0</v>
      </c>
      <c r="E24" s="1"/>
      <c r="F24" s="1"/>
      <c r="G24" s="1"/>
      <c r="H24" s="5">
        <f t="shared" si="3"/>
        <v>22</v>
      </c>
      <c r="I24" s="1"/>
      <c r="J24" s="1"/>
      <c r="K24" s="11" t="str">
        <f>VLOOKUP(H24,'Inf Bloques'!$A$1:$J$453,10,FALSE)</f>
        <v>CV</v>
      </c>
      <c r="L24" s="13"/>
    </row>
    <row r="25" spans="1:12" hidden="1" x14ac:dyDescent="0.2">
      <c r="A25" s="296">
        <f>+'PROGRAMA DRENCH PASO 1'!AB6</f>
        <v>0</v>
      </c>
      <c r="B25" s="1"/>
      <c r="C25" s="1" t="str">
        <f>IFERROR((VLOOKUP($A25,'[2]CODIGOS D'!$A$3:$S$451,2,FALSE)),"0")</f>
        <v>0</v>
      </c>
      <c r="D25" s="299">
        <f>+'PROGRAMA DRENCH PASO 1'!AC6</f>
        <v>0</v>
      </c>
      <c r="E25" s="1"/>
      <c r="F25" s="1"/>
      <c r="G25" s="1"/>
      <c r="H25" s="5">
        <f t="shared" si="3"/>
        <v>22</v>
      </c>
      <c r="I25" s="1"/>
      <c r="J25" s="1"/>
      <c r="K25" s="11" t="str">
        <f>VLOOKUP(H25,'Inf Bloques'!$A$1:$J$453,10,FALSE)</f>
        <v>CV</v>
      </c>
      <c r="L25" s="13"/>
    </row>
    <row r="26" spans="1:12" hidden="1" x14ac:dyDescent="0.2">
      <c r="A26" s="296">
        <f>+'PROGRAMA DRENCH PASO 1'!AF6</f>
        <v>0</v>
      </c>
      <c r="B26" s="1"/>
      <c r="C26" s="1" t="str">
        <f>IFERROR((VLOOKUP($A26,'[2]CODIGOS D'!$A$3:$S$451,2,FALSE)),"0")</f>
        <v>0</v>
      </c>
      <c r="D26" s="299">
        <f>+'PROGRAMA DRENCH PASO 1'!AG6</f>
        <v>0</v>
      </c>
      <c r="E26" s="1"/>
      <c r="F26" s="1"/>
      <c r="G26" s="1"/>
      <c r="H26" s="5">
        <f t="shared" si="3"/>
        <v>22</v>
      </c>
      <c r="I26" s="1"/>
      <c r="J26" s="1"/>
      <c r="K26" s="11" t="str">
        <f>VLOOKUP(H26,'Inf Bloques'!$A$1:$J$453,10,FALSE)</f>
        <v>CV</v>
      </c>
      <c r="L26" s="13"/>
    </row>
    <row r="27" spans="1:12" x14ac:dyDescent="0.2">
      <c r="A27" s="295" t="str">
        <f>+'PROGRAMA DRENCH PASO 1'!L7</f>
        <v>ALCAPLANT</v>
      </c>
      <c r="B27" s="1"/>
      <c r="C27" s="1" t="str">
        <f>IFERROR((VLOOKUP($A27,'[2]CODIGOS D'!$A$3:$S$451,2,FALSE)),"0")</f>
        <v>FA053</v>
      </c>
      <c r="D27" s="298">
        <f>+'PROGRAMA DRENCH PASO 1'!M7</f>
        <v>2145</v>
      </c>
      <c r="E27" s="1"/>
      <c r="F27" s="1"/>
      <c r="G27" s="1"/>
      <c r="H27" s="4">
        <f>'PROGRAMA DRENCH PASO 1'!B7</f>
        <v>23</v>
      </c>
      <c r="I27" s="1"/>
      <c r="J27" s="1"/>
      <c r="K27" s="11" t="str">
        <f>VLOOKUP(H27,'Inf Bloques'!$A$1:$J$453,10,FALSE)</f>
        <v>CV</v>
      </c>
      <c r="L27" s="13"/>
    </row>
    <row r="28" spans="1:12" hidden="1" x14ac:dyDescent="0.2">
      <c r="A28" s="295">
        <f>+'PROGRAMA DRENCH PASO 1'!P7</f>
        <v>0</v>
      </c>
      <c r="B28" s="1"/>
      <c r="C28" s="1" t="str">
        <f>IFERROR((VLOOKUP($A28,'[2]CODIGOS D'!$A$3:$S$451,2,FALSE)),"0")</f>
        <v>0</v>
      </c>
      <c r="D28" s="299">
        <f>+'PROGRAMA DRENCH PASO 1'!Q7</f>
        <v>0</v>
      </c>
      <c r="E28" s="1"/>
      <c r="F28" s="1"/>
      <c r="G28" s="1"/>
      <c r="H28" s="5">
        <f>+H27</f>
        <v>23</v>
      </c>
      <c r="I28" s="1"/>
      <c r="J28" s="1"/>
      <c r="K28" s="11" t="str">
        <f>VLOOKUP(H28,'Inf Bloques'!$A$1:$J$453,10,FALSE)</f>
        <v>CV</v>
      </c>
      <c r="L28" s="13"/>
    </row>
    <row r="29" spans="1:12" hidden="1" x14ac:dyDescent="0.2">
      <c r="A29" s="295">
        <f>+'PROGRAMA DRENCH PASO 1'!T7</f>
        <v>0</v>
      </c>
      <c r="B29" s="1"/>
      <c r="C29" s="1" t="str">
        <f>IFERROR((VLOOKUP($A29,'[2]CODIGOS D'!$A$3:$S$451,2,FALSE)),"0")</f>
        <v>0</v>
      </c>
      <c r="D29" s="299">
        <f>+'PROGRAMA DRENCH PASO 1'!U7</f>
        <v>0</v>
      </c>
      <c r="E29" s="1"/>
      <c r="F29" s="1"/>
      <c r="G29" s="1"/>
      <c r="H29" s="5">
        <f t="shared" ref="H29:H32" si="4">+H28</f>
        <v>23</v>
      </c>
      <c r="I29" s="1"/>
      <c r="J29" s="1"/>
      <c r="K29" s="11" t="str">
        <f>VLOOKUP(H29,'Inf Bloques'!$A$1:$J$453,10,FALSE)</f>
        <v>CV</v>
      </c>
      <c r="L29" s="13"/>
    </row>
    <row r="30" spans="1:12" hidden="1" x14ac:dyDescent="0.2">
      <c r="A30" s="295">
        <f>+'PROGRAMA DRENCH PASO 1'!X7</f>
        <v>0</v>
      </c>
      <c r="B30" s="1"/>
      <c r="C30" s="1" t="str">
        <f>IFERROR((VLOOKUP($A30,'[2]CODIGOS D'!$A$3:$S$451,2,FALSE)),"0")</f>
        <v>0</v>
      </c>
      <c r="D30" s="299">
        <f>+'PROGRAMA DRENCH PASO 1'!Y7</f>
        <v>0</v>
      </c>
      <c r="E30" s="1"/>
      <c r="F30" s="1"/>
      <c r="G30" s="1"/>
      <c r="H30" s="5">
        <f t="shared" si="4"/>
        <v>23</v>
      </c>
      <c r="I30" s="1"/>
      <c r="J30" s="1"/>
      <c r="K30" s="11" t="str">
        <f>VLOOKUP(H30,'Inf Bloques'!$A$1:$J$453,10,FALSE)</f>
        <v>CV</v>
      </c>
      <c r="L30" s="13"/>
    </row>
    <row r="31" spans="1:12" hidden="1" x14ac:dyDescent="0.2">
      <c r="A31" s="296">
        <f>+'PROGRAMA DRENCH PASO 1'!AB7</f>
        <v>0</v>
      </c>
      <c r="B31" s="1"/>
      <c r="C31" s="1" t="str">
        <f>IFERROR((VLOOKUP($A31,'[2]CODIGOS D'!$A$3:$S$451,2,FALSE)),"0")</f>
        <v>0</v>
      </c>
      <c r="D31" s="299">
        <f>+'PROGRAMA DRENCH PASO 1'!AC7</f>
        <v>0</v>
      </c>
      <c r="E31" s="1"/>
      <c r="F31" s="1"/>
      <c r="G31" s="1"/>
      <c r="H31" s="5">
        <f t="shared" si="4"/>
        <v>23</v>
      </c>
      <c r="I31" s="1"/>
      <c r="J31" s="1"/>
      <c r="K31" s="11" t="str">
        <f>VLOOKUP(H31,'Inf Bloques'!$A$1:$J$453,10,FALSE)</f>
        <v>CV</v>
      </c>
      <c r="L31" s="13"/>
    </row>
    <row r="32" spans="1:12" hidden="1" x14ac:dyDescent="0.2">
      <c r="A32" s="296">
        <f>+'PROGRAMA DRENCH PASO 1'!AF7</f>
        <v>0</v>
      </c>
      <c r="B32" s="1"/>
      <c r="C32" s="1" t="str">
        <f>IFERROR((VLOOKUP($A32,'[2]CODIGOS D'!$A$3:$S$451,2,FALSE)),"0")</f>
        <v>0</v>
      </c>
      <c r="D32" s="299">
        <f>+'PROGRAMA DRENCH PASO 1'!AG7</f>
        <v>0</v>
      </c>
      <c r="E32" s="1"/>
      <c r="F32" s="1"/>
      <c r="G32" s="1"/>
      <c r="H32" s="5">
        <f t="shared" si="4"/>
        <v>23</v>
      </c>
      <c r="I32" s="1"/>
      <c r="J32" s="1"/>
      <c r="K32" s="11" t="str">
        <f>VLOOKUP(H32,'Inf Bloques'!$A$1:$J$453,10,FALSE)</f>
        <v>CV</v>
      </c>
      <c r="L32" s="13"/>
    </row>
    <row r="33" spans="1:12" x14ac:dyDescent="0.2">
      <c r="A33" s="295" t="str">
        <f>+'PROGRAMA DRENCH PASO 1'!L8</f>
        <v>Sulfex</v>
      </c>
      <c r="B33" s="1"/>
      <c r="C33" s="1" t="str">
        <f>IFERROR((VLOOKUP($A33,'[2]CODIGOS D'!$A$3:$S$451,2,FALSE)),"0")</f>
        <v>0</v>
      </c>
      <c r="D33" s="298">
        <f>+'PROGRAMA DRENCH PASO 1'!M8</f>
        <v>330</v>
      </c>
      <c r="E33" s="1"/>
      <c r="F33" s="1"/>
      <c r="G33" s="1"/>
      <c r="H33" s="4">
        <f>'PROGRAMA DRENCH PASO 1'!B8</f>
        <v>4</v>
      </c>
      <c r="I33" s="1"/>
      <c r="J33" s="1"/>
      <c r="K33" s="11" t="str">
        <f>VLOOKUP(H33,'Inf Bloques'!$A$1:$J$453,10,FALSE)</f>
        <v>MM1</v>
      </c>
      <c r="L33" s="13"/>
    </row>
    <row r="34" spans="1:12" hidden="1" x14ac:dyDescent="0.2">
      <c r="A34" s="295" t="str">
        <f>+'PROGRAMA DRENCH PASO 1'!P8</f>
        <v>Agral</v>
      </c>
      <c r="B34" s="1"/>
      <c r="C34" s="1" t="str">
        <f>IFERROR((VLOOKUP($A34,'[2]CODIGOS D'!$A$3:$S$451,2,FALSE)),"0")</f>
        <v>PJ010</v>
      </c>
      <c r="D34" s="299">
        <f>+'PROGRAMA DRENCH PASO 1'!Q8</f>
        <v>44</v>
      </c>
      <c r="E34" s="1"/>
      <c r="F34" s="1"/>
      <c r="G34" s="1"/>
      <c r="H34" s="5">
        <f>+H33</f>
        <v>4</v>
      </c>
      <c r="I34" s="1"/>
      <c r="J34" s="1"/>
      <c r="K34" s="11" t="str">
        <f>VLOOKUP(H34,'Inf Bloques'!$A$1:$J$453,10,FALSE)</f>
        <v>MM1</v>
      </c>
      <c r="L34" s="13"/>
    </row>
    <row r="35" spans="1:12" hidden="1" x14ac:dyDescent="0.2">
      <c r="A35" s="295">
        <f>+'PROGRAMA DRENCH PASO 1'!T8</f>
        <v>0</v>
      </c>
      <c r="B35" s="1"/>
      <c r="C35" s="1" t="str">
        <f>IFERROR((VLOOKUP($A35,'[2]CODIGOS D'!$A$3:$S$451,2,FALSE)),"0")</f>
        <v>0</v>
      </c>
      <c r="D35" s="299">
        <f>+'PROGRAMA DRENCH PASO 1'!U8</f>
        <v>0</v>
      </c>
      <c r="E35" s="1"/>
      <c r="F35" s="1"/>
      <c r="G35" s="1"/>
      <c r="H35" s="5">
        <f t="shared" ref="H35:H38" si="5">+H34</f>
        <v>4</v>
      </c>
      <c r="I35" s="1"/>
      <c r="J35" s="1"/>
      <c r="K35" s="11" t="str">
        <f>VLOOKUP(H35,'Inf Bloques'!$A$1:$J$453,10,FALSE)</f>
        <v>MM1</v>
      </c>
      <c r="L35" s="13"/>
    </row>
    <row r="36" spans="1:12" hidden="1" x14ac:dyDescent="0.2">
      <c r="A36" s="295">
        <f>+'PROGRAMA DRENCH PASO 1'!X8</f>
        <v>0</v>
      </c>
      <c r="B36" s="1"/>
      <c r="C36" s="1" t="str">
        <f>IFERROR((VLOOKUP($A36,'[2]CODIGOS D'!$A$3:$S$451,2,FALSE)),"0")</f>
        <v>0</v>
      </c>
      <c r="D36" s="299">
        <f>+'PROGRAMA DRENCH PASO 1'!Y8</f>
        <v>0</v>
      </c>
      <c r="E36" s="1"/>
      <c r="F36" s="1"/>
      <c r="G36" s="1"/>
      <c r="H36" s="5">
        <f t="shared" si="5"/>
        <v>4</v>
      </c>
      <c r="I36" s="1"/>
      <c r="J36" s="1"/>
      <c r="K36" s="11" t="str">
        <f>VLOOKUP(H36,'Inf Bloques'!$A$1:$J$453,10,FALSE)</f>
        <v>MM1</v>
      </c>
      <c r="L36" s="13"/>
    </row>
    <row r="37" spans="1:12" hidden="1" x14ac:dyDescent="0.2">
      <c r="A37" s="296">
        <f>+'PROGRAMA DRENCH PASO 1'!AB8</f>
        <v>0</v>
      </c>
      <c r="B37" s="1"/>
      <c r="C37" s="1" t="str">
        <f>IFERROR((VLOOKUP($A37,'[2]CODIGOS D'!$A$3:$S$451,2,FALSE)),"0")</f>
        <v>0</v>
      </c>
      <c r="D37" s="299">
        <f>+'PROGRAMA DRENCH PASO 1'!AC8</f>
        <v>0</v>
      </c>
      <c r="E37" s="1"/>
      <c r="F37" s="1"/>
      <c r="G37" s="1"/>
      <c r="H37" s="5">
        <f t="shared" si="5"/>
        <v>4</v>
      </c>
      <c r="I37" s="1"/>
      <c r="J37" s="1"/>
      <c r="K37" s="11" t="str">
        <f>VLOOKUP(H37,'Inf Bloques'!$A$1:$J$453,10,FALSE)</f>
        <v>MM1</v>
      </c>
      <c r="L37" s="13"/>
    </row>
    <row r="38" spans="1:12" hidden="1" x14ac:dyDescent="0.2">
      <c r="A38" s="296">
        <f>+'PROGRAMA DRENCH PASO 1'!AF8</f>
        <v>0</v>
      </c>
      <c r="B38" s="1"/>
      <c r="C38" s="1" t="str">
        <f>IFERROR((VLOOKUP($A38,'[2]CODIGOS D'!$A$3:$S$451,2,FALSE)),"0")</f>
        <v>0</v>
      </c>
      <c r="D38" s="299">
        <f>+'PROGRAMA DRENCH PASO 1'!AG8</f>
        <v>0</v>
      </c>
      <c r="E38" s="1"/>
      <c r="F38" s="1"/>
      <c r="G38" s="1"/>
      <c r="H38" s="5">
        <f t="shared" si="5"/>
        <v>4</v>
      </c>
      <c r="I38" s="1"/>
      <c r="J38" s="1"/>
      <c r="K38" s="11" t="str">
        <f>VLOOKUP(H38,'Inf Bloques'!$A$1:$J$453,10,FALSE)</f>
        <v>MM1</v>
      </c>
      <c r="L38" s="13"/>
    </row>
    <row r="39" spans="1:12" x14ac:dyDescent="0.2">
      <c r="A39" s="295" t="str">
        <f>+'PROGRAMA DRENCH PASO 1'!L9</f>
        <v>Bac</v>
      </c>
      <c r="B39" s="1"/>
      <c r="C39" s="1" t="str">
        <f>IFERROR((VLOOKUP($A39,'[2]CODIGOS D'!$A$3:$S$451,2,FALSE)),"0")</f>
        <v>HB042</v>
      </c>
      <c r="D39" s="298">
        <f>+'PROGRAMA DRENCH PASO 1'!M9</f>
        <v>800</v>
      </c>
      <c r="E39" s="1"/>
      <c r="F39" s="1"/>
      <c r="G39" s="1"/>
      <c r="H39" s="4">
        <f>'PROGRAMA DRENCH PASO 1'!B9</f>
        <v>9</v>
      </c>
      <c r="I39" s="1"/>
      <c r="J39" s="1"/>
      <c r="K39" s="11" t="str">
        <f>VLOOKUP(H39,'Inf Bloques'!$A$1:$J$453,10,FALSE)</f>
        <v>MM1</v>
      </c>
      <c r="L39" s="13"/>
    </row>
    <row r="40" spans="1:12" hidden="1" x14ac:dyDescent="0.2">
      <c r="A40" s="295" t="str">
        <f>+'PROGRAMA DRENCH PASO 1'!P9</f>
        <v>Agral</v>
      </c>
      <c r="B40" s="1"/>
      <c r="C40" s="1" t="str">
        <f>IFERROR((VLOOKUP($A40,'[2]CODIGOS D'!$A$3:$S$451,2,FALSE)),"0")</f>
        <v>PJ010</v>
      </c>
      <c r="D40" s="299">
        <f>+'PROGRAMA DRENCH PASO 1'!Q9</f>
        <v>80</v>
      </c>
      <c r="E40" s="1"/>
      <c r="F40" s="1"/>
      <c r="G40" s="1"/>
      <c r="H40" s="5">
        <f>+H39</f>
        <v>9</v>
      </c>
      <c r="I40" s="1"/>
      <c r="J40" s="1"/>
      <c r="K40" s="11" t="str">
        <f>VLOOKUP(H40,'Inf Bloques'!$A$1:$J$453,10,FALSE)</f>
        <v>MM1</v>
      </c>
      <c r="L40" s="13"/>
    </row>
    <row r="41" spans="1:12" hidden="1" x14ac:dyDescent="0.2">
      <c r="A41" s="295">
        <f>+'PROGRAMA DRENCH PASO 1'!T9</f>
        <v>0</v>
      </c>
      <c r="B41" s="1"/>
      <c r="C41" s="1" t="str">
        <f>IFERROR((VLOOKUP($A41,'[2]CODIGOS D'!$A$3:$S$451,2,FALSE)),"0")</f>
        <v>0</v>
      </c>
      <c r="D41" s="299">
        <f>+'PROGRAMA DRENCH PASO 1'!U9</f>
        <v>0</v>
      </c>
      <c r="E41" s="1"/>
      <c r="F41" s="1"/>
      <c r="G41" s="1"/>
      <c r="H41" s="5">
        <f t="shared" ref="H41:H44" si="6">+H40</f>
        <v>9</v>
      </c>
      <c r="I41" s="1"/>
      <c r="J41" s="1"/>
      <c r="K41" s="11" t="str">
        <f>VLOOKUP(H41,'Inf Bloques'!$A$1:$J$453,10,FALSE)</f>
        <v>MM1</v>
      </c>
      <c r="L41" s="13"/>
    </row>
    <row r="42" spans="1:12" hidden="1" x14ac:dyDescent="0.2">
      <c r="A42" s="295">
        <f>+'PROGRAMA DRENCH PASO 1'!X9</f>
        <v>0</v>
      </c>
      <c r="B42" s="1"/>
      <c r="C42" s="1" t="str">
        <f>IFERROR((VLOOKUP($A42,'[2]CODIGOS D'!$A$3:$S$451,2,FALSE)),"0")</f>
        <v>0</v>
      </c>
      <c r="D42" s="299">
        <f>+'PROGRAMA DRENCH PASO 1'!Y9</f>
        <v>0</v>
      </c>
      <c r="E42" s="1"/>
      <c r="F42" s="1"/>
      <c r="G42" s="1"/>
      <c r="H42" s="5">
        <f t="shared" si="6"/>
        <v>9</v>
      </c>
      <c r="I42" s="1"/>
      <c r="J42" s="1"/>
      <c r="K42" s="11" t="str">
        <f>VLOOKUP(H42,'Inf Bloques'!$A$1:$J$453,10,FALSE)</f>
        <v>MM1</v>
      </c>
      <c r="L42" s="13"/>
    </row>
    <row r="43" spans="1:12" hidden="1" x14ac:dyDescent="0.2">
      <c r="A43" s="296">
        <f>+'PROGRAMA DRENCH PASO 1'!AB9</f>
        <v>0</v>
      </c>
      <c r="B43" s="1"/>
      <c r="C43" s="1" t="str">
        <f>IFERROR((VLOOKUP($A43,'[2]CODIGOS D'!$A$3:$S$451,2,FALSE)),"0")</f>
        <v>0</v>
      </c>
      <c r="D43" s="299">
        <f>+'PROGRAMA DRENCH PASO 1'!AC9</f>
        <v>0</v>
      </c>
      <c r="E43" s="1"/>
      <c r="F43" s="1"/>
      <c r="G43" s="1"/>
      <c r="H43" s="5">
        <f t="shared" si="6"/>
        <v>9</v>
      </c>
      <c r="I43" s="1"/>
      <c r="J43" s="1"/>
      <c r="K43" s="11" t="str">
        <f>VLOOKUP(H43,'Inf Bloques'!$A$1:$J$453,10,FALSE)</f>
        <v>MM1</v>
      </c>
      <c r="L43" s="13"/>
    </row>
    <row r="44" spans="1:12" hidden="1" x14ac:dyDescent="0.2">
      <c r="A44" s="296">
        <f>+'PROGRAMA DRENCH PASO 1'!AF9</f>
        <v>0</v>
      </c>
      <c r="B44" s="1"/>
      <c r="C44" s="1" t="str">
        <f>IFERROR((VLOOKUP($A44,'[2]CODIGOS D'!$A$3:$S$451,2,FALSE)),"0")</f>
        <v>0</v>
      </c>
      <c r="D44" s="299">
        <f>+'PROGRAMA DRENCH PASO 1'!AG9</f>
        <v>0</v>
      </c>
      <c r="E44" s="1"/>
      <c r="F44" s="1"/>
      <c r="G44" s="1"/>
      <c r="H44" s="5">
        <f t="shared" si="6"/>
        <v>9</v>
      </c>
      <c r="I44" s="1"/>
      <c r="J44" s="1"/>
      <c r="K44" s="11" t="str">
        <f>VLOOKUP(H44,'Inf Bloques'!$A$1:$J$453,10,FALSE)</f>
        <v>MM1</v>
      </c>
      <c r="L44" s="13"/>
    </row>
    <row r="45" spans="1:12" x14ac:dyDescent="0.2">
      <c r="A45" s="295" t="str">
        <f>+'PROGRAMA DRENCH PASO 1'!L10</f>
        <v>Beauveria</v>
      </c>
      <c r="B45" s="1"/>
      <c r="C45" s="1" t="str">
        <f>IFERROR((VLOOKUP($A45,'[2]CODIGOS D'!$A$3:$S$451,2,FALSE)),"0")</f>
        <v>FB998</v>
      </c>
      <c r="D45" s="298">
        <f>+'PROGRAMA DRENCH PASO 1'!M10</f>
        <v>4860</v>
      </c>
      <c r="E45" s="1"/>
      <c r="F45" s="1"/>
      <c r="G45" s="1"/>
      <c r="H45" s="4" t="str">
        <f>'PROGRAMA DRENCH PASO 1'!B10</f>
        <v>26A</v>
      </c>
      <c r="I45" s="1"/>
      <c r="J45" s="1"/>
      <c r="K45" s="11" t="str">
        <f>VLOOKUP(H45,'Inf Bloques'!$A$1:$J$453,10,FALSE)</f>
        <v>CV</v>
      </c>
      <c r="L45" s="13"/>
    </row>
    <row r="46" spans="1:12" hidden="1" x14ac:dyDescent="0.2">
      <c r="A46" s="295" t="str">
        <f>+'PROGRAMA DRENCH PASO 1'!P10</f>
        <v>Paecilomyces</v>
      </c>
      <c r="B46" s="1"/>
      <c r="C46" s="1" t="str">
        <f>IFERROR((VLOOKUP($A46,'[2]CODIGOS D'!$A$3:$S$451,2,FALSE)),"0")</f>
        <v>FB996</v>
      </c>
      <c r="D46" s="299">
        <f>+'PROGRAMA DRENCH PASO 1'!Q10</f>
        <v>6480</v>
      </c>
      <c r="E46" s="1"/>
      <c r="F46" s="1"/>
      <c r="G46" s="1"/>
      <c r="H46" s="5" t="str">
        <f>+H45</f>
        <v>26A</v>
      </c>
      <c r="I46" s="1"/>
      <c r="J46" s="1"/>
      <c r="K46" s="11" t="str">
        <f>VLOOKUP(H46,'Inf Bloques'!$A$1:$J$453,10,FALSE)</f>
        <v>CV</v>
      </c>
      <c r="L46" s="13"/>
    </row>
    <row r="47" spans="1:12" hidden="1" x14ac:dyDescent="0.2">
      <c r="A47" s="295">
        <f>+'PROGRAMA DRENCH PASO 1'!T10</f>
        <v>0</v>
      </c>
      <c r="B47" s="1"/>
      <c r="C47" s="1" t="str">
        <f>IFERROR((VLOOKUP($A47,'[2]CODIGOS D'!$A$3:$S$451,2,FALSE)),"0")</f>
        <v>0</v>
      </c>
      <c r="D47" s="299">
        <f>+'PROGRAMA DRENCH PASO 1'!U10</f>
        <v>0</v>
      </c>
      <c r="E47" s="1"/>
      <c r="F47" s="1"/>
      <c r="G47" s="1"/>
      <c r="H47" s="5" t="str">
        <f t="shared" ref="H47:H50" si="7">+H46</f>
        <v>26A</v>
      </c>
      <c r="I47" s="1"/>
      <c r="J47" s="1"/>
      <c r="K47" s="11" t="str">
        <f>VLOOKUP(H47,'Inf Bloques'!$A$1:$J$453,10,FALSE)</f>
        <v>CV</v>
      </c>
      <c r="L47" s="13"/>
    </row>
    <row r="48" spans="1:12" hidden="1" x14ac:dyDescent="0.2">
      <c r="A48" s="295">
        <f>+'PROGRAMA DRENCH PASO 1'!X10</f>
        <v>0</v>
      </c>
      <c r="B48" s="1"/>
      <c r="C48" s="1" t="str">
        <f>IFERROR((VLOOKUP($A48,'[2]CODIGOS D'!$A$3:$S$451,2,FALSE)),"0")</f>
        <v>0</v>
      </c>
      <c r="D48" s="299">
        <f>+'PROGRAMA DRENCH PASO 1'!Y10</f>
        <v>0</v>
      </c>
      <c r="E48" s="1"/>
      <c r="F48" s="1"/>
      <c r="G48" s="1"/>
      <c r="H48" s="5" t="str">
        <f t="shared" si="7"/>
        <v>26A</v>
      </c>
      <c r="I48" s="1"/>
      <c r="J48" s="1"/>
      <c r="K48" s="11" t="str">
        <f>VLOOKUP(H48,'Inf Bloques'!$A$1:$J$453,10,FALSE)</f>
        <v>CV</v>
      </c>
      <c r="L48" s="13"/>
    </row>
    <row r="49" spans="1:12" hidden="1" x14ac:dyDescent="0.2">
      <c r="A49" s="296" t="str">
        <f>+'PROGRAMA DRENCH PASO 1'!AB10</f>
        <v>Trichoderma</v>
      </c>
      <c r="B49" s="1"/>
      <c r="C49" s="1" t="str">
        <f>IFERROR((VLOOKUP($A49,'[2]CODIGOS D'!$A$3:$S$451,2,FALSE)),"0")</f>
        <v>FB999</v>
      </c>
      <c r="D49" s="299">
        <f>+'PROGRAMA DRENCH PASO 1'!AC10</f>
        <v>16.150000000000002</v>
      </c>
      <c r="E49" s="1"/>
      <c r="F49" s="1"/>
      <c r="G49" s="1"/>
      <c r="H49" s="5" t="str">
        <f t="shared" si="7"/>
        <v>26A</v>
      </c>
      <c r="I49" s="1"/>
      <c r="J49" s="1"/>
      <c r="K49" s="11" t="str">
        <f>VLOOKUP(H19,'Inf Bloques'!$A$1:$J$453,10,FALSE)</f>
        <v>MM1</v>
      </c>
      <c r="L49" s="13"/>
    </row>
    <row r="50" spans="1:12" hidden="1" x14ac:dyDescent="0.2">
      <c r="A50" s="296">
        <f>+'PROGRAMA DRENCH PASO 1'!AF10</f>
        <v>0</v>
      </c>
      <c r="B50" s="1"/>
      <c r="C50" s="1" t="str">
        <f>IFERROR((VLOOKUP($A50,'[2]CODIGOS D'!$A$3:$S$451,2,FALSE)),"0")</f>
        <v>0</v>
      </c>
      <c r="D50" s="299">
        <f>+'PROGRAMA DRENCH PASO 1'!AG10</f>
        <v>0</v>
      </c>
      <c r="E50" s="1"/>
      <c r="F50" s="1"/>
      <c r="G50" s="1"/>
      <c r="H50" s="5" t="str">
        <f t="shared" si="7"/>
        <v>26A</v>
      </c>
      <c r="I50" s="1"/>
      <c r="J50" s="1"/>
      <c r="K50" s="11" t="str">
        <f>VLOOKUP(H50,'Inf Bloques'!$A$1:$J$453,10,FALSE)</f>
        <v>CV</v>
      </c>
      <c r="L50" s="13"/>
    </row>
    <row r="51" spans="1:12" x14ac:dyDescent="0.2">
      <c r="A51" s="295" t="str">
        <f>+'PROGRAMA DRENCH PASO 1'!L11</f>
        <v>Beauveria</v>
      </c>
      <c r="B51" s="1"/>
      <c r="C51" s="1" t="str">
        <f>IFERROR((VLOOKUP($A51,'[2]CODIGOS D'!$A$3:$S$451,2,FALSE)),"0")</f>
        <v>FB998</v>
      </c>
      <c r="D51" s="298">
        <f>+'PROGRAMA DRENCH PASO 1'!M11</f>
        <v>11880</v>
      </c>
      <c r="E51" s="1"/>
      <c r="F51" s="1"/>
      <c r="G51" s="1"/>
      <c r="H51" s="4">
        <f>'PROGRAMA DRENCH PASO 1'!B11</f>
        <v>14</v>
      </c>
      <c r="I51" s="1"/>
      <c r="J51" s="1"/>
      <c r="K51" s="11" t="str">
        <f>VLOOKUP(H51,'Inf Bloques'!$A$1:$J$453,10,FALSE)</f>
        <v>MM1</v>
      </c>
      <c r="L51" s="13"/>
    </row>
    <row r="52" spans="1:12" hidden="1" x14ac:dyDescent="0.2">
      <c r="A52" s="295" t="str">
        <f>+'PROGRAMA DRENCH PASO 1'!P11</f>
        <v>Paecilomyces</v>
      </c>
      <c r="B52" s="1"/>
      <c r="C52" s="1" t="str">
        <f>IFERROR((VLOOKUP($A52,'[2]CODIGOS D'!$A$3:$S$451,2,FALSE)),"0")</f>
        <v>FB996</v>
      </c>
      <c r="D52" s="299">
        <f>+'PROGRAMA DRENCH PASO 1'!Q11</f>
        <v>15840</v>
      </c>
      <c r="E52" s="1"/>
      <c r="F52" s="1"/>
      <c r="G52" s="1"/>
      <c r="H52" s="5">
        <f>+H51</f>
        <v>14</v>
      </c>
      <c r="I52" s="1"/>
      <c r="J52" s="1"/>
      <c r="K52" s="11" t="str">
        <f>VLOOKUP(H52,'Inf Bloques'!$A$1:$J$453,10,FALSE)</f>
        <v>MM1</v>
      </c>
      <c r="L52" s="13"/>
    </row>
    <row r="53" spans="1:12" hidden="1" x14ac:dyDescent="0.2">
      <c r="A53" s="295">
        <f>+'PROGRAMA DRENCH PASO 1'!T11</f>
        <v>0</v>
      </c>
      <c r="B53" s="1"/>
      <c r="C53" s="1" t="str">
        <f>IFERROR((VLOOKUP($A53,'[2]CODIGOS D'!$A$3:$S$451,2,FALSE)),"0")</f>
        <v>0</v>
      </c>
      <c r="D53" s="299">
        <f>+'PROGRAMA DRENCH PASO 1'!U11</f>
        <v>0</v>
      </c>
      <c r="E53" s="1"/>
      <c r="F53" s="1"/>
      <c r="G53" s="1"/>
      <c r="H53" s="5">
        <f t="shared" ref="H53:H56" si="8">+H52</f>
        <v>14</v>
      </c>
      <c r="I53" s="1"/>
      <c r="J53" s="1"/>
      <c r="K53" s="11" t="str">
        <f>VLOOKUP(H53,'Inf Bloques'!$A$1:$J$453,10,FALSE)</f>
        <v>MM1</v>
      </c>
      <c r="L53" s="13"/>
    </row>
    <row r="54" spans="1:12" hidden="1" x14ac:dyDescent="0.2">
      <c r="A54" s="295">
        <f>+'PROGRAMA DRENCH PASO 1'!X11</f>
        <v>0</v>
      </c>
      <c r="B54" s="1"/>
      <c r="C54" s="1" t="str">
        <f>IFERROR((VLOOKUP($A54,'[2]CODIGOS D'!$A$3:$S$451,2,FALSE)),"0")</f>
        <v>0</v>
      </c>
      <c r="D54" s="299">
        <f>+'PROGRAMA DRENCH PASO 1'!Y11</f>
        <v>0</v>
      </c>
      <c r="E54" s="1"/>
      <c r="F54" s="1"/>
      <c r="G54" s="1"/>
      <c r="H54" s="5">
        <f t="shared" si="8"/>
        <v>14</v>
      </c>
      <c r="I54" s="1"/>
      <c r="J54" s="1"/>
      <c r="K54" s="11" t="str">
        <f>VLOOKUP(H54,'Inf Bloques'!$A$1:$J$453,10,FALSE)</f>
        <v>MM1</v>
      </c>
      <c r="L54" s="13"/>
    </row>
    <row r="55" spans="1:12" hidden="1" x14ac:dyDescent="0.2">
      <c r="A55" s="296" t="str">
        <f>+'PROGRAMA DRENCH PASO 1'!AB11</f>
        <v>Trichoderma</v>
      </c>
      <c r="B55" s="1"/>
      <c r="C55" s="1" t="str">
        <f>IFERROR((VLOOKUP($A55,'[2]CODIGOS D'!$A$3:$S$451,2,FALSE)),"0")</f>
        <v>FB999</v>
      </c>
      <c r="D55" s="299">
        <f>+'PROGRAMA DRENCH PASO 1'!AC11</f>
        <v>39.59916666666664</v>
      </c>
      <c r="E55" s="1"/>
      <c r="F55" s="1"/>
      <c r="G55" s="1"/>
      <c r="H55" s="5">
        <f t="shared" si="8"/>
        <v>14</v>
      </c>
      <c r="I55" s="1"/>
      <c r="J55" s="1"/>
      <c r="K55" s="11" t="str">
        <f>VLOOKUP(H55,'Inf Bloques'!$A$1:$J$453,10,FALSE)</f>
        <v>MM1</v>
      </c>
      <c r="L55" s="13"/>
    </row>
    <row r="56" spans="1:12" hidden="1" x14ac:dyDescent="0.2">
      <c r="A56" s="296">
        <f>+'PROGRAMA DRENCH PASO 1'!AF11</f>
        <v>0</v>
      </c>
      <c r="B56" s="1"/>
      <c r="C56" s="1" t="str">
        <f>IFERROR((VLOOKUP($A56,'[2]CODIGOS D'!$A$3:$S$451,2,FALSE)),"0")</f>
        <v>0</v>
      </c>
      <c r="D56" s="299">
        <f>+'PROGRAMA DRENCH PASO 1'!AG11</f>
        <v>0</v>
      </c>
      <c r="E56" s="1"/>
      <c r="F56" s="1"/>
      <c r="G56" s="1"/>
      <c r="H56" s="5">
        <f t="shared" si="8"/>
        <v>14</v>
      </c>
      <c r="I56" s="1"/>
      <c r="J56" s="1"/>
      <c r="K56" s="11" t="str">
        <f>VLOOKUP(H56,'Inf Bloques'!$A$1:$J$453,10,FALSE)</f>
        <v>MM1</v>
      </c>
      <c r="L56" s="13"/>
    </row>
    <row r="57" spans="1:12" x14ac:dyDescent="0.2">
      <c r="A57" s="295" t="str">
        <f>+'PROGRAMA DRENCH PASO 1'!L12</f>
        <v>RAIZA</v>
      </c>
      <c r="B57" s="1"/>
      <c r="C57" s="1" t="str">
        <f>IFERROR((VLOOKUP($A57,'[2]CODIGOS D'!$A$3:$S$451,2,FALSE)),"0")</f>
        <v>FB058</v>
      </c>
      <c r="D57" s="298">
        <f>+'PROGRAMA DRENCH PASO 1'!M12</f>
        <v>633.6</v>
      </c>
      <c r="E57" s="1"/>
      <c r="F57" s="1"/>
      <c r="G57" s="1"/>
      <c r="H57" s="4">
        <f>'PROGRAMA DRENCH PASO 1'!B12</f>
        <v>7</v>
      </c>
      <c r="I57" s="1"/>
      <c r="J57" s="1"/>
      <c r="K57" s="11" t="str">
        <f>VLOOKUP(H57,'Inf Bloques'!$A$1:$J$453,10,FALSE)</f>
        <v>MM1</v>
      </c>
      <c r="L57" s="13"/>
    </row>
    <row r="58" spans="1:12" hidden="1" x14ac:dyDescent="0.2">
      <c r="A58" s="295" t="str">
        <f>+'PROGRAMA DRENCH PASO 1'!P12</f>
        <v>HUMISTAR WG</v>
      </c>
      <c r="B58" s="1"/>
      <c r="C58" s="1" t="str">
        <f>IFERROR((VLOOKUP($A58,'[2]CODIGOS D'!$A$3:$S$451,2,FALSE)),"0")</f>
        <v>0</v>
      </c>
      <c r="D58" s="299">
        <f>+'PROGRAMA DRENCH PASO 1'!Q12</f>
        <v>384</v>
      </c>
      <c r="E58" s="1"/>
      <c r="F58" s="1"/>
      <c r="G58" s="1"/>
      <c r="H58" s="5">
        <f>+H57</f>
        <v>7</v>
      </c>
      <c r="I58" s="1"/>
      <c r="J58" s="1"/>
      <c r="K58" s="11" t="str">
        <f>VLOOKUP(H58,'Inf Bloques'!$A$1:$J$453,10,FALSE)</f>
        <v>MM1</v>
      </c>
      <c r="L58" s="13"/>
    </row>
    <row r="59" spans="1:12" hidden="1" x14ac:dyDescent="0.2">
      <c r="A59" s="295" t="str">
        <f>+'PROGRAMA DRENCH PASO 1'!T12</f>
        <v>Serenade</v>
      </c>
      <c r="B59" s="1"/>
      <c r="C59" s="1" t="str">
        <f>IFERROR((VLOOKUP($A59,'[2]CODIGOS D'!$A$3:$S$451,2,FALSE)),"0")</f>
        <v>0</v>
      </c>
      <c r="D59" s="299">
        <f>+'PROGRAMA DRENCH PASO 1'!U12</f>
        <v>345.59999999999997</v>
      </c>
      <c r="E59" s="1"/>
      <c r="F59" s="1"/>
      <c r="G59" s="1"/>
      <c r="H59" s="5">
        <f t="shared" ref="H59:H62" si="9">+H58</f>
        <v>7</v>
      </c>
      <c r="I59" s="1"/>
      <c r="J59" s="1"/>
      <c r="K59" s="11" t="str">
        <f>VLOOKUP(H59,'Inf Bloques'!$A$1:$J$453,10,FALSE)</f>
        <v>MM1</v>
      </c>
      <c r="L59" s="13"/>
    </row>
    <row r="60" spans="1:12" hidden="1" x14ac:dyDescent="0.2">
      <c r="A60" s="295">
        <f>+'PROGRAMA DRENCH PASO 1'!X12</f>
        <v>0</v>
      </c>
      <c r="B60" s="1"/>
      <c r="C60" s="1" t="str">
        <f>IFERROR((VLOOKUP($A60,'[2]CODIGOS D'!$A$3:$S$451,2,FALSE)),"0")</f>
        <v>0</v>
      </c>
      <c r="D60" s="299">
        <f>+'PROGRAMA DRENCH PASO 1'!Y12</f>
        <v>0</v>
      </c>
      <c r="E60" s="1"/>
      <c r="F60" s="1"/>
      <c r="G60" s="1"/>
      <c r="H60" s="5">
        <f t="shared" si="9"/>
        <v>7</v>
      </c>
      <c r="I60" s="1"/>
      <c r="J60" s="1"/>
      <c r="K60" s="11" t="str">
        <f>VLOOKUP(H60,'Inf Bloques'!$A$1:$J$453,10,FALSE)</f>
        <v>MM1</v>
      </c>
      <c r="L60" s="13"/>
    </row>
    <row r="61" spans="1:12" hidden="1" x14ac:dyDescent="0.2">
      <c r="A61" s="296">
        <f>+'PROGRAMA DRENCH PASO 1'!AB12</f>
        <v>0</v>
      </c>
      <c r="B61" s="1"/>
      <c r="C61" s="1" t="str">
        <f>IFERROR((VLOOKUP($A61,'[2]CODIGOS D'!$A$3:$S$451,2,FALSE)),"0")</f>
        <v>0</v>
      </c>
      <c r="D61" s="299">
        <f>+'PROGRAMA DRENCH PASO 1'!AC12</f>
        <v>0</v>
      </c>
      <c r="E61" s="1"/>
      <c r="F61" s="1"/>
      <c r="G61" s="1"/>
      <c r="H61" s="5">
        <f t="shared" si="9"/>
        <v>7</v>
      </c>
      <c r="I61" s="1"/>
      <c r="J61" s="1"/>
      <c r="K61" s="11" t="str">
        <f>VLOOKUP(H61,'Inf Bloques'!$A$1:$J$453,10,FALSE)</f>
        <v>MM1</v>
      </c>
      <c r="L61" s="13"/>
    </row>
    <row r="62" spans="1:12" hidden="1" x14ac:dyDescent="0.2">
      <c r="A62" s="296">
        <f>+'PROGRAMA DRENCH PASO 1'!AF12</f>
        <v>0</v>
      </c>
      <c r="B62" s="1"/>
      <c r="C62" s="1" t="str">
        <f>IFERROR((VLOOKUP($A62,'[2]CODIGOS D'!$A$3:$S$451,2,FALSE)),"0")</f>
        <v>0</v>
      </c>
      <c r="D62" s="299">
        <f>+'PROGRAMA DRENCH PASO 1'!AG12</f>
        <v>0</v>
      </c>
      <c r="E62" s="1"/>
      <c r="F62" s="1"/>
      <c r="G62" s="1"/>
      <c r="H62" s="5">
        <f t="shared" si="9"/>
        <v>7</v>
      </c>
      <c r="I62" s="1"/>
      <c r="J62" s="1"/>
      <c r="K62" s="11" t="str">
        <f>VLOOKUP(H62,'Inf Bloques'!$A$1:$J$453,10,FALSE)</f>
        <v>MM1</v>
      </c>
      <c r="L62" s="13"/>
    </row>
    <row r="63" spans="1:12" x14ac:dyDescent="0.2">
      <c r="A63" s="295" t="str">
        <f>+'PROGRAMA DRENCH PASO 1'!L13</f>
        <v>RAIZA</v>
      </c>
      <c r="B63" s="1"/>
      <c r="C63" s="1" t="str">
        <f>IFERROR((VLOOKUP($A63,'[2]CODIGOS D'!$A$3:$S$451,2,FALSE)),"0")</f>
        <v>FB058</v>
      </c>
      <c r="D63" s="298">
        <f>+'PROGRAMA DRENCH PASO 1'!M13</f>
        <v>630.30000000000007</v>
      </c>
      <c r="E63" s="1"/>
      <c r="F63" s="1"/>
      <c r="G63" s="1"/>
      <c r="H63" s="4">
        <f>'PROGRAMA DRENCH PASO 1'!B13</f>
        <v>25</v>
      </c>
      <c r="I63" s="1"/>
      <c r="J63" s="1"/>
      <c r="K63" s="11" t="str">
        <f>VLOOKUP(H63,'Inf Bloques'!$A$1:$J$453,10,FALSE)</f>
        <v>CV</v>
      </c>
      <c r="L63" s="13"/>
    </row>
    <row r="64" spans="1:12" hidden="1" x14ac:dyDescent="0.2">
      <c r="A64" s="295" t="str">
        <f>+'PROGRAMA DRENCH PASO 1'!P13</f>
        <v>HUMISTAR WG</v>
      </c>
      <c r="B64" s="1"/>
      <c r="C64" s="1" t="str">
        <f>IFERROR((VLOOKUP($A64,'[2]CODIGOS D'!$A$3:$S$451,2,FALSE)),"0")</f>
        <v>0</v>
      </c>
      <c r="D64" s="299">
        <f>+'PROGRAMA DRENCH PASO 1'!Q13</f>
        <v>382</v>
      </c>
      <c r="E64" s="1"/>
      <c r="F64" s="1"/>
      <c r="G64" s="1"/>
      <c r="H64" s="5">
        <f>+H63</f>
        <v>25</v>
      </c>
      <c r="I64" s="1"/>
      <c r="J64" s="1"/>
      <c r="K64" s="11" t="str">
        <f>VLOOKUP(H64,'Inf Bloques'!$A$1:$J$453,10,FALSE)</f>
        <v>CV</v>
      </c>
      <c r="L64" s="13"/>
    </row>
    <row r="65" spans="1:12" hidden="1" x14ac:dyDescent="0.2">
      <c r="A65" s="295" t="str">
        <f>+'PROGRAMA DRENCH PASO 1'!T13</f>
        <v>Serenade</v>
      </c>
      <c r="B65" s="1"/>
      <c r="C65" s="1" t="str">
        <f>IFERROR((VLOOKUP($A65,'[2]CODIGOS D'!$A$3:$S$451,2,FALSE)),"0")</f>
        <v>0</v>
      </c>
      <c r="D65" s="299">
        <f>+'PROGRAMA DRENCH PASO 1'!U13</f>
        <v>343.8</v>
      </c>
      <c r="E65" s="1"/>
      <c r="F65" s="1"/>
      <c r="G65" s="1"/>
      <c r="H65" s="5">
        <f t="shared" ref="H65:H68" si="10">+H64</f>
        <v>25</v>
      </c>
      <c r="I65" s="1"/>
      <c r="J65" s="1"/>
      <c r="K65" s="11" t="str">
        <f>VLOOKUP(H65,'Inf Bloques'!$A$1:$J$453,10,FALSE)</f>
        <v>CV</v>
      </c>
      <c r="L65" s="13"/>
    </row>
    <row r="66" spans="1:12" hidden="1" x14ac:dyDescent="0.2">
      <c r="A66" s="295">
        <f>+'PROGRAMA DRENCH PASO 1'!X13</f>
        <v>0</v>
      </c>
      <c r="B66" s="1"/>
      <c r="C66" s="1" t="str">
        <f>IFERROR((VLOOKUP($A66,'[2]CODIGOS D'!$A$3:$S$451,2,FALSE)),"0")</f>
        <v>0</v>
      </c>
      <c r="D66" s="299">
        <f>+'PROGRAMA DRENCH PASO 1'!Y13</f>
        <v>0</v>
      </c>
      <c r="E66" s="1"/>
      <c r="F66" s="1"/>
      <c r="G66" s="1"/>
      <c r="H66" s="5">
        <f t="shared" si="10"/>
        <v>25</v>
      </c>
      <c r="I66" s="1"/>
      <c r="J66" s="1"/>
      <c r="K66" s="11" t="str">
        <f>VLOOKUP(H66,'Inf Bloques'!$A$1:$J$453,10,FALSE)</f>
        <v>CV</v>
      </c>
      <c r="L66" s="13"/>
    </row>
    <row r="67" spans="1:12" hidden="1" x14ac:dyDescent="0.2">
      <c r="A67" s="296">
        <f>+'PROGRAMA DRENCH PASO 1'!AB13</f>
        <v>0</v>
      </c>
      <c r="B67" s="1"/>
      <c r="C67" s="1" t="str">
        <f>IFERROR((VLOOKUP($A67,'[2]CODIGOS D'!$A$3:$S$451,2,FALSE)),"0")</f>
        <v>0</v>
      </c>
      <c r="D67" s="299">
        <f>+'PROGRAMA DRENCH PASO 1'!AC13</f>
        <v>0</v>
      </c>
      <c r="E67" s="1"/>
      <c r="F67" s="1"/>
      <c r="G67" s="1"/>
      <c r="H67" s="5">
        <f t="shared" si="10"/>
        <v>25</v>
      </c>
      <c r="I67" s="1"/>
      <c r="J67" s="1"/>
      <c r="K67" s="11" t="str">
        <f>VLOOKUP(H67,'Inf Bloques'!$A$1:$J$453,10,FALSE)</f>
        <v>CV</v>
      </c>
      <c r="L67" s="13"/>
    </row>
    <row r="68" spans="1:12" hidden="1" x14ac:dyDescent="0.2">
      <c r="A68" s="296">
        <f>+'PROGRAMA DRENCH PASO 1'!AF13</f>
        <v>0</v>
      </c>
      <c r="B68" s="1"/>
      <c r="C68" s="1" t="str">
        <f>IFERROR((VLOOKUP($A68,'[2]CODIGOS D'!$A$3:$S$451,2,FALSE)),"0")</f>
        <v>0</v>
      </c>
      <c r="D68" s="299">
        <f>+'PROGRAMA DRENCH PASO 1'!AG13</f>
        <v>0</v>
      </c>
      <c r="E68" s="1"/>
      <c r="F68" s="1"/>
      <c r="G68" s="1"/>
      <c r="H68" s="5">
        <f t="shared" si="10"/>
        <v>25</v>
      </c>
      <c r="I68" s="1"/>
      <c r="J68" s="1"/>
      <c r="K68" s="11" t="str">
        <f>VLOOKUP(H68,'Inf Bloques'!$A$1:$J$453,10,FALSE)</f>
        <v>CV</v>
      </c>
      <c r="L68" s="13"/>
    </row>
    <row r="69" spans="1:12" x14ac:dyDescent="0.2">
      <c r="A69" s="295" t="str">
        <f>+'PROGRAMA DRENCH PASO 1'!L14</f>
        <v xml:space="preserve">NAKAR 20 EC </v>
      </c>
      <c r="B69" s="1"/>
      <c r="C69" s="1" t="str">
        <f>IFERROR((VLOOKUP($A69,'[2]CODIGOS D'!$A$3:$S$451,2,FALSE)),"0")</f>
        <v>0</v>
      </c>
      <c r="D69" s="298">
        <f>+'PROGRAMA DRENCH PASO 1'!M14</f>
        <v>570</v>
      </c>
      <c r="E69" s="1"/>
      <c r="F69" s="1"/>
      <c r="G69" s="1"/>
      <c r="H69" s="4" t="str">
        <f>'PROGRAMA DRENCH PASO 1'!B14</f>
        <v>26B</v>
      </c>
      <c r="I69" s="1"/>
      <c r="J69" s="1"/>
      <c r="K69" s="11" t="str">
        <f>VLOOKUP(H69,'Inf Bloques'!$A$1:$J$453,10,FALSE)</f>
        <v>CV</v>
      </c>
      <c r="L69" s="13"/>
    </row>
    <row r="70" spans="1:12" hidden="1" x14ac:dyDescent="0.2">
      <c r="A70" s="295" t="str">
        <f>+'PROGRAMA DRENCH PASO 1'!P14</f>
        <v>FUNGAFLOR</v>
      </c>
      <c r="B70" s="1"/>
      <c r="C70" s="1" t="str">
        <f>IFERROR((VLOOKUP($A70,'[2]CODIGOS D'!$A$3:$S$451,2,FALSE)),"0")</f>
        <v>0</v>
      </c>
      <c r="D70" s="299">
        <f>+'PROGRAMA DRENCH PASO 1'!Q14</f>
        <v>228</v>
      </c>
      <c r="E70" s="1"/>
      <c r="F70" s="1"/>
      <c r="G70" s="1"/>
      <c r="H70" s="5" t="str">
        <f>+H69</f>
        <v>26B</v>
      </c>
      <c r="I70" s="1"/>
      <c r="J70" s="1"/>
      <c r="K70" s="11" t="str">
        <f>VLOOKUP(H70,'Inf Bloques'!$A$1:$J$453,10,FALSE)</f>
        <v>CV</v>
      </c>
      <c r="L70" s="13"/>
    </row>
    <row r="71" spans="1:12" hidden="1" x14ac:dyDescent="0.2">
      <c r="A71" s="295">
        <f>+'PROGRAMA DRENCH PASO 1'!T14</f>
        <v>0</v>
      </c>
      <c r="B71" s="1"/>
      <c r="C71" s="1" t="str">
        <f>IFERROR((VLOOKUP($A71,'[2]CODIGOS D'!$A$3:$S$451,2,FALSE)),"0")</f>
        <v>0</v>
      </c>
      <c r="D71" s="299">
        <f>+'PROGRAMA DRENCH PASO 1'!U14</f>
        <v>0</v>
      </c>
      <c r="E71" s="1"/>
      <c r="F71" s="1"/>
      <c r="G71" s="1"/>
      <c r="H71" s="5" t="str">
        <f t="shared" ref="H71:H74" si="11">+H70</f>
        <v>26B</v>
      </c>
      <c r="I71" s="1"/>
      <c r="J71" s="1"/>
      <c r="K71" s="11" t="str">
        <f>VLOOKUP(H71,'Inf Bloques'!$A$1:$J$453,10,FALSE)</f>
        <v>CV</v>
      </c>
      <c r="L71" s="13"/>
    </row>
    <row r="72" spans="1:12" hidden="1" x14ac:dyDescent="0.2">
      <c r="A72" s="295">
        <f>+'PROGRAMA DRENCH PASO 1'!X14</f>
        <v>0</v>
      </c>
      <c r="B72" s="1"/>
      <c r="C72" s="1" t="str">
        <f>IFERROR((VLOOKUP($A72,'[2]CODIGOS D'!$A$3:$S$451,2,FALSE)),"0")</f>
        <v>0</v>
      </c>
      <c r="D72" s="299">
        <f>+'PROGRAMA DRENCH PASO 1'!Y14</f>
        <v>0</v>
      </c>
      <c r="E72" s="1"/>
      <c r="F72" s="1"/>
      <c r="G72" s="1"/>
      <c r="H72" s="5" t="str">
        <f t="shared" si="11"/>
        <v>26B</v>
      </c>
      <c r="I72" s="1"/>
      <c r="J72" s="1"/>
      <c r="K72" s="11" t="str">
        <f>VLOOKUP(H72,'Inf Bloques'!$A$1:$J$453,10,FALSE)</f>
        <v>CV</v>
      </c>
      <c r="L72" s="13"/>
    </row>
    <row r="73" spans="1:12" hidden="1" x14ac:dyDescent="0.2">
      <c r="A73" s="296">
        <f>+'PROGRAMA DRENCH PASO 1'!AB14</f>
        <v>0</v>
      </c>
      <c r="B73" s="1"/>
      <c r="C73" s="1" t="str">
        <f>IFERROR((VLOOKUP($A73,'[2]CODIGOS D'!$A$3:$S$451,2,FALSE)),"0")</f>
        <v>0</v>
      </c>
      <c r="D73" s="299">
        <f>+'PROGRAMA DRENCH PASO 1'!AC14</f>
        <v>0</v>
      </c>
      <c r="E73" s="1"/>
      <c r="F73" s="1"/>
      <c r="G73" s="1"/>
      <c r="H73" s="5" t="str">
        <f t="shared" si="11"/>
        <v>26B</v>
      </c>
      <c r="I73" s="1"/>
      <c r="J73" s="1"/>
      <c r="K73" s="11" t="str">
        <f>VLOOKUP(H73,'Inf Bloques'!$A$1:$J$453,10,FALSE)</f>
        <v>CV</v>
      </c>
      <c r="L73" s="13"/>
    </row>
    <row r="74" spans="1:12" hidden="1" x14ac:dyDescent="0.2">
      <c r="A74" s="296">
        <f>+'PROGRAMA DRENCH PASO 1'!AF14</f>
        <v>0</v>
      </c>
      <c r="B74" s="1"/>
      <c r="C74" s="1" t="str">
        <f>IFERROR((VLOOKUP($A74,'[2]CODIGOS D'!$A$3:$S$451,2,FALSE)),"0")</f>
        <v>0</v>
      </c>
      <c r="D74" s="299">
        <f>+'PROGRAMA DRENCH PASO 1'!AG14</f>
        <v>0</v>
      </c>
      <c r="E74" s="1"/>
      <c r="F74" s="1"/>
      <c r="G74" s="1"/>
      <c r="H74" s="5" t="str">
        <f t="shared" si="11"/>
        <v>26B</v>
      </c>
      <c r="I74" s="1"/>
      <c r="J74" s="1"/>
      <c r="K74" s="11" t="str">
        <f>VLOOKUP(H74,'Inf Bloques'!$A$1:$J$453,10,FALSE)</f>
        <v>CV</v>
      </c>
      <c r="L74" s="13"/>
    </row>
    <row r="75" spans="1:12" x14ac:dyDescent="0.2">
      <c r="A75" s="295" t="str">
        <f>+'PROGRAMA DRENCH PASO 1'!L15</f>
        <v xml:space="preserve">NAKAR 20 EC </v>
      </c>
      <c r="B75" s="1"/>
      <c r="C75" s="1" t="str">
        <f>IFERROR((VLOOKUP($A75,'[2]CODIGOS D'!$A$3:$S$451,2,FALSE)),"0")</f>
        <v>0</v>
      </c>
      <c r="D75" s="298">
        <f>+'PROGRAMA DRENCH PASO 1'!M15</f>
        <v>1000</v>
      </c>
      <c r="E75" s="1"/>
      <c r="F75" s="1"/>
      <c r="G75" s="1"/>
      <c r="H75" s="4">
        <f>'PROGRAMA DRENCH PASO 1'!B15</f>
        <v>10</v>
      </c>
      <c r="I75" s="1"/>
      <c r="J75" s="1"/>
      <c r="K75" s="11" t="str">
        <f>VLOOKUP(H75,'Inf Bloques'!$A$1:$J$453,10,FALSE)</f>
        <v>CV</v>
      </c>
      <c r="L75" s="13"/>
    </row>
    <row r="76" spans="1:12" hidden="1" x14ac:dyDescent="0.2">
      <c r="A76" s="295" t="str">
        <f>+'PROGRAMA DRENCH PASO 1'!P15</f>
        <v>FUNGAFLOR</v>
      </c>
      <c r="B76" s="1"/>
      <c r="C76" s="1" t="str">
        <f>IFERROR((VLOOKUP($A76,'[2]CODIGOS D'!$A$3:$S$451,2,FALSE)),"0")</f>
        <v>0</v>
      </c>
      <c r="D76" s="299">
        <f>+'PROGRAMA DRENCH PASO 1'!Q15</f>
        <v>400</v>
      </c>
      <c r="E76" s="1"/>
      <c r="F76" s="1"/>
      <c r="G76" s="1"/>
      <c r="H76" s="5">
        <f>+H75</f>
        <v>10</v>
      </c>
      <c r="I76" s="1"/>
      <c r="J76" s="1"/>
      <c r="K76" s="11" t="str">
        <f>VLOOKUP(H76,'Inf Bloques'!$A$1:$J$453,10,FALSE)</f>
        <v>CV</v>
      </c>
      <c r="L76" s="13"/>
    </row>
    <row r="77" spans="1:12" hidden="1" x14ac:dyDescent="0.2">
      <c r="A77" s="295">
        <f>+'PROGRAMA DRENCH PASO 1'!T15</f>
        <v>0</v>
      </c>
      <c r="B77" s="1"/>
      <c r="C77" s="1" t="str">
        <f>IFERROR((VLOOKUP($A77,'[2]CODIGOS D'!$A$3:$S$451,2,FALSE)),"0")</f>
        <v>0</v>
      </c>
      <c r="D77" s="299">
        <f>+'PROGRAMA DRENCH PASO 1'!U15</f>
        <v>0</v>
      </c>
      <c r="E77" s="1"/>
      <c r="F77" s="1"/>
      <c r="G77" s="1"/>
      <c r="H77" s="5">
        <f t="shared" ref="H77:H80" si="12">+H76</f>
        <v>10</v>
      </c>
      <c r="I77" s="1"/>
      <c r="J77" s="1"/>
      <c r="K77" s="11" t="str">
        <f>VLOOKUP(H77,'Inf Bloques'!$A$1:$J$453,10,FALSE)</f>
        <v>CV</v>
      </c>
      <c r="L77" s="13"/>
    </row>
    <row r="78" spans="1:12" hidden="1" x14ac:dyDescent="0.2">
      <c r="A78" s="295">
        <f>+'PROGRAMA DRENCH PASO 1'!X15</f>
        <v>0</v>
      </c>
      <c r="B78" s="1"/>
      <c r="C78" s="1" t="str">
        <f>IFERROR((VLOOKUP($A78,'[2]CODIGOS D'!$A$3:$S$451,2,FALSE)),"0")</f>
        <v>0</v>
      </c>
      <c r="D78" s="299">
        <f>+'PROGRAMA DRENCH PASO 1'!Y15</f>
        <v>0</v>
      </c>
      <c r="E78" s="1"/>
      <c r="F78" s="1"/>
      <c r="G78" s="1"/>
      <c r="H78" s="5">
        <f t="shared" si="12"/>
        <v>10</v>
      </c>
      <c r="I78" s="1"/>
      <c r="J78" s="1"/>
      <c r="K78" s="11" t="str">
        <f>VLOOKUP(H78,'Inf Bloques'!$A$1:$J$453,10,FALSE)</f>
        <v>CV</v>
      </c>
      <c r="L78" s="13"/>
    </row>
    <row r="79" spans="1:12" hidden="1" x14ac:dyDescent="0.2">
      <c r="A79" s="296">
        <f>+'PROGRAMA DRENCH PASO 1'!AB15</f>
        <v>0</v>
      </c>
      <c r="B79" s="1"/>
      <c r="C79" s="1" t="str">
        <f>IFERROR((VLOOKUP($A79,'[2]CODIGOS D'!$A$3:$S$451,2,FALSE)),"0")</f>
        <v>0</v>
      </c>
      <c r="D79" s="299">
        <f>+'PROGRAMA DRENCH PASO 1'!AC15</f>
        <v>0</v>
      </c>
      <c r="E79" s="1"/>
      <c r="F79" s="1"/>
      <c r="G79" s="1"/>
      <c r="H79" s="5">
        <f t="shared" si="12"/>
        <v>10</v>
      </c>
      <c r="I79" s="1"/>
      <c r="J79" s="1"/>
      <c r="K79" s="11" t="str">
        <f>VLOOKUP(H79,'Inf Bloques'!$A$1:$J$453,10,FALSE)</f>
        <v>CV</v>
      </c>
      <c r="L79" s="13"/>
    </row>
    <row r="80" spans="1:12" hidden="1" x14ac:dyDescent="0.2">
      <c r="A80" s="296">
        <f>+'PROGRAMA DRENCH PASO 1'!AF15</f>
        <v>0</v>
      </c>
      <c r="B80" s="1"/>
      <c r="C80" s="1" t="str">
        <f>IFERROR((VLOOKUP($A80,'[2]CODIGOS D'!$A$3:$S$451,2,FALSE)),"0")</f>
        <v>0</v>
      </c>
      <c r="D80" s="299">
        <f>+'PROGRAMA DRENCH PASO 1'!AG15</f>
        <v>0</v>
      </c>
      <c r="E80" s="1"/>
      <c r="F80" s="1"/>
      <c r="G80" s="1"/>
      <c r="H80" s="5">
        <f t="shared" si="12"/>
        <v>10</v>
      </c>
      <c r="I80" s="1"/>
      <c r="J80" s="1"/>
      <c r="K80" s="11" t="str">
        <f>VLOOKUP(H80,'Inf Bloques'!$A$1:$J$453,10,FALSE)</f>
        <v>CV</v>
      </c>
      <c r="L80" s="13"/>
    </row>
    <row r="81" spans="1:12" x14ac:dyDescent="0.2">
      <c r="A81" s="295" t="str">
        <f>+'PROGRAMA DRENCH PASO 1'!L16</f>
        <v xml:space="preserve">NAKAR 20 EC </v>
      </c>
      <c r="B81" s="1"/>
      <c r="C81" s="1" t="str">
        <f>IFERROR((VLOOKUP($A81,'[2]CODIGOS D'!$A$3:$S$451,2,FALSE)),"0")</f>
        <v>0</v>
      </c>
      <c r="D81" s="298">
        <f>+'PROGRAMA DRENCH PASO 1'!M16</f>
        <v>965</v>
      </c>
      <c r="E81" s="1"/>
      <c r="F81" s="1"/>
      <c r="G81" s="1"/>
      <c r="H81" s="4">
        <f>'PROGRAMA DRENCH PASO 1'!B16</f>
        <v>11</v>
      </c>
      <c r="I81" s="1"/>
      <c r="J81" s="1"/>
      <c r="K81" s="11" t="str">
        <f>VLOOKUP(H81,'Inf Bloques'!$A$1:$J$453,10,FALSE)</f>
        <v>CV</v>
      </c>
      <c r="L81" s="13"/>
    </row>
    <row r="82" spans="1:12" hidden="1" x14ac:dyDescent="0.2">
      <c r="A82" s="295" t="str">
        <f>+'PROGRAMA DRENCH PASO 1'!P16</f>
        <v>FUNGAFLOR</v>
      </c>
      <c r="B82" s="1"/>
      <c r="C82" s="1" t="str">
        <f>IFERROR((VLOOKUP($A82,'[2]CODIGOS D'!$A$3:$S$451,2,FALSE)),"0")</f>
        <v>0</v>
      </c>
      <c r="D82" s="299">
        <f>+'PROGRAMA DRENCH PASO 1'!Q16</f>
        <v>386</v>
      </c>
      <c r="E82" s="1"/>
      <c r="F82" s="1"/>
      <c r="G82" s="1"/>
      <c r="H82" s="5">
        <f>+H81</f>
        <v>11</v>
      </c>
      <c r="I82" s="1"/>
      <c r="J82" s="1"/>
      <c r="K82" s="11" t="str">
        <f>VLOOKUP(H82,'Inf Bloques'!$A$1:$J$453,10,FALSE)</f>
        <v>CV</v>
      </c>
      <c r="L82" s="13"/>
    </row>
    <row r="83" spans="1:12" hidden="1" x14ac:dyDescent="0.2">
      <c r="A83" s="295">
        <f>+'PROGRAMA DRENCH PASO 1'!T16</f>
        <v>0</v>
      </c>
      <c r="B83" s="1"/>
      <c r="C83" s="1" t="str">
        <f>IFERROR((VLOOKUP($A83,'[2]CODIGOS D'!$A$3:$S$451,2,FALSE)),"0")</f>
        <v>0</v>
      </c>
      <c r="D83" s="299">
        <f>+'PROGRAMA DRENCH PASO 1'!U16</f>
        <v>0</v>
      </c>
      <c r="E83" s="1"/>
      <c r="F83" s="1"/>
      <c r="G83" s="1"/>
      <c r="H83" s="5">
        <f t="shared" ref="H83:H86" si="13">+H82</f>
        <v>11</v>
      </c>
      <c r="I83" s="1"/>
      <c r="J83" s="1"/>
      <c r="K83" s="11" t="str">
        <f>VLOOKUP(H83,'Inf Bloques'!$A$1:$J$453,10,FALSE)</f>
        <v>CV</v>
      </c>
      <c r="L83" s="13"/>
    </row>
    <row r="84" spans="1:12" ht="12" hidden="1" customHeight="1" x14ac:dyDescent="0.2">
      <c r="A84" s="295">
        <f>+'PROGRAMA DRENCH PASO 1'!X16</f>
        <v>0</v>
      </c>
      <c r="B84" s="1"/>
      <c r="C84" s="1" t="str">
        <f>IFERROR((VLOOKUP($A84,'[2]CODIGOS D'!$A$3:$S$451,2,FALSE)),"0")</f>
        <v>0</v>
      </c>
      <c r="D84" s="299">
        <f>+'PROGRAMA DRENCH PASO 1'!Y16</f>
        <v>0</v>
      </c>
      <c r="E84" s="1"/>
      <c r="F84" s="1"/>
      <c r="G84" s="1"/>
      <c r="H84" s="5">
        <f t="shared" si="13"/>
        <v>11</v>
      </c>
      <c r="I84" s="1"/>
      <c r="J84" s="1"/>
      <c r="K84" s="11" t="str">
        <f>VLOOKUP(H84,'Inf Bloques'!$A$1:$J$453,10,FALSE)</f>
        <v>CV</v>
      </c>
      <c r="L84" s="13"/>
    </row>
    <row r="85" spans="1:12" hidden="1" x14ac:dyDescent="0.2">
      <c r="A85" s="296">
        <f>+'PROGRAMA DRENCH PASO 1'!AB16</f>
        <v>0</v>
      </c>
      <c r="B85" s="1"/>
      <c r="C85" s="1" t="str">
        <f>IFERROR((VLOOKUP($A85,'[2]CODIGOS D'!$A$3:$S$451,2,FALSE)),"0")</f>
        <v>0</v>
      </c>
      <c r="D85" s="299">
        <f>+'PROGRAMA DRENCH PASO 1'!AC16</f>
        <v>0</v>
      </c>
      <c r="E85" s="1"/>
      <c r="F85" s="1"/>
      <c r="G85" s="1"/>
      <c r="H85" s="5">
        <f t="shared" si="13"/>
        <v>11</v>
      </c>
      <c r="I85" s="1"/>
      <c r="J85" s="1"/>
      <c r="K85" s="11" t="str">
        <f>VLOOKUP(H85,'Inf Bloques'!$A$1:$J$453,10,FALSE)</f>
        <v>CV</v>
      </c>
      <c r="L85" s="13"/>
    </row>
    <row r="86" spans="1:12" hidden="1" x14ac:dyDescent="0.2">
      <c r="A86" s="296">
        <f>+'PROGRAMA DRENCH PASO 1'!AF16</f>
        <v>0</v>
      </c>
      <c r="B86" s="1"/>
      <c r="C86" s="1" t="str">
        <f>IFERROR((VLOOKUP($A86,'[2]CODIGOS D'!$A$3:$S$451,2,FALSE)),"0")</f>
        <v>0</v>
      </c>
      <c r="D86" s="299">
        <f>+'PROGRAMA DRENCH PASO 1'!AG16</f>
        <v>0</v>
      </c>
      <c r="E86" s="1"/>
      <c r="F86" s="1"/>
      <c r="G86" s="1"/>
      <c r="H86" s="5">
        <f t="shared" si="13"/>
        <v>11</v>
      </c>
      <c r="I86" s="1"/>
      <c r="J86" s="1"/>
      <c r="K86" s="11" t="str">
        <f>VLOOKUP(H86,'Inf Bloques'!$A$1:$J$453,10,FALSE)</f>
        <v>CV</v>
      </c>
      <c r="L86" s="13"/>
    </row>
    <row r="87" spans="1:12" x14ac:dyDescent="0.2">
      <c r="A87" s="295" t="str">
        <f>+'PROGRAMA DRENCH PASO 1'!L17</f>
        <v>ALCAPLANT</v>
      </c>
      <c r="B87" s="1"/>
      <c r="C87" s="1" t="str">
        <f>IFERROR((VLOOKUP($A87,'[2]CODIGOS D'!$A$3:$S$451,2,FALSE)),"0")</f>
        <v>FA053</v>
      </c>
      <c r="D87" s="298">
        <f>+'PROGRAMA DRENCH PASO 1'!M17</f>
        <v>1826.0000000000002</v>
      </c>
      <c r="E87" s="1"/>
      <c r="F87" s="1"/>
      <c r="G87" s="1"/>
      <c r="H87" s="4">
        <f>'PROGRAMA DRENCH PASO 1'!B17</f>
        <v>13</v>
      </c>
      <c r="I87" s="1"/>
      <c r="J87" s="1"/>
      <c r="K87" s="11" t="str">
        <f>VLOOKUP(H87,'Inf Bloques'!$A$1:$J$453,10,FALSE)</f>
        <v>MM1</v>
      </c>
      <c r="L87" s="13"/>
    </row>
    <row r="88" spans="1:12" hidden="1" x14ac:dyDescent="0.2">
      <c r="A88" s="295">
        <f>+'PROGRAMA DRENCH PASO 1'!P17</f>
        <v>0</v>
      </c>
      <c r="B88" s="1"/>
      <c r="C88" s="1" t="str">
        <f>IFERROR((VLOOKUP($A88,'[2]CODIGOS D'!$A$3:$S$451,2,FALSE)),"0")</f>
        <v>0</v>
      </c>
      <c r="D88" s="299">
        <f>+'PROGRAMA DRENCH PASO 1'!Q17</f>
        <v>0</v>
      </c>
      <c r="E88" s="1"/>
      <c r="F88" s="1"/>
      <c r="G88" s="1"/>
      <c r="H88" s="5">
        <f>+H87</f>
        <v>13</v>
      </c>
      <c r="I88" s="1"/>
      <c r="J88" s="1"/>
      <c r="K88" s="11" t="str">
        <f>VLOOKUP(H88,'Inf Bloques'!$A$1:$J$453,10,FALSE)</f>
        <v>MM1</v>
      </c>
      <c r="L88" s="13"/>
    </row>
    <row r="89" spans="1:12" hidden="1" x14ac:dyDescent="0.2">
      <c r="A89" s="295">
        <f>+'PROGRAMA DRENCH PASO 1'!T17</f>
        <v>0</v>
      </c>
      <c r="B89" s="1"/>
      <c r="C89" s="1" t="str">
        <f>IFERROR((VLOOKUP($A89,'[2]CODIGOS D'!$A$3:$S$451,2,FALSE)),"0")</f>
        <v>0</v>
      </c>
      <c r="D89" s="299">
        <f>+'PROGRAMA DRENCH PASO 1'!U17</f>
        <v>0</v>
      </c>
      <c r="E89" s="1"/>
      <c r="F89" s="1"/>
      <c r="G89" s="1"/>
      <c r="H89" s="5">
        <f t="shared" ref="H89:H92" si="14">+H88</f>
        <v>13</v>
      </c>
      <c r="I89" s="1"/>
      <c r="J89" s="1"/>
      <c r="K89" s="11" t="str">
        <f>VLOOKUP(H89,'Inf Bloques'!$A$1:$J$453,10,FALSE)</f>
        <v>MM1</v>
      </c>
      <c r="L89" s="13"/>
    </row>
    <row r="90" spans="1:12" hidden="1" x14ac:dyDescent="0.2">
      <c r="A90" s="295">
        <f>+'PROGRAMA DRENCH PASO 1'!X17</f>
        <v>0</v>
      </c>
      <c r="B90" s="1"/>
      <c r="C90" s="1" t="str">
        <f>IFERROR((VLOOKUP($A90,'[2]CODIGOS D'!$A$3:$S$451,2,FALSE)),"0")</f>
        <v>0</v>
      </c>
      <c r="D90" s="299">
        <f>+'PROGRAMA DRENCH PASO 1'!Y17</f>
        <v>0</v>
      </c>
      <c r="E90" s="1"/>
      <c r="F90" s="1"/>
      <c r="G90" s="1"/>
      <c r="H90" s="5">
        <f t="shared" si="14"/>
        <v>13</v>
      </c>
      <c r="I90" s="1"/>
      <c r="J90" s="1"/>
      <c r="K90" s="11" t="str">
        <f>VLOOKUP(H90,'Inf Bloques'!$A$1:$J$453,10,FALSE)</f>
        <v>MM1</v>
      </c>
      <c r="L90" s="13"/>
    </row>
    <row r="91" spans="1:12" hidden="1" x14ac:dyDescent="0.2">
      <c r="A91" s="296">
        <f>+'PROGRAMA DRENCH PASO 1'!AB17</f>
        <v>0</v>
      </c>
      <c r="B91" s="1"/>
      <c r="C91" s="1" t="str">
        <f>IFERROR((VLOOKUP($A91,'[2]CODIGOS D'!$A$3:$S$451,2,FALSE)),"0")</f>
        <v>0</v>
      </c>
      <c r="D91" s="299">
        <f>+'PROGRAMA DRENCH PASO 1'!AC17</f>
        <v>0</v>
      </c>
      <c r="E91" s="1"/>
      <c r="F91" s="1"/>
      <c r="G91" s="1"/>
      <c r="H91" s="5">
        <f t="shared" si="14"/>
        <v>13</v>
      </c>
      <c r="I91" s="1"/>
      <c r="J91" s="1"/>
      <c r="K91" s="11" t="str">
        <f>VLOOKUP(H91,'Inf Bloques'!$A$1:$J$453,10,FALSE)</f>
        <v>MM1</v>
      </c>
      <c r="L91" s="13"/>
    </row>
    <row r="92" spans="1:12" hidden="1" x14ac:dyDescent="0.2">
      <c r="A92" s="296">
        <f>+'PROGRAMA DRENCH PASO 1'!AF17</f>
        <v>0</v>
      </c>
      <c r="B92" s="1"/>
      <c r="C92" s="1" t="str">
        <f>IFERROR((VLOOKUP($A92,'[2]CODIGOS D'!$A$3:$S$451,2,FALSE)),"0")</f>
        <v>0</v>
      </c>
      <c r="D92" s="299">
        <f>+'PROGRAMA DRENCH PASO 1'!AG17</f>
        <v>0</v>
      </c>
      <c r="E92" s="1"/>
      <c r="F92" s="1"/>
      <c r="G92" s="1"/>
      <c r="H92" s="5">
        <f t="shared" si="14"/>
        <v>13</v>
      </c>
      <c r="I92" s="1"/>
      <c r="J92" s="1"/>
      <c r="K92" s="11" t="str">
        <f>VLOOKUP(H92,'Inf Bloques'!$A$1:$J$453,10,FALSE)</f>
        <v>MM1</v>
      </c>
      <c r="L92" s="13"/>
    </row>
    <row r="93" spans="1:12" x14ac:dyDescent="0.2">
      <c r="A93" s="295" t="str">
        <f>+'PROGRAMA DRENCH PASO 1'!L18</f>
        <v>RAIZA</v>
      </c>
      <c r="B93" s="1"/>
      <c r="C93" s="1" t="str">
        <f>IFERROR((VLOOKUP($A93,'[2]CODIGOS D'!$A$3:$S$451,2,FALSE)),"0")</f>
        <v>FB058</v>
      </c>
      <c r="D93" s="298">
        <f>+'PROGRAMA DRENCH PASO 1'!M18</f>
        <v>339.90000000000003</v>
      </c>
      <c r="E93" s="1"/>
      <c r="F93" s="1"/>
      <c r="G93" s="1"/>
      <c r="H93" s="4" t="str">
        <f>'PROGRAMA DRENCH PASO 1'!B18</f>
        <v>20A</v>
      </c>
      <c r="I93" s="1"/>
      <c r="J93" s="1"/>
      <c r="K93" s="11" t="str">
        <f>VLOOKUP(H93,'Inf Bloques'!$A$1:$J$453,10,FALSE)</f>
        <v>CV</v>
      </c>
      <c r="L93" s="13"/>
    </row>
    <row r="94" spans="1:12" hidden="1" x14ac:dyDescent="0.2">
      <c r="A94" s="295" t="str">
        <f>+'PROGRAMA DRENCH PASO 1'!P18</f>
        <v>HUMISTAR WG</v>
      </c>
      <c r="B94" s="1"/>
      <c r="C94" s="1" t="str">
        <f>IFERROR((VLOOKUP($A94,'[2]CODIGOS D'!$A$3:$S$451,2,FALSE)),"0")</f>
        <v>0</v>
      </c>
      <c r="D94" s="299">
        <f>+'PROGRAMA DRENCH PASO 1'!Q18</f>
        <v>206</v>
      </c>
      <c r="E94" s="1"/>
      <c r="F94" s="1"/>
      <c r="G94" s="1"/>
      <c r="H94" s="5" t="str">
        <f>+H93</f>
        <v>20A</v>
      </c>
      <c r="I94" s="1"/>
      <c r="J94" s="1"/>
      <c r="K94" s="11" t="str">
        <f>VLOOKUP(H94,'Inf Bloques'!$A$1:$J$453,10,FALSE)</f>
        <v>CV</v>
      </c>
      <c r="L94" s="13"/>
    </row>
    <row r="95" spans="1:12" hidden="1" x14ac:dyDescent="0.2">
      <c r="A95" s="295" t="str">
        <f>+'PROGRAMA DRENCH PASO 1'!T18</f>
        <v>Beauveria</v>
      </c>
      <c r="B95" s="1"/>
      <c r="C95" s="1" t="str">
        <f>IFERROR((VLOOKUP($A95,'[2]CODIGOS D'!$A$3:$S$451,2,FALSE)),"0")</f>
        <v>FB998</v>
      </c>
      <c r="D95" s="299">
        <f>+'PROGRAMA DRENCH PASO 1'!U18</f>
        <v>6180</v>
      </c>
      <c r="E95" s="1"/>
      <c r="F95" s="1"/>
      <c r="G95" s="1"/>
      <c r="H95" s="5" t="str">
        <f t="shared" ref="H95:H98" si="15">+H94</f>
        <v>20A</v>
      </c>
      <c r="I95" s="1"/>
      <c r="J95" s="1"/>
      <c r="K95" s="11" t="str">
        <f>VLOOKUP(H95,'Inf Bloques'!$A$1:$J$453,10,FALSE)</f>
        <v>CV</v>
      </c>
      <c r="L95" s="13"/>
    </row>
    <row r="96" spans="1:12" hidden="1" x14ac:dyDescent="0.2">
      <c r="A96" s="295" t="str">
        <f>+'PROGRAMA DRENCH PASO 1'!X18</f>
        <v>Paecilomyces</v>
      </c>
      <c r="B96" s="1"/>
      <c r="C96" s="1" t="str">
        <f>IFERROR((VLOOKUP($A96,'[2]CODIGOS D'!$A$3:$S$451,2,FALSE)),"0")</f>
        <v>FB996</v>
      </c>
      <c r="D96" s="299">
        <f>+'PROGRAMA DRENCH PASO 1'!Y18</f>
        <v>8240</v>
      </c>
      <c r="E96" s="1"/>
      <c r="F96" s="1"/>
      <c r="G96" s="1"/>
      <c r="H96" s="5" t="str">
        <f t="shared" si="15"/>
        <v>20A</v>
      </c>
      <c r="I96" s="1"/>
      <c r="J96" s="1"/>
      <c r="K96" s="11" t="str">
        <f>VLOOKUP(H96,'Inf Bloques'!$A$1:$J$453,10,FALSE)</f>
        <v>CV</v>
      </c>
      <c r="L96" s="13"/>
    </row>
    <row r="97" spans="1:12" hidden="1" x14ac:dyDescent="0.2">
      <c r="A97" s="296" t="str">
        <f>+'PROGRAMA DRENCH PASO 1'!AB18</f>
        <v>Trichoderma</v>
      </c>
      <c r="B97" s="1"/>
      <c r="C97" s="1" t="str">
        <f>IFERROR((VLOOKUP($A97,'[2]CODIGOS D'!$A$3:$S$451,2,FALSE)),"0")</f>
        <v>FB999</v>
      </c>
      <c r="D97" s="299">
        <f>+'PROGRAMA DRENCH PASO 1'!AC18</f>
        <v>20.656166666666664</v>
      </c>
      <c r="E97" s="1"/>
      <c r="F97" s="1"/>
      <c r="G97" s="1"/>
      <c r="H97" s="5" t="str">
        <f t="shared" si="15"/>
        <v>20A</v>
      </c>
      <c r="I97" s="1"/>
      <c r="J97" s="1"/>
      <c r="K97" s="11" t="str">
        <f>VLOOKUP(H97,'Inf Bloques'!$A$1:$J$453,10,FALSE)</f>
        <v>CV</v>
      </c>
      <c r="L97" s="13"/>
    </row>
    <row r="98" spans="1:12" hidden="1" x14ac:dyDescent="0.2">
      <c r="A98" s="296">
        <f>+'PROGRAMA DRENCH PASO 1'!AF18</f>
        <v>0</v>
      </c>
      <c r="B98" s="1"/>
      <c r="C98" s="1" t="str">
        <f>IFERROR((VLOOKUP($A98,'[2]CODIGOS D'!$A$3:$S$451,2,FALSE)),"0")</f>
        <v>0</v>
      </c>
      <c r="D98" s="299">
        <f>+'PROGRAMA DRENCH PASO 1'!AG18</f>
        <v>0</v>
      </c>
      <c r="E98" s="1"/>
      <c r="F98" s="1"/>
      <c r="G98" s="1"/>
      <c r="H98" s="5" t="str">
        <f t="shared" si="15"/>
        <v>20A</v>
      </c>
      <c r="I98" s="1"/>
      <c r="J98" s="1"/>
      <c r="K98" s="11" t="str">
        <f>VLOOKUP(H98,'Inf Bloques'!$A$1:$J$453,10,FALSE)</f>
        <v>CV</v>
      </c>
      <c r="L98" s="13"/>
    </row>
    <row r="99" spans="1:12" x14ac:dyDescent="0.2">
      <c r="A99" s="295" t="str">
        <f>+'PROGRAMA DRENCH PASO 1'!L19</f>
        <v>FOLIOGOLD</v>
      </c>
      <c r="B99" s="1"/>
      <c r="C99" s="1" t="str">
        <f>IFERROR((VLOOKUP($A99,'[2]CODIGOS D'!$A$3:$S$451,2,FALSE)),"0")</f>
        <v>0</v>
      </c>
      <c r="D99" s="298">
        <f>+'PROGRAMA DRENCH PASO 1'!M19</f>
        <v>280</v>
      </c>
      <c r="E99" s="1"/>
      <c r="F99" s="1"/>
      <c r="G99" s="1"/>
      <c r="H99" s="4" t="str">
        <f>'PROGRAMA DRENCH PASO 1'!B19</f>
        <v>20B</v>
      </c>
      <c r="I99" s="1"/>
      <c r="J99" s="1"/>
      <c r="K99" s="11" t="str">
        <f>VLOOKUP(H99,'Inf Bloques'!$A$1:$J$453,10,FALSE)</f>
        <v>CV</v>
      </c>
      <c r="L99" s="13"/>
    </row>
    <row r="100" spans="1:12" hidden="1" x14ac:dyDescent="0.2">
      <c r="A100" s="295" t="str">
        <f>+'PROGRAMA DRENCH PASO 1'!P19</f>
        <v>Agral</v>
      </c>
      <c r="B100" s="1"/>
      <c r="C100" s="1" t="str">
        <f>IFERROR((VLOOKUP($A100,'[2]CODIGOS D'!$A$3:$S$451,2,FALSE)),"0")</f>
        <v>PJ010</v>
      </c>
      <c r="D100" s="299">
        <f>+'PROGRAMA DRENCH PASO 1'!Q19</f>
        <v>28</v>
      </c>
      <c r="E100" s="1"/>
      <c r="F100" s="1"/>
      <c r="G100" s="1"/>
      <c r="H100" s="5" t="str">
        <f>+H99</f>
        <v>20B</v>
      </c>
      <c r="I100" s="1"/>
      <c r="J100" s="1"/>
      <c r="K100" s="11" t="str">
        <f>VLOOKUP(H100,'Inf Bloques'!$A$1:$J$453,10,FALSE)</f>
        <v>CV</v>
      </c>
      <c r="L100" s="13"/>
    </row>
    <row r="101" spans="1:12" hidden="1" x14ac:dyDescent="0.2">
      <c r="A101" s="295">
        <f>+'PROGRAMA DRENCH PASO 1'!T19</f>
        <v>0</v>
      </c>
      <c r="B101" s="1"/>
      <c r="C101" s="1" t="str">
        <f>IFERROR((VLOOKUP($A101,'[2]CODIGOS D'!$A$3:$S$451,2,FALSE)),"0")</f>
        <v>0</v>
      </c>
      <c r="D101" s="299">
        <f>+'PROGRAMA DRENCH PASO 1'!U19</f>
        <v>0</v>
      </c>
      <c r="E101" s="1"/>
      <c r="F101" s="1"/>
      <c r="G101" s="1"/>
      <c r="H101" s="5" t="str">
        <f t="shared" ref="H101:H104" si="16">+H100</f>
        <v>20B</v>
      </c>
      <c r="I101" s="1"/>
      <c r="J101" s="1"/>
      <c r="K101" s="11" t="str">
        <f>VLOOKUP(H101,'Inf Bloques'!$A$1:$J$453,10,FALSE)</f>
        <v>CV</v>
      </c>
      <c r="L101" s="13"/>
    </row>
    <row r="102" spans="1:12" hidden="1" x14ac:dyDescent="0.2">
      <c r="A102" s="295">
        <f>+'PROGRAMA DRENCH PASO 1'!X19</f>
        <v>0</v>
      </c>
      <c r="B102" s="1"/>
      <c r="C102" s="1" t="str">
        <f>IFERROR((VLOOKUP($A102,'[2]CODIGOS D'!$A$3:$S$451,2,FALSE)),"0")</f>
        <v>0</v>
      </c>
      <c r="D102" s="299">
        <f>+'PROGRAMA DRENCH PASO 1'!Y19</f>
        <v>0</v>
      </c>
      <c r="E102" s="1"/>
      <c r="F102" s="1"/>
      <c r="G102" s="1"/>
      <c r="H102" s="5" t="str">
        <f t="shared" si="16"/>
        <v>20B</v>
      </c>
      <c r="I102" s="1"/>
      <c r="J102" s="1"/>
      <c r="K102" s="11" t="str">
        <f>VLOOKUP(H102,'Inf Bloques'!$A$1:$J$453,10,FALSE)</f>
        <v>CV</v>
      </c>
      <c r="L102" s="13"/>
    </row>
    <row r="103" spans="1:12" hidden="1" x14ac:dyDescent="0.2">
      <c r="A103" s="296">
        <f>+'PROGRAMA DRENCH PASO 1'!AB19</f>
        <v>0</v>
      </c>
      <c r="B103" s="1"/>
      <c r="C103" s="1" t="str">
        <f>IFERROR((VLOOKUP($A103,'[2]CODIGOS D'!$A$3:$S$451,2,FALSE)),"0")</f>
        <v>0</v>
      </c>
      <c r="D103" s="299">
        <f>+'PROGRAMA DRENCH PASO 1'!AC19</f>
        <v>0</v>
      </c>
      <c r="E103" s="1"/>
      <c r="F103" s="1"/>
      <c r="G103" s="1"/>
      <c r="H103" s="5" t="str">
        <f t="shared" si="16"/>
        <v>20B</v>
      </c>
      <c r="I103" s="1"/>
      <c r="J103" s="1"/>
      <c r="K103" s="11" t="str">
        <f>VLOOKUP(H103,'Inf Bloques'!$A$1:$J$453,10,FALSE)</f>
        <v>CV</v>
      </c>
      <c r="L103" s="13"/>
    </row>
    <row r="104" spans="1:12" hidden="1" x14ac:dyDescent="0.2">
      <c r="A104" s="296">
        <f>+'PROGRAMA DRENCH PASO 1'!AF19</f>
        <v>0</v>
      </c>
      <c r="B104" s="1"/>
      <c r="C104" s="1" t="str">
        <f>IFERROR((VLOOKUP($A104,'[2]CODIGOS D'!$A$3:$S$451,2,FALSE)),"0")</f>
        <v>0</v>
      </c>
      <c r="D104" s="299">
        <f>+'PROGRAMA DRENCH PASO 1'!AG19</f>
        <v>0</v>
      </c>
      <c r="E104" s="1"/>
      <c r="F104" s="1"/>
      <c r="G104" s="1"/>
      <c r="H104" s="5" t="str">
        <f t="shared" si="16"/>
        <v>20B</v>
      </c>
      <c r="I104" s="1"/>
      <c r="J104" s="1"/>
      <c r="K104" s="11" t="str">
        <f>VLOOKUP(H104,'Inf Bloques'!$A$1:$J$453,10,FALSE)</f>
        <v>CV</v>
      </c>
      <c r="L104" s="13"/>
    </row>
    <row r="105" spans="1:12" x14ac:dyDescent="0.2">
      <c r="A105" s="295" t="str">
        <f>+'PROGRAMA DRENCH PASO 1'!L20</f>
        <v>Alto 100</v>
      </c>
      <c r="B105" s="1"/>
      <c r="C105" s="1" t="str">
        <f>IFERROR((VLOOKUP($A105,'[2]CODIGOS D'!$A$3:$S$451,2,FALSE)),"0")</f>
        <v>0</v>
      </c>
      <c r="D105" s="298">
        <f>+'PROGRAMA DRENCH PASO 1'!M20</f>
        <v>1305.6000000000001</v>
      </c>
      <c r="E105" s="1"/>
      <c r="F105" s="1"/>
      <c r="G105" s="1"/>
      <c r="H105" s="4">
        <f>'PROGRAMA DRENCH PASO 1'!B20</f>
        <v>16</v>
      </c>
      <c r="I105" s="1"/>
      <c r="J105" s="1"/>
      <c r="K105" s="11" t="str">
        <f>VLOOKUP(H105,'Inf Bloques'!$A$1:$J$453,10,FALSE)</f>
        <v>MM1</v>
      </c>
      <c r="L105" s="13"/>
    </row>
    <row r="106" spans="1:12" hidden="1" x14ac:dyDescent="0.2">
      <c r="A106" s="295">
        <f>+'PROGRAMA DRENCH PASO 1'!P20</f>
        <v>0</v>
      </c>
      <c r="B106" s="1"/>
      <c r="C106" s="1" t="str">
        <f>IFERROR((VLOOKUP($A106,'[2]CODIGOS D'!$A$3:$S$451,2,FALSE)),"0")</f>
        <v>0</v>
      </c>
      <c r="D106" s="299">
        <f>+'PROGRAMA DRENCH PASO 1'!Q20</f>
        <v>0</v>
      </c>
      <c r="E106" s="1"/>
      <c r="F106" s="1"/>
      <c r="G106" s="1"/>
      <c r="H106" s="5">
        <f>+H105</f>
        <v>16</v>
      </c>
      <c r="I106" s="1"/>
      <c r="J106" s="1"/>
      <c r="K106" s="11" t="str">
        <f>VLOOKUP(H106,'Inf Bloques'!$A$1:$J$453,10,FALSE)</f>
        <v>MM1</v>
      </c>
      <c r="L106" s="13"/>
    </row>
    <row r="107" spans="1:12" hidden="1" x14ac:dyDescent="0.2">
      <c r="A107" s="295">
        <f>+'PROGRAMA DRENCH PASO 1'!T20</f>
        <v>0</v>
      </c>
      <c r="B107" s="1"/>
      <c r="C107" s="1" t="str">
        <f>IFERROR((VLOOKUP($A107,'[2]CODIGOS D'!$A$3:$S$451,2,FALSE)),"0")</f>
        <v>0</v>
      </c>
      <c r="D107" s="299">
        <f>+'PROGRAMA DRENCH PASO 1'!U20</f>
        <v>0</v>
      </c>
      <c r="E107" s="1"/>
      <c r="F107" s="1"/>
      <c r="G107" s="1"/>
      <c r="H107" s="5">
        <f t="shared" ref="H107:H110" si="17">+H106</f>
        <v>16</v>
      </c>
      <c r="I107" s="1"/>
      <c r="J107" s="1"/>
      <c r="K107" s="11" t="str">
        <f>VLOOKUP(H107,'Inf Bloques'!$A$1:$J$453,10,FALSE)</f>
        <v>MM1</v>
      </c>
      <c r="L107" s="13"/>
    </row>
    <row r="108" spans="1:12" hidden="1" x14ac:dyDescent="0.2">
      <c r="A108" s="295">
        <f>+'PROGRAMA DRENCH PASO 1'!X20</f>
        <v>0</v>
      </c>
      <c r="B108" s="1"/>
      <c r="C108" s="1" t="str">
        <f>IFERROR((VLOOKUP($A108,'[2]CODIGOS D'!$A$3:$S$451,2,FALSE)),"0")</f>
        <v>0</v>
      </c>
      <c r="D108" s="299">
        <f>+'PROGRAMA DRENCH PASO 1'!Y20</f>
        <v>0</v>
      </c>
      <c r="E108" s="1"/>
      <c r="F108" s="1"/>
      <c r="G108" s="1"/>
      <c r="H108" s="5">
        <f t="shared" si="17"/>
        <v>16</v>
      </c>
      <c r="I108" s="1"/>
      <c r="J108" s="1"/>
      <c r="K108" s="11" t="str">
        <f>VLOOKUP(H108,'Inf Bloques'!$A$1:$J$453,10,FALSE)</f>
        <v>MM1</v>
      </c>
      <c r="L108" s="13"/>
    </row>
    <row r="109" spans="1:12" hidden="1" x14ac:dyDescent="0.2">
      <c r="A109" s="296">
        <f>+'PROGRAMA DRENCH PASO 1'!AB20</f>
        <v>0</v>
      </c>
      <c r="B109" s="1"/>
      <c r="C109" s="1" t="str">
        <f>IFERROR((VLOOKUP($A109,'[2]CODIGOS D'!$A$3:$S$451,2,FALSE)),"0")</f>
        <v>0</v>
      </c>
      <c r="D109" s="299">
        <f>+'PROGRAMA DRENCH PASO 1'!AC20</f>
        <v>0</v>
      </c>
      <c r="E109" s="1"/>
      <c r="F109" s="1"/>
      <c r="G109" s="1"/>
      <c r="H109" s="5">
        <f t="shared" si="17"/>
        <v>16</v>
      </c>
      <c r="I109" s="1"/>
      <c r="J109" s="1"/>
      <c r="K109" s="11" t="str">
        <f>VLOOKUP(H109,'Inf Bloques'!$A$1:$J$453,10,FALSE)</f>
        <v>MM1</v>
      </c>
      <c r="L109" s="13"/>
    </row>
    <row r="110" spans="1:12" hidden="1" x14ac:dyDescent="0.2">
      <c r="A110" s="296">
        <f>+'PROGRAMA DRENCH PASO 1'!AF20</f>
        <v>0</v>
      </c>
      <c r="B110" s="1"/>
      <c r="C110" s="1" t="str">
        <f>IFERROR((VLOOKUP($A110,'[2]CODIGOS D'!$A$3:$S$451,2,FALSE)),"0")</f>
        <v>0</v>
      </c>
      <c r="D110" s="299">
        <f>+'PROGRAMA DRENCH PASO 1'!AG20</f>
        <v>0</v>
      </c>
      <c r="E110" s="1"/>
      <c r="F110" s="1"/>
      <c r="G110" s="1"/>
      <c r="H110" s="5">
        <f t="shared" si="17"/>
        <v>16</v>
      </c>
      <c r="I110" s="1"/>
      <c r="J110" s="1"/>
      <c r="K110" s="11" t="str">
        <f>VLOOKUP(H110,'Inf Bloques'!$A$1:$J$453,10,FALSE)</f>
        <v>MM1</v>
      </c>
      <c r="L110" s="13"/>
    </row>
    <row r="111" spans="1:12" x14ac:dyDescent="0.2">
      <c r="A111" s="297" t="str">
        <f>+'PROGRAMA DRENCH PASO 1'!L21</f>
        <v>Alto 100</v>
      </c>
      <c r="B111" s="1"/>
      <c r="C111" s="1" t="str">
        <f>IFERROR((VLOOKUP($A111,'[2]CODIGOS D'!$A$3:$S$451,2,FALSE)),"0")</f>
        <v>0</v>
      </c>
      <c r="D111" s="298">
        <f>+'PROGRAMA DRENCH PASO 1'!M21</f>
        <v>652.80000000000007</v>
      </c>
      <c r="E111" s="1"/>
      <c r="F111" s="1"/>
      <c r="G111" s="1"/>
      <c r="H111" s="4" t="str">
        <f>'PROGRAMA DRENCH PASO 1'!B21</f>
        <v>1A</v>
      </c>
      <c r="I111" s="1"/>
      <c r="J111" s="1"/>
      <c r="K111" s="11" t="str">
        <f>VLOOKUP(H111,'Inf Bloques'!$A$1:$J$453,10,FALSE)</f>
        <v>CV</v>
      </c>
      <c r="L111" s="13"/>
    </row>
    <row r="112" spans="1:12" hidden="1" x14ac:dyDescent="0.2">
      <c r="A112" s="295">
        <f>+'PROGRAMA DRENCH PASO 1'!P21</f>
        <v>0</v>
      </c>
      <c r="B112" s="1"/>
      <c r="C112" s="1" t="str">
        <f>IFERROR((VLOOKUP($A112,'[2]CODIGOS D'!$A$3:$S$451,2,FALSE)),"0")</f>
        <v>0</v>
      </c>
      <c r="D112" s="299">
        <f>+'PROGRAMA DRENCH PASO 1'!Q21</f>
        <v>0</v>
      </c>
      <c r="E112" s="1"/>
      <c r="F112" s="1"/>
      <c r="G112" s="1"/>
      <c r="H112" s="5" t="str">
        <f>+H111</f>
        <v>1A</v>
      </c>
      <c r="I112" s="1"/>
      <c r="J112" s="1"/>
      <c r="K112" s="11" t="str">
        <f>VLOOKUP(H112,'Inf Bloques'!$A$1:$J$453,10,FALSE)</f>
        <v>CV</v>
      </c>
      <c r="L112" s="13"/>
    </row>
    <row r="113" spans="1:12" hidden="1" x14ac:dyDescent="0.2">
      <c r="A113" s="295">
        <f>+'PROGRAMA DRENCH PASO 1'!T21</f>
        <v>0</v>
      </c>
      <c r="B113" s="1"/>
      <c r="C113" s="1" t="str">
        <f>IFERROR((VLOOKUP($A113,'[2]CODIGOS D'!$A$3:$S$451,2,FALSE)),"0")</f>
        <v>0</v>
      </c>
      <c r="D113" s="299">
        <f>+'PROGRAMA DRENCH PASO 1'!U21</f>
        <v>0</v>
      </c>
      <c r="E113" s="1"/>
      <c r="F113" s="1"/>
      <c r="G113" s="1"/>
      <c r="H113" s="5" t="str">
        <f t="shared" ref="H113:H116" si="18">+H112</f>
        <v>1A</v>
      </c>
      <c r="I113" s="1"/>
      <c r="J113" s="1"/>
      <c r="K113" s="11" t="str">
        <f>VLOOKUP(H113,'Inf Bloques'!$A$1:$J$453,10,FALSE)</f>
        <v>CV</v>
      </c>
      <c r="L113" s="13"/>
    </row>
    <row r="114" spans="1:12" hidden="1" x14ac:dyDescent="0.2">
      <c r="A114" s="295">
        <f>+'PROGRAMA DRENCH PASO 1'!X21</f>
        <v>0</v>
      </c>
      <c r="B114" s="1"/>
      <c r="C114" s="1" t="str">
        <f>IFERROR((VLOOKUP($A114,'[2]CODIGOS D'!$A$3:$S$451,2,FALSE)),"0")</f>
        <v>0</v>
      </c>
      <c r="D114" s="299">
        <f>+'PROGRAMA DRENCH PASO 1'!Y21</f>
        <v>0</v>
      </c>
      <c r="E114" s="1"/>
      <c r="F114" s="1"/>
      <c r="G114" s="1"/>
      <c r="H114" s="5" t="str">
        <f t="shared" si="18"/>
        <v>1A</v>
      </c>
      <c r="I114" s="1"/>
      <c r="J114" s="1"/>
      <c r="K114" s="11" t="str">
        <f>VLOOKUP(H114,'Inf Bloques'!$A$1:$J$453,10,FALSE)</f>
        <v>CV</v>
      </c>
      <c r="L114" s="13"/>
    </row>
    <row r="115" spans="1:12" hidden="1" x14ac:dyDescent="0.2">
      <c r="A115" s="296">
        <f>+'PROGRAMA DRENCH PASO 1'!AB21</f>
        <v>0</v>
      </c>
      <c r="B115" s="1"/>
      <c r="C115" s="1" t="str">
        <f>IFERROR((VLOOKUP($A115,'[2]CODIGOS D'!$A$3:$S$451,2,FALSE)),"0")</f>
        <v>0</v>
      </c>
      <c r="D115" s="299">
        <f>+'PROGRAMA DRENCH PASO 1'!AC21</f>
        <v>0</v>
      </c>
      <c r="E115" s="1"/>
      <c r="F115" s="1"/>
      <c r="G115" s="1"/>
      <c r="H115" s="5" t="str">
        <f t="shared" si="18"/>
        <v>1A</v>
      </c>
      <c r="I115" s="1"/>
      <c r="J115" s="1"/>
      <c r="K115" s="11" t="str">
        <f>VLOOKUP(H115,'Inf Bloques'!$A$1:$J$453,10,FALSE)</f>
        <v>CV</v>
      </c>
      <c r="L115" s="13"/>
    </row>
    <row r="116" spans="1:12" hidden="1" x14ac:dyDescent="0.2">
      <c r="A116" s="296">
        <f>+'PROGRAMA DRENCH PASO 1'!AF21</f>
        <v>0</v>
      </c>
      <c r="B116" s="1"/>
      <c r="C116" s="1" t="str">
        <f>IFERROR((VLOOKUP($A116,'[2]CODIGOS D'!$A$3:$S$451,2,FALSE)),"0")</f>
        <v>0</v>
      </c>
      <c r="D116" s="299">
        <f>+'PROGRAMA DRENCH PASO 1'!AG21</f>
        <v>0</v>
      </c>
      <c r="E116" s="1"/>
      <c r="F116" s="1"/>
      <c r="G116" s="1"/>
      <c r="H116" s="5" t="str">
        <f t="shared" si="18"/>
        <v>1A</v>
      </c>
      <c r="I116" s="1"/>
      <c r="J116" s="1"/>
      <c r="K116" s="11" t="str">
        <f>VLOOKUP(H116,'Inf Bloques'!$A$1:$J$453,10,FALSE)</f>
        <v>CV</v>
      </c>
      <c r="L116" s="13"/>
    </row>
    <row r="117" spans="1:12" x14ac:dyDescent="0.2">
      <c r="A117" s="297" t="str">
        <f>+'PROGRAMA DRENCH PASO 1'!L22</f>
        <v>RAIZA</v>
      </c>
      <c r="B117" s="1"/>
      <c r="C117" s="1" t="str">
        <f>IFERROR((VLOOKUP($A117,'[2]CODIGOS D'!$A$3:$S$451,2,FALSE)),"0")</f>
        <v>FB058</v>
      </c>
      <c r="D117" s="298">
        <f>+'PROGRAMA DRENCH PASO 1'!M22</f>
        <v>316.8</v>
      </c>
      <c r="E117" s="1"/>
      <c r="F117" s="1"/>
      <c r="G117" s="1"/>
      <c r="H117" s="4" t="str">
        <f>'PROGRAMA DRENCH PASO 1'!B22</f>
        <v>1B</v>
      </c>
      <c r="I117" s="1"/>
      <c r="J117" s="1"/>
      <c r="K117" s="11" t="str">
        <f>VLOOKUP(H117,'Inf Bloques'!$A$1:$J$453,10,FALSE)</f>
        <v>CV</v>
      </c>
      <c r="L117" s="13"/>
    </row>
    <row r="118" spans="1:12" hidden="1" x14ac:dyDescent="0.2">
      <c r="A118" s="295" t="str">
        <f>+'PROGRAMA DRENCH PASO 1'!P22</f>
        <v>HUMISTAR WG</v>
      </c>
      <c r="B118" s="1"/>
      <c r="C118" s="1" t="str">
        <f>IFERROR((VLOOKUP($A118,'[2]CODIGOS D'!$A$3:$S$451,2,FALSE)),"0")</f>
        <v>0</v>
      </c>
      <c r="D118" s="299">
        <f>+'PROGRAMA DRENCH PASO 1'!Q22</f>
        <v>192</v>
      </c>
      <c r="E118" s="1"/>
      <c r="F118" s="1"/>
      <c r="G118" s="1"/>
      <c r="H118" s="5" t="str">
        <f>+H117</f>
        <v>1B</v>
      </c>
      <c r="I118" s="1"/>
      <c r="J118" s="1"/>
      <c r="K118" s="11" t="str">
        <f>VLOOKUP(H118,'Inf Bloques'!$A$1:$J$453,10,FALSE)</f>
        <v>CV</v>
      </c>
      <c r="L118" s="13"/>
    </row>
    <row r="119" spans="1:12" hidden="1" x14ac:dyDescent="0.2">
      <c r="A119" s="295" t="str">
        <f>+'PROGRAMA DRENCH PASO 1'!T22</f>
        <v>Serenade</v>
      </c>
      <c r="B119" s="1"/>
      <c r="C119" s="1" t="str">
        <f>IFERROR((VLOOKUP($A119,'[2]CODIGOS D'!$A$3:$S$451,2,FALSE)),"0")</f>
        <v>0</v>
      </c>
      <c r="D119" s="299">
        <f>+'PROGRAMA DRENCH PASO 1'!U22</f>
        <v>172.79999999999998</v>
      </c>
      <c r="E119" s="1"/>
      <c r="F119" s="1"/>
      <c r="G119" s="1"/>
      <c r="H119" s="5" t="str">
        <f t="shared" ref="H119:H122" si="19">+H118</f>
        <v>1B</v>
      </c>
      <c r="I119" s="1"/>
      <c r="J119" s="1"/>
      <c r="K119" s="11" t="str">
        <f>VLOOKUP(H119,'Inf Bloques'!$A$1:$J$453,10,FALSE)</f>
        <v>CV</v>
      </c>
      <c r="L119" s="13"/>
    </row>
    <row r="120" spans="1:12" hidden="1" x14ac:dyDescent="0.2">
      <c r="A120" s="295">
        <f>+'PROGRAMA DRENCH PASO 1'!X22</f>
        <v>0</v>
      </c>
      <c r="B120" s="1"/>
      <c r="C120" s="1" t="str">
        <f>IFERROR((VLOOKUP($A120,'[2]CODIGOS D'!$A$3:$S$451,2,FALSE)),"0")</f>
        <v>0</v>
      </c>
      <c r="D120" s="299">
        <f>+'PROGRAMA DRENCH PASO 1'!Y22</f>
        <v>0</v>
      </c>
      <c r="E120" s="1"/>
      <c r="F120" s="1"/>
      <c r="G120" s="1"/>
      <c r="H120" s="5" t="str">
        <f t="shared" si="19"/>
        <v>1B</v>
      </c>
      <c r="I120" s="1"/>
      <c r="J120" s="1"/>
      <c r="K120" s="11" t="str">
        <f>VLOOKUP(H120,'Inf Bloques'!$A$1:$J$453,10,FALSE)</f>
        <v>CV</v>
      </c>
      <c r="L120" s="13"/>
    </row>
    <row r="121" spans="1:12" hidden="1" x14ac:dyDescent="0.2">
      <c r="A121" s="296">
        <f>+'PROGRAMA DRENCH PASO 1'!AB22</f>
        <v>0</v>
      </c>
      <c r="B121" s="1"/>
      <c r="C121" s="1" t="str">
        <f>IFERROR((VLOOKUP($A121,'[2]CODIGOS D'!$A$3:$S$451,2,FALSE)),"0")</f>
        <v>0</v>
      </c>
      <c r="D121" s="299">
        <f>+'PROGRAMA DRENCH PASO 1'!AC22</f>
        <v>0</v>
      </c>
      <c r="E121" s="1"/>
      <c r="F121" s="1"/>
      <c r="G121" s="1"/>
      <c r="H121" s="5" t="str">
        <f t="shared" si="19"/>
        <v>1B</v>
      </c>
      <c r="I121" s="1"/>
      <c r="J121" s="1"/>
      <c r="K121" s="11" t="str">
        <f>VLOOKUP(H121,'Inf Bloques'!$A$1:$J$453,10,FALSE)</f>
        <v>CV</v>
      </c>
      <c r="L121" s="13"/>
    </row>
    <row r="122" spans="1:12" hidden="1" x14ac:dyDescent="0.2">
      <c r="A122" s="296">
        <f>+'PROGRAMA DRENCH PASO 1'!AF22</f>
        <v>0</v>
      </c>
      <c r="B122" s="1"/>
      <c r="C122" s="1" t="str">
        <f>IFERROR((VLOOKUP($A122,'[2]CODIGOS D'!$A$3:$S$451,2,FALSE)),"0")</f>
        <v>0</v>
      </c>
      <c r="D122" s="299">
        <f>+'PROGRAMA DRENCH PASO 1'!AG22</f>
        <v>0</v>
      </c>
      <c r="E122" s="1"/>
      <c r="F122" s="1"/>
      <c r="G122" s="1"/>
      <c r="H122" s="5" t="str">
        <f t="shared" si="19"/>
        <v>1B</v>
      </c>
      <c r="I122" s="1"/>
      <c r="J122" s="1"/>
      <c r="K122" s="11" t="str">
        <f>VLOOKUP(H122,'Inf Bloques'!$A$1:$J$453,10,FALSE)</f>
        <v>CV</v>
      </c>
      <c r="L122" s="13"/>
    </row>
    <row r="123" spans="1:12" x14ac:dyDescent="0.2">
      <c r="A123" s="297" t="str">
        <f>+'PROGRAMA DRENCH PASO 1'!L23</f>
        <v>RAIZA</v>
      </c>
      <c r="B123" s="1"/>
      <c r="C123" s="1" t="str">
        <f>IFERROR((VLOOKUP($A123,'[2]CODIGOS D'!$A$3:$S$451,2,FALSE)),"0")</f>
        <v>FB058</v>
      </c>
      <c r="D123" s="298">
        <f>+'PROGRAMA DRENCH PASO 1'!M23</f>
        <v>676.5</v>
      </c>
      <c r="E123" s="1"/>
      <c r="F123" s="1"/>
      <c r="G123" s="1"/>
      <c r="H123" s="4">
        <f>'PROGRAMA DRENCH PASO 1'!B23</f>
        <v>8</v>
      </c>
      <c r="I123" s="1"/>
      <c r="J123" s="1"/>
      <c r="K123" s="11" t="str">
        <f>VLOOKUP(H123,'Inf Bloques'!$A$1:$J$453,10,FALSE)</f>
        <v>CV</v>
      </c>
      <c r="L123" s="13"/>
    </row>
    <row r="124" spans="1:12" hidden="1" x14ac:dyDescent="0.2">
      <c r="A124" s="295" t="str">
        <f>+'PROGRAMA DRENCH PASO 1'!P23</f>
        <v>HUMISTAR WG</v>
      </c>
      <c r="B124" s="1"/>
      <c r="C124" s="1" t="str">
        <f>IFERROR((VLOOKUP($A124,'[2]CODIGOS D'!$A$3:$S$451,2,FALSE)),"0")</f>
        <v>0</v>
      </c>
      <c r="D124" s="299">
        <f>+'PROGRAMA DRENCH PASO 1'!Q23</f>
        <v>410</v>
      </c>
      <c r="E124" s="1"/>
      <c r="F124" s="1"/>
      <c r="G124" s="1"/>
      <c r="H124" s="5">
        <f>+H123</f>
        <v>8</v>
      </c>
      <c r="I124" s="1"/>
      <c r="J124" s="1"/>
      <c r="K124" s="11" t="str">
        <f>VLOOKUP(H124,'Inf Bloques'!$A$1:$J$453,10,FALSE)</f>
        <v>CV</v>
      </c>
      <c r="L124" s="13"/>
    </row>
    <row r="125" spans="1:12" hidden="1" x14ac:dyDescent="0.2">
      <c r="A125" s="295" t="str">
        <f>+'PROGRAMA DRENCH PASO 1'!T23</f>
        <v>Serenade</v>
      </c>
      <c r="B125" s="1"/>
      <c r="C125" s="1" t="str">
        <f>IFERROR((VLOOKUP($A125,'[2]CODIGOS D'!$A$3:$S$451,2,FALSE)),"0")</f>
        <v>0</v>
      </c>
      <c r="D125" s="299">
        <f>+'PROGRAMA DRENCH PASO 1'!U23</f>
        <v>369</v>
      </c>
      <c r="E125" s="1"/>
      <c r="F125" s="1"/>
      <c r="G125" s="1"/>
      <c r="H125" s="5">
        <f t="shared" ref="H125:H128" si="20">+H124</f>
        <v>8</v>
      </c>
      <c r="I125" s="1"/>
      <c r="J125" s="1"/>
      <c r="K125" s="11" t="str">
        <f>VLOOKUP(H125,'Inf Bloques'!$A$1:$J$453,10,FALSE)</f>
        <v>CV</v>
      </c>
      <c r="L125" s="13"/>
    </row>
    <row r="126" spans="1:12" hidden="1" x14ac:dyDescent="0.2">
      <c r="A126" s="295">
        <f>+'PROGRAMA DRENCH PASO 1'!X23</f>
        <v>0</v>
      </c>
      <c r="B126" s="1"/>
      <c r="C126" s="1" t="str">
        <f>IFERROR((VLOOKUP($A126,'[2]CODIGOS D'!$A$3:$S$451,2,FALSE)),"0")</f>
        <v>0</v>
      </c>
      <c r="D126" s="299">
        <f>+'PROGRAMA DRENCH PASO 1'!Y23</f>
        <v>0</v>
      </c>
      <c r="E126" s="1"/>
      <c r="F126" s="1"/>
      <c r="G126" s="1"/>
      <c r="H126" s="5">
        <f t="shared" si="20"/>
        <v>8</v>
      </c>
      <c r="I126" s="1"/>
      <c r="J126" s="1"/>
      <c r="K126" s="11" t="str">
        <f>VLOOKUP(H126,'Inf Bloques'!$A$1:$J$453,10,FALSE)</f>
        <v>CV</v>
      </c>
      <c r="L126" s="13"/>
    </row>
    <row r="127" spans="1:12" hidden="1" x14ac:dyDescent="0.2">
      <c r="A127" s="296">
        <f>+'PROGRAMA DRENCH PASO 1'!AB23</f>
        <v>0</v>
      </c>
      <c r="B127" s="1"/>
      <c r="C127" s="1" t="str">
        <f>IFERROR((VLOOKUP($A127,'[2]CODIGOS D'!$A$3:$S$451,2,FALSE)),"0")</f>
        <v>0</v>
      </c>
      <c r="D127" s="299">
        <f>+'PROGRAMA DRENCH PASO 1'!AC23</f>
        <v>0</v>
      </c>
      <c r="E127" s="1"/>
      <c r="F127" s="1"/>
      <c r="G127" s="1"/>
      <c r="H127" s="5">
        <f t="shared" si="20"/>
        <v>8</v>
      </c>
      <c r="I127" s="1"/>
      <c r="J127" s="1"/>
      <c r="K127" s="11" t="str">
        <f>VLOOKUP(H127,'Inf Bloques'!$A$1:$J$453,10,FALSE)</f>
        <v>CV</v>
      </c>
      <c r="L127" s="13"/>
    </row>
    <row r="128" spans="1:12" hidden="1" x14ac:dyDescent="0.2">
      <c r="A128" s="296">
        <f>+'PROGRAMA DRENCH PASO 1'!AF23</f>
        <v>0</v>
      </c>
      <c r="B128" s="1"/>
      <c r="C128" s="1" t="str">
        <f>IFERROR((VLOOKUP($A128,'[2]CODIGOS D'!$A$3:$S$451,2,FALSE)),"0")</f>
        <v>0</v>
      </c>
      <c r="D128" s="299">
        <f>+'PROGRAMA DRENCH PASO 1'!AG23</f>
        <v>0</v>
      </c>
      <c r="E128" s="1"/>
      <c r="F128" s="1"/>
      <c r="G128" s="1"/>
      <c r="H128" s="5">
        <f t="shared" si="20"/>
        <v>8</v>
      </c>
      <c r="I128" s="1"/>
      <c r="J128" s="1"/>
      <c r="K128" s="11" t="str">
        <f>VLOOKUP(H128,'Inf Bloques'!$A$1:$J$453,10,FALSE)</f>
        <v>CV</v>
      </c>
      <c r="L128" s="13"/>
    </row>
    <row r="129" spans="1:12" x14ac:dyDescent="0.2">
      <c r="A129" s="297" t="str">
        <f>+'PROGRAMA DRENCH PASO 1'!L24</f>
        <v>Vitavax flo</v>
      </c>
      <c r="B129" s="1"/>
      <c r="C129" s="1" t="str">
        <f>IFERROR((VLOOKUP($A129,'[2]CODIGOS D'!$A$3:$S$451,2,FALSE)),"0")</f>
        <v>PF165</v>
      </c>
      <c r="D129" s="298">
        <f>+'PROGRAMA DRENCH PASO 1'!M24</f>
        <v>540</v>
      </c>
      <c r="E129" s="1"/>
      <c r="F129" s="1"/>
      <c r="G129" s="1"/>
      <c r="H129" s="4">
        <f>'PROGRAMA DRENCH PASO 1'!B24</f>
        <v>12</v>
      </c>
      <c r="I129" s="1"/>
      <c r="J129" s="1"/>
      <c r="K129" s="11" t="str">
        <f>VLOOKUP(H129,'Inf Bloques'!$A$1:$J$453,10,FALSE)</f>
        <v>CV</v>
      </c>
      <c r="L129" s="13"/>
    </row>
    <row r="130" spans="1:12" hidden="1" x14ac:dyDescent="0.2">
      <c r="A130" s="295" t="str">
        <f>+'PROGRAMA DRENCH PASO 1'!P24</f>
        <v xml:space="preserve">KOCIDE 101 77% </v>
      </c>
      <c r="B130" s="1"/>
      <c r="C130" s="1" t="str">
        <f>IFERROR((VLOOKUP($A130,'[2]CODIGOS D'!$A$3:$S$451,2,FALSE)),"0")</f>
        <v>0</v>
      </c>
      <c r="D130" s="299">
        <f>+'PROGRAMA DRENCH PASO 1'!Q24</f>
        <v>540</v>
      </c>
      <c r="E130" s="1"/>
      <c r="F130" s="1"/>
      <c r="G130" s="1"/>
      <c r="H130" s="5">
        <f>+H129</f>
        <v>12</v>
      </c>
      <c r="I130" s="1"/>
      <c r="J130" s="1"/>
      <c r="K130" s="11" t="str">
        <f>VLOOKUP(H130,'Inf Bloques'!$A$1:$J$453,10,FALSE)</f>
        <v>CV</v>
      </c>
      <c r="L130" s="13"/>
    </row>
    <row r="131" spans="1:12" hidden="1" x14ac:dyDescent="0.2">
      <c r="A131" s="295" t="str">
        <f>+'PROGRAMA DRENCH PASO 1'!T24</f>
        <v>Agral</v>
      </c>
      <c r="B131" s="1"/>
      <c r="C131" s="1" t="str">
        <f>IFERROR((VLOOKUP($A131,'[2]CODIGOS D'!$A$3:$S$451,2,FALSE)),"0")</f>
        <v>PJ010</v>
      </c>
      <c r="D131" s="299">
        <f>+'PROGRAMA DRENCH PASO 1'!U24</f>
        <v>54</v>
      </c>
      <c r="E131" s="1"/>
      <c r="F131" s="1"/>
      <c r="G131" s="1"/>
      <c r="H131" s="5">
        <f t="shared" ref="H131:H134" si="21">+H130</f>
        <v>12</v>
      </c>
      <c r="I131" s="1"/>
      <c r="J131" s="1"/>
      <c r="K131" s="11" t="str">
        <f>VLOOKUP(H131,'Inf Bloques'!$A$1:$J$453,10,FALSE)</f>
        <v>CV</v>
      </c>
      <c r="L131" s="13"/>
    </row>
    <row r="132" spans="1:12" hidden="1" x14ac:dyDescent="0.2">
      <c r="A132" s="295">
        <f>+'PROGRAMA DRENCH PASO 1'!X24</f>
        <v>0</v>
      </c>
      <c r="B132" s="1"/>
      <c r="C132" s="1" t="str">
        <f>IFERROR((VLOOKUP($A132,'[2]CODIGOS D'!$A$3:$S$451,2,FALSE)),"0")</f>
        <v>0</v>
      </c>
      <c r="D132" s="299">
        <f>+'PROGRAMA DRENCH PASO 1'!Y24</f>
        <v>0</v>
      </c>
      <c r="E132" s="1"/>
      <c r="F132" s="1"/>
      <c r="G132" s="1"/>
      <c r="H132" s="5">
        <f t="shared" si="21"/>
        <v>12</v>
      </c>
      <c r="I132" s="1"/>
      <c r="J132" s="1"/>
      <c r="K132" s="11" t="str">
        <f>VLOOKUP(H132,'Inf Bloques'!$A$1:$J$453,10,FALSE)</f>
        <v>CV</v>
      </c>
      <c r="L132" s="13"/>
    </row>
    <row r="133" spans="1:12" hidden="1" x14ac:dyDescent="0.2">
      <c r="A133" s="296">
        <f>+'PROGRAMA DRENCH PASO 1'!AB24</f>
        <v>0</v>
      </c>
      <c r="B133" s="1"/>
      <c r="C133" s="1" t="str">
        <f>IFERROR((VLOOKUP($A133,'[2]CODIGOS D'!$A$3:$S$451,2,FALSE)),"0")</f>
        <v>0</v>
      </c>
      <c r="D133" s="299">
        <f>+'PROGRAMA DRENCH PASO 1'!AC24</f>
        <v>0</v>
      </c>
      <c r="E133" s="1"/>
      <c r="F133" s="1"/>
      <c r="G133" s="1"/>
      <c r="H133" s="5">
        <f t="shared" si="21"/>
        <v>12</v>
      </c>
      <c r="I133" s="1"/>
      <c r="J133" s="1"/>
      <c r="K133" s="11" t="str">
        <f>VLOOKUP(H133,'Inf Bloques'!$A$1:$J$453,10,FALSE)</f>
        <v>CV</v>
      </c>
      <c r="L133" s="13"/>
    </row>
    <row r="134" spans="1:12" hidden="1" x14ac:dyDescent="0.2">
      <c r="A134" s="296">
        <f>+'PROGRAMA DRENCH PASO 1'!AF24</f>
        <v>0</v>
      </c>
      <c r="B134" s="1"/>
      <c r="C134" s="1" t="str">
        <f>IFERROR((VLOOKUP($A134,'[2]CODIGOS D'!$A$3:$S$451,2,FALSE)),"0")</f>
        <v>0</v>
      </c>
      <c r="D134" s="299">
        <f>+'PROGRAMA DRENCH PASO 1'!AG24</f>
        <v>0</v>
      </c>
      <c r="E134" s="1"/>
      <c r="F134" s="1"/>
      <c r="G134" s="1"/>
      <c r="H134" s="5">
        <f t="shared" si="21"/>
        <v>12</v>
      </c>
      <c r="I134" s="1"/>
      <c r="J134" s="1"/>
      <c r="K134" s="11" t="str">
        <f>VLOOKUP(H134,'Inf Bloques'!$A$1:$J$453,10,FALSE)</f>
        <v>CV</v>
      </c>
      <c r="L134" s="13"/>
    </row>
    <row r="135" spans="1:12" x14ac:dyDescent="0.2">
      <c r="A135" s="297">
        <f>+'PROGRAMA DRENCH PASO 1'!L25</f>
        <v>0</v>
      </c>
      <c r="B135" s="1"/>
      <c r="C135" s="1" t="str">
        <f>IFERROR((VLOOKUP($A135,'[2]CODIGOS D'!$A$3:$S$451,2,FALSE)),"0")</f>
        <v>0</v>
      </c>
      <c r="D135" s="298">
        <f>+'PROGRAMA DRENCH PASO 1'!M25</f>
        <v>0</v>
      </c>
      <c r="E135" s="1"/>
      <c r="F135" s="1"/>
      <c r="G135" s="1"/>
      <c r="H135" s="4">
        <f>'PROGRAMA DRENCH PASO 1'!B25</f>
        <v>0</v>
      </c>
      <c r="I135" s="1"/>
      <c r="J135" s="1"/>
      <c r="K135" s="11" t="e">
        <f>VLOOKUP(H135,'Inf Bloques'!$A$1:$J$453,10,FALSE)</f>
        <v>#N/A</v>
      </c>
      <c r="L135" s="13"/>
    </row>
    <row r="136" spans="1:12" hidden="1" x14ac:dyDescent="0.2">
      <c r="A136" s="295">
        <f>+'PROGRAMA DRENCH PASO 1'!P25</f>
        <v>0</v>
      </c>
      <c r="B136" s="1"/>
      <c r="C136" s="1" t="str">
        <f>IFERROR((VLOOKUP($A136,'[2]CODIGOS D'!$A$3:$S$451,2,FALSE)),"0")</f>
        <v>0</v>
      </c>
      <c r="D136" s="299">
        <f>+'PROGRAMA DRENCH PASO 1'!Q25</f>
        <v>0</v>
      </c>
      <c r="E136" s="1"/>
      <c r="F136" s="1"/>
      <c r="G136" s="1"/>
      <c r="H136" s="5">
        <f>+H135</f>
        <v>0</v>
      </c>
      <c r="I136" s="1"/>
      <c r="J136" s="1"/>
      <c r="K136" s="11" t="e">
        <f>VLOOKUP(H136,'Inf Bloques'!$A$1:$J$453,10,FALSE)</f>
        <v>#N/A</v>
      </c>
      <c r="L136" s="13"/>
    </row>
    <row r="137" spans="1:12" hidden="1" x14ac:dyDescent="0.2">
      <c r="A137" s="295">
        <f>+'PROGRAMA DRENCH PASO 1'!T25</f>
        <v>0</v>
      </c>
      <c r="B137" s="1"/>
      <c r="C137" s="1" t="str">
        <f>IFERROR((VLOOKUP($A137,'[2]CODIGOS D'!$A$3:$S$451,2,FALSE)),"0")</f>
        <v>0</v>
      </c>
      <c r="D137" s="299">
        <f>+'PROGRAMA DRENCH PASO 1'!U25</f>
        <v>0</v>
      </c>
      <c r="E137" s="1"/>
      <c r="F137" s="1"/>
      <c r="G137" s="1"/>
      <c r="H137" s="5">
        <f t="shared" ref="H137:H140" si="22">+H136</f>
        <v>0</v>
      </c>
      <c r="I137" s="1"/>
      <c r="J137" s="1"/>
      <c r="K137" s="11" t="e">
        <f>VLOOKUP(H137,'Inf Bloques'!$A$1:$J$453,10,FALSE)</f>
        <v>#N/A</v>
      </c>
      <c r="L137" s="13"/>
    </row>
    <row r="138" spans="1:12" hidden="1" x14ac:dyDescent="0.2">
      <c r="A138" s="295">
        <f>+'PROGRAMA DRENCH PASO 1'!X25</f>
        <v>0</v>
      </c>
      <c r="B138" s="1"/>
      <c r="C138" s="1" t="str">
        <f>IFERROR((VLOOKUP($A138,'[2]CODIGOS D'!$A$3:$S$451,2,FALSE)),"0")</f>
        <v>0</v>
      </c>
      <c r="D138" s="299">
        <f>+'PROGRAMA DRENCH PASO 1'!Y25</f>
        <v>0</v>
      </c>
      <c r="E138" s="1"/>
      <c r="F138" s="1"/>
      <c r="G138" s="1"/>
      <c r="H138" s="5">
        <f t="shared" si="22"/>
        <v>0</v>
      </c>
      <c r="I138" s="1"/>
      <c r="J138" s="1"/>
      <c r="K138" s="11" t="e">
        <f>VLOOKUP(H138,'Inf Bloques'!$A$1:$J$453,10,FALSE)</f>
        <v>#N/A</v>
      </c>
      <c r="L138" s="13"/>
    </row>
    <row r="139" spans="1:12" hidden="1" x14ac:dyDescent="0.2">
      <c r="A139" s="296">
        <f>+'PROGRAMA DRENCH PASO 1'!AB25</f>
        <v>0</v>
      </c>
      <c r="B139" s="1"/>
      <c r="C139" s="1" t="str">
        <f>IFERROR((VLOOKUP($A139,'[2]CODIGOS D'!$A$3:$S$451,2,FALSE)),"0")</f>
        <v>0</v>
      </c>
      <c r="D139" s="299">
        <f>+'PROGRAMA DRENCH PASO 1'!AC25</f>
        <v>0</v>
      </c>
      <c r="E139" s="1"/>
      <c r="F139" s="1"/>
      <c r="G139" s="1"/>
      <c r="H139" s="5">
        <f t="shared" si="22"/>
        <v>0</v>
      </c>
      <c r="I139" s="1"/>
      <c r="J139" s="1"/>
      <c r="K139" s="11" t="e">
        <f>VLOOKUP(H139,'Inf Bloques'!$A$1:$J$453,10,FALSE)</f>
        <v>#N/A</v>
      </c>
      <c r="L139" s="13"/>
    </row>
    <row r="140" spans="1:12" hidden="1" x14ac:dyDescent="0.2">
      <c r="A140" s="296">
        <f>+'PROGRAMA DRENCH PASO 1'!AF25</f>
        <v>0</v>
      </c>
      <c r="B140" s="1"/>
      <c r="C140" s="1" t="str">
        <f>IFERROR((VLOOKUP($A140,'[2]CODIGOS D'!$A$3:$S$451,2,FALSE)),"0")</f>
        <v>0</v>
      </c>
      <c r="D140" s="299">
        <f>+'PROGRAMA DRENCH PASO 1'!AG25</f>
        <v>0</v>
      </c>
      <c r="E140" s="1"/>
      <c r="F140" s="1"/>
      <c r="G140" s="1"/>
      <c r="H140" s="5">
        <f t="shared" si="22"/>
        <v>0</v>
      </c>
      <c r="I140" s="1"/>
      <c r="J140" s="1"/>
      <c r="K140" s="11" t="e">
        <f>VLOOKUP(H140,'Inf Bloques'!$A$1:$J$453,10,FALSE)</f>
        <v>#N/A</v>
      </c>
      <c r="L140" s="13"/>
    </row>
    <row r="141" spans="1:12" x14ac:dyDescent="0.2">
      <c r="A141" s="297">
        <f>+'PROGRAMA DRENCH PASO 1'!L26</f>
        <v>0</v>
      </c>
      <c r="B141" s="1"/>
      <c r="C141" s="1" t="str">
        <f>IFERROR((VLOOKUP($A141,'[2]CODIGOS D'!$A$3:$S$451,2,FALSE)),"0")</f>
        <v>0</v>
      </c>
      <c r="D141" s="298">
        <f>+'PROGRAMA DRENCH PASO 1'!M26</f>
        <v>0</v>
      </c>
      <c r="E141" s="1"/>
      <c r="F141" s="1"/>
      <c r="G141" s="1"/>
      <c r="H141" s="4">
        <f>'PROGRAMA DRENCH PASO 1'!B26</f>
        <v>0</v>
      </c>
      <c r="I141" s="1"/>
      <c r="J141" s="1"/>
      <c r="K141" s="11" t="e">
        <f>VLOOKUP(H141,'Inf Bloques'!$A$1:$J$453,10,FALSE)</f>
        <v>#N/A</v>
      </c>
      <c r="L141" s="13"/>
    </row>
    <row r="142" spans="1:12" hidden="1" x14ac:dyDescent="0.2">
      <c r="A142" s="295">
        <f>+'PROGRAMA DRENCH PASO 1'!P26</f>
        <v>0</v>
      </c>
      <c r="B142" s="1"/>
      <c r="C142" s="1" t="str">
        <f>IFERROR((VLOOKUP($A142,'[2]CODIGOS D'!$A$3:$S$451,2,FALSE)),"0")</f>
        <v>0</v>
      </c>
      <c r="D142" s="299">
        <f>+'PROGRAMA DRENCH PASO 1'!Q26</f>
        <v>0</v>
      </c>
      <c r="E142" s="1"/>
      <c r="F142" s="1"/>
      <c r="G142" s="1"/>
      <c r="H142" s="5">
        <f>+H141</f>
        <v>0</v>
      </c>
      <c r="I142" s="1"/>
      <c r="J142" s="1"/>
      <c r="K142" s="11" t="e">
        <f>VLOOKUP(H142,'Inf Bloques'!$A$1:$J$453,10,FALSE)</f>
        <v>#N/A</v>
      </c>
      <c r="L142" s="13"/>
    </row>
    <row r="143" spans="1:12" hidden="1" x14ac:dyDescent="0.2">
      <c r="A143" s="295">
        <f>+'PROGRAMA DRENCH PASO 1'!T26</f>
        <v>0</v>
      </c>
      <c r="B143" s="1"/>
      <c r="C143" s="1" t="str">
        <f>IFERROR((VLOOKUP($A143,'[2]CODIGOS D'!$A$3:$S$451,2,FALSE)),"0")</f>
        <v>0</v>
      </c>
      <c r="D143" s="299">
        <f>+'PROGRAMA DRENCH PASO 1'!U26</f>
        <v>0</v>
      </c>
      <c r="E143" s="1"/>
      <c r="F143" s="1"/>
      <c r="G143" s="1"/>
      <c r="H143" s="5">
        <f t="shared" ref="H143:H146" si="23">+H142</f>
        <v>0</v>
      </c>
      <c r="I143" s="1"/>
      <c r="J143" s="1"/>
      <c r="K143" s="11" t="e">
        <f>VLOOKUP(H143,'Inf Bloques'!$A$1:$J$453,10,FALSE)</f>
        <v>#N/A</v>
      </c>
      <c r="L143" s="13"/>
    </row>
    <row r="144" spans="1:12" hidden="1" x14ac:dyDescent="0.2">
      <c r="A144" s="295">
        <f>+'PROGRAMA DRENCH PASO 1'!X26</f>
        <v>0</v>
      </c>
      <c r="B144" s="1"/>
      <c r="C144" s="1" t="str">
        <f>IFERROR((VLOOKUP($A144,'[2]CODIGOS D'!$A$3:$S$451,2,FALSE)),"0")</f>
        <v>0</v>
      </c>
      <c r="D144" s="299">
        <f>+'PROGRAMA DRENCH PASO 1'!Y26</f>
        <v>0</v>
      </c>
      <c r="E144" s="1"/>
      <c r="F144" s="1"/>
      <c r="G144" s="1"/>
      <c r="H144" s="5">
        <f t="shared" si="23"/>
        <v>0</v>
      </c>
      <c r="I144" s="1"/>
      <c r="J144" s="1"/>
      <c r="K144" s="11" t="e">
        <f>VLOOKUP(H144,'Inf Bloques'!$A$1:$J$453,10,FALSE)</f>
        <v>#N/A</v>
      </c>
      <c r="L144" s="13"/>
    </row>
    <row r="145" spans="1:12" hidden="1" x14ac:dyDescent="0.2">
      <c r="A145" s="296">
        <f>+'PROGRAMA DRENCH PASO 1'!AB26</f>
        <v>0</v>
      </c>
      <c r="B145" s="1"/>
      <c r="C145" s="1" t="str">
        <f>IFERROR((VLOOKUP($A145,'[2]CODIGOS D'!$A$3:$S$451,2,FALSE)),"0")</f>
        <v>0</v>
      </c>
      <c r="D145" s="299">
        <f>+'PROGRAMA DRENCH PASO 1'!AC26</f>
        <v>0</v>
      </c>
      <c r="E145" s="1"/>
      <c r="F145" s="1"/>
      <c r="G145" s="1"/>
      <c r="H145" s="5">
        <f t="shared" si="23"/>
        <v>0</v>
      </c>
      <c r="I145" s="1"/>
      <c r="J145" s="1"/>
      <c r="K145" s="11" t="e">
        <f>VLOOKUP(H145,'Inf Bloques'!$A$1:$J$453,10,FALSE)</f>
        <v>#N/A</v>
      </c>
      <c r="L145" s="13"/>
    </row>
    <row r="146" spans="1:12" hidden="1" x14ac:dyDescent="0.2">
      <c r="A146" s="296">
        <f>+'PROGRAMA DRENCH PASO 1'!AF26</f>
        <v>0</v>
      </c>
      <c r="B146" s="1"/>
      <c r="C146" s="1" t="str">
        <f>IFERROR((VLOOKUP($A146,'[2]CODIGOS D'!$A$3:$S$451,2,FALSE)),"0")</f>
        <v>0</v>
      </c>
      <c r="D146" s="299">
        <f>+'PROGRAMA DRENCH PASO 1'!AG26</f>
        <v>0</v>
      </c>
      <c r="E146" s="1"/>
      <c r="F146" s="1"/>
      <c r="G146" s="1"/>
      <c r="H146" s="5">
        <f t="shared" si="23"/>
        <v>0</v>
      </c>
      <c r="I146" s="1"/>
      <c r="J146" s="1"/>
      <c r="K146" s="11" t="e">
        <f>VLOOKUP(H146,'Inf Bloques'!$A$1:$J$453,10,FALSE)</f>
        <v>#N/A</v>
      </c>
      <c r="L146" s="13"/>
    </row>
    <row r="147" spans="1:12" x14ac:dyDescent="0.2">
      <c r="A147" s="297">
        <f>+'PROGRAMA DRENCH PASO 1'!L27</f>
        <v>0</v>
      </c>
      <c r="B147" s="1"/>
      <c r="C147" s="1" t="str">
        <f>IFERROR((VLOOKUP($A147,'[2]CODIGOS D'!$A$3:$S$451,2,FALSE)),"0")</f>
        <v>0</v>
      </c>
      <c r="D147" s="298">
        <f>+'PROGRAMA DRENCH PASO 1'!M27</f>
        <v>0</v>
      </c>
      <c r="E147" s="1"/>
      <c r="F147" s="1"/>
      <c r="G147" s="1"/>
      <c r="H147" s="4">
        <f>'PROGRAMA DRENCH PASO 1'!B27</f>
        <v>0</v>
      </c>
      <c r="I147" s="1"/>
      <c r="J147" s="1"/>
      <c r="K147" s="11" t="e">
        <f>VLOOKUP(H147,'Inf Bloques'!$A$1:$J$453,10,FALSE)</f>
        <v>#N/A</v>
      </c>
      <c r="L147" s="13"/>
    </row>
    <row r="148" spans="1:12" hidden="1" x14ac:dyDescent="0.2">
      <c r="A148" s="295">
        <f>+'PROGRAMA DRENCH PASO 1'!P27</f>
        <v>0</v>
      </c>
      <c r="B148" s="1"/>
      <c r="C148" s="1" t="str">
        <f>IFERROR((VLOOKUP($A148,'[2]CODIGOS D'!$A$3:$S$451,2,FALSE)),"0")</f>
        <v>0</v>
      </c>
      <c r="D148" s="299">
        <f>+'PROGRAMA DRENCH PASO 1'!Q27</f>
        <v>0</v>
      </c>
      <c r="E148" s="1"/>
      <c r="F148" s="1"/>
      <c r="G148" s="1"/>
      <c r="H148" s="5">
        <f>+H147</f>
        <v>0</v>
      </c>
      <c r="I148" s="1"/>
      <c r="J148" s="1"/>
      <c r="K148" s="11" t="e">
        <f>VLOOKUP(H148,'Inf Bloques'!$A$1:$J$453,10,FALSE)</f>
        <v>#N/A</v>
      </c>
      <c r="L148" s="13"/>
    </row>
    <row r="149" spans="1:12" hidden="1" x14ac:dyDescent="0.2">
      <c r="A149" s="295">
        <f>+'PROGRAMA DRENCH PASO 1'!T27</f>
        <v>0</v>
      </c>
      <c r="B149" s="1"/>
      <c r="C149" s="1" t="str">
        <f>IFERROR((VLOOKUP($A149,'[2]CODIGOS D'!$A$3:$S$451,2,FALSE)),"0")</f>
        <v>0</v>
      </c>
      <c r="D149" s="299">
        <f>+'PROGRAMA DRENCH PASO 1'!U27</f>
        <v>0</v>
      </c>
      <c r="E149" s="1"/>
      <c r="F149" s="1"/>
      <c r="G149" s="1"/>
      <c r="H149" s="5">
        <f t="shared" ref="H149:H152" si="24">+H148</f>
        <v>0</v>
      </c>
      <c r="I149" s="1"/>
      <c r="J149" s="1"/>
      <c r="K149" s="11" t="e">
        <f>VLOOKUP(H149,'Inf Bloques'!$A$1:$J$453,10,FALSE)</f>
        <v>#N/A</v>
      </c>
      <c r="L149" s="13"/>
    </row>
    <row r="150" spans="1:12" hidden="1" x14ac:dyDescent="0.2">
      <c r="A150" s="295">
        <f>+'PROGRAMA DRENCH PASO 1'!X27</f>
        <v>0</v>
      </c>
      <c r="B150" s="1"/>
      <c r="C150" s="1" t="str">
        <f>IFERROR((VLOOKUP($A150,'[2]CODIGOS D'!$A$3:$S$451,2,FALSE)),"0")</f>
        <v>0</v>
      </c>
      <c r="D150" s="299">
        <f>+'PROGRAMA DRENCH PASO 1'!Y27</f>
        <v>0</v>
      </c>
      <c r="E150" s="1"/>
      <c r="F150" s="1"/>
      <c r="G150" s="1"/>
      <c r="H150" s="5">
        <f t="shared" si="24"/>
        <v>0</v>
      </c>
      <c r="I150" s="1"/>
      <c r="J150" s="1"/>
      <c r="K150" s="11" t="e">
        <f>VLOOKUP(H150,'Inf Bloques'!$A$1:$J$453,10,FALSE)</f>
        <v>#N/A</v>
      </c>
      <c r="L150" s="13"/>
    </row>
    <row r="151" spans="1:12" hidden="1" x14ac:dyDescent="0.2">
      <c r="A151" s="296">
        <f>+'PROGRAMA DRENCH PASO 1'!AB27</f>
        <v>0</v>
      </c>
      <c r="B151" s="1"/>
      <c r="C151" s="1" t="str">
        <f>IFERROR((VLOOKUP($A151,'[2]CODIGOS D'!$A$3:$S$451,2,FALSE)),"0")</f>
        <v>0</v>
      </c>
      <c r="D151" s="299">
        <f>+'PROGRAMA DRENCH PASO 1'!AC27</f>
        <v>0</v>
      </c>
      <c r="E151" s="1"/>
      <c r="F151" s="1"/>
      <c r="G151" s="1"/>
      <c r="H151" s="5">
        <f t="shared" si="24"/>
        <v>0</v>
      </c>
      <c r="I151" s="1"/>
      <c r="J151" s="1"/>
      <c r="K151" s="11" t="e">
        <f>VLOOKUP(H151,'Inf Bloques'!$A$1:$J$453,10,FALSE)</f>
        <v>#N/A</v>
      </c>
      <c r="L151" s="13"/>
    </row>
    <row r="152" spans="1:12" hidden="1" x14ac:dyDescent="0.2">
      <c r="A152" s="296">
        <f>+'PROGRAMA DRENCH PASO 1'!AF27</f>
        <v>0</v>
      </c>
      <c r="B152" s="1"/>
      <c r="C152" s="1" t="str">
        <f>IFERROR((VLOOKUP($A152,'[2]CODIGOS D'!$A$3:$S$451,2,FALSE)),"0")</f>
        <v>0</v>
      </c>
      <c r="D152" s="299">
        <f>+'PROGRAMA DRENCH PASO 1'!AG27</f>
        <v>0</v>
      </c>
      <c r="E152" s="1"/>
      <c r="F152" s="1"/>
      <c r="G152" s="1"/>
      <c r="H152" s="5">
        <f t="shared" si="24"/>
        <v>0</v>
      </c>
      <c r="I152" s="1"/>
      <c r="J152" s="1"/>
      <c r="K152" s="11" t="e">
        <f>VLOOKUP(H152,'Inf Bloques'!$A$1:$J$453,10,FALSE)</f>
        <v>#N/A</v>
      </c>
      <c r="L152" s="13"/>
    </row>
    <row r="153" spans="1:12" x14ac:dyDescent="0.2">
      <c r="A153" s="297">
        <f>+'PROGRAMA DRENCH PASO 1'!L28</f>
        <v>0</v>
      </c>
      <c r="B153" s="1"/>
      <c r="C153" s="1" t="str">
        <f>IFERROR((VLOOKUP($A153,'[2]CODIGOS D'!$A$3:$S$451,2,FALSE)),"0")</f>
        <v>0</v>
      </c>
      <c r="D153" s="298">
        <f>+'PROGRAMA DRENCH PASO 1'!M28</f>
        <v>0</v>
      </c>
      <c r="E153" s="1"/>
      <c r="F153" s="1"/>
      <c r="G153" s="1"/>
      <c r="H153" s="4">
        <f>'PROGRAMA DRENCH PASO 1'!B28</f>
        <v>0</v>
      </c>
      <c r="I153" s="1"/>
      <c r="J153" s="1"/>
      <c r="K153" s="11" t="e">
        <f>VLOOKUP(H153,'Inf Bloques'!$A$1:$J$453,10,FALSE)</f>
        <v>#N/A</v>
      </c>
      <c r="L153" s="13"/>
    </row>
    <row r="154" spans="1:12" hidden="1" x14ac:dyDescent="0.2">
      <c r="A154" s="295">
        <f>+'PROGRAMA DRENCH PASO 1'!P28</f>
        <v>0</v>
      </c>
      <c r="B154" s="1"/>
      <c r="C154" s="1" t="str">
        <f>IFERROR((VLOOKUP($A154,'[2]CODIGOS D'!$A$3:$S$451,2,FALSE)),"0")</f>
        <v>0</v>
      </c>
      <c r="D154" s="299">
        <f>+'PROGRAMA DRENCH PASO 1'!Q28</f>
        <v>0</v>
      </c>
      <c r="E154" s="1"/>
      <c r="F154" s="1"/>
      <c r="G154" s="1"/>
      <c r="H154" s="5">
        <f>+H153</f>
        <v>0</v>
      </c>
      <c r="I154" s="1"/>
      <c r="J154" s="1"/>
      <c r="K154" s="11" t="e">
        <f>VLOOKUP(H154,'Inf Bloques'!$A$1:$J$453,10,FALSE)</f>
        <v>#N/A</v>
      </c>
      <c r="L154" s="13"/>
    </row>
    <row r="155" spans="1:12" hidden="1" x14ac:dyDescent="0.2">
      <c r="A155" s="295">
        <f>+'PROGRAMA DRENCH PASO 1'!T28</f>
        <v>0</v>
      </c>
      <c r="B155" s="1"/>
      <c r="C155" s="1" t="str">
        <f>IFERROR((VLOOKUP($A155,'[2]CODIGOS D'!$A$3:$S$451,2,FALSE)),"0")</f>
        <v>0</v>
      </c>
      <c r="D155" s="299">
        <f>+'PROGRAMA DRENCH PASO 1'!U28</f>
        <v>0</v>
      </c>
      <c r="E155" s="1"/>
      <c r="F155" s="1"/>
      <c r="G155" s="1"/>
      <c r="H155" s="5">
        <f t="shared" ref="H155:H158" si="25">+H154</f>
        <v>0</v>
      </c>
      <c r="I155" s="1"/>
      <c r="J155" s="1"/>
      <c r="K155" s="11" t="e">
        <f>VLOOKUP(H155,'Inf Bloques'!$A$1:$J$453,10,FALSE)</f>
        <v>#N/A</v>
      </c>
      <c r="L155" s="13"/>
    </row>
    <row r="156" spans="1:12" hidden="1" x14ac:dyDescent="0.2">
      <c r="A156" s="295">
        <f>+'PROGRAMA DRENCH PASO 1'!X28</f>
        <v>0</v>
      </c>
      <c r="B156" s="1"/>
      <c r="C156" s="1" t="str">
        <f>IFERROR((VLOOKUP($A156,'[2]CODIGOS D'!$A$3:$S$451,2,FALSE)),"0")</f>
        <v>0</v>
      </c>
      <c r="D156" s="299">
        <f>+'PROGRAMA DRENCH PASO 1'!Y28</f>
        <v>0</v>
      </c>
      <c r="E156" s="1"/>
      <c r="F156" s="1"/>
      <c r="G156" s="1"/>
      <c r="H156" s="5">
        <f t="shared" si="25"/>
        <v>0</v>
      </c>
      <c r="I156" s="1"/>
      <c r="J156" s="1"/>
      <c r="K156" s="11" t="e">
        <f>VLOOKUP(H156,'Inf Bloques'!$A$1:$J$453,10,FALSE)</f>
        <v>#N/A</v>
      </c>
      <c r="L156" s="13"/>
    </row>
    <row r="157" spans="1:12" hidden="1" x14ac:dyDescent="0.2">
      <c r="A157" s="296">
        <f>+'PROGRAMA DRENCH PASO 1'!AB28</f>
        <v>0</v>
      </c>
      <c r="B157" s="1"/>
      <c r="C157" s="1" t="str">
        <f>IFERROR((VLOOKUP($A157,'[2]CODIGOS D'!$A$3:$S$451,2,FALSE)),"0")</f>
        <v>0</v>
      </c>
      <c r="D157" s="299">
        <f>+'PROGRAMA DRENCH PASO 1'!AC28</f>
        <v>0</v>
      </c>
      <c r="E157" s="1"/>
      <c r="F157" s="1"/>
      <c r="G157" s="1"/>
      <c r="H157" s="5">
        <f t="shared" si="25"/>
        <v>0</v>
      </c>
      <c r="I157" s="1"/>
      <c r="J157" s="1"/>
      <c r="K157" s="11" t="e">
        <f>VLOOKUP(H157,'Inf Bloques'!$A$1:$J$453,10,FALSE)</f>
        <v>#N/A</v>
      </c>
      <c r="L157" s="13"/>
    </row>
    <row r="158" spans="1:12" hidden="1" x14ac:dyDescent="0.2">
      <c r="A158" s="296">
        <f>+'PROGRAMA DRENCH PASO 1'!AF28</f>
        <v>0</v>
      </c>
      <c r="B158" s="1"/>
      <c r="C158" s="1" t="str">
        <f>IFERROR((VLOOKUP($A158,'[2]CODIGOS D'!$A$3:$S$451,2,FALSE)),"0")</f>
        <v>0</v>
      </c>
      <c r="D158" s="299">
        <f>+'PROGRAMA DRENCH PASO 1'!AG28</f>
        <v>0</v>
      </c>
      <c r="E158" s="1"/>
      <c r="F158" s="1"/>
      <c r="G158" s="1"/>
      <c r="H158" s="5">
        <f t="shared" si="25"/>
        <v>0</v>
      </c>
      <c r="I158" s="1"/>
      <c r="J158" s="1"/>
      <c r="K158" s="11" t="e">
        <f>VLOOKUP(H158,'Inf Bloques'!$A$1:$J$453,10,FALSE)</f>
        <v>#N/A</v>
      </c>
      <c r="L158" s="13"/>
    </row>
    <row r="159" spans="1:12" x14ac:dyDescent="0.2">
      <c r="A159" s="297">
        <f>+'PROGRAMA DRENCH PASO 1'!L29</f>
        <v>0</v>
      </c>
      <c r="B159" s="1"/>
      <c r="C159" s="1" t="str">
        <f>IFERROR((VLOOKUP($A159,'[2]CODIGOS D'!$A$3:$S$451,2,FALSE)),"0")</f>
        <v>0</v>
      </c>
      <c r="D159" s="298">
        <f>+'PROGRAMA DRENCH PASO 1'!M29</f>
        <v>0</v>
      </c>
      <c r="E159" s="1"/>
      <c r="F159" s="1"/>
      <c r="G159" s="1"/>
      <c r="H159" s="4">
        <f>'PROGRAMA DRENCH PASO 1'!B29</f>
        <v>0</v>
      </c>
      <c r="I159" s="1"/>
      <c r="J159" s="1"/>
      <c r="K159" s="11" t="e">
        <f>VLOOKUP(H159,'Inf Bloques'!$A$1:$J$453,10,FALSE)</f>
        <v>#N/A</v>
      </c>
      <c r="L159" s="13"/>
    </row>
    <row r="160" spans="1:12" hidden="1" x14ac:dyDescent="0.2">
      <c r="A160" s="295">
        <f>+'PROGRAMA DRENCH PASO 1'!P29</f>
        <v>0</v>
      </c>
      <c r="B160" s="1"/>
      <c r="C160" s="1" t="str">
        <f>IFERROR((VLOOKUP($A160,'[2]CODIGOS D'!$A$3:$S$451,2,FALSE)),"0")</f>
        <v>0</v>
      </c>
      <c r="D160" s="299">
        <f>+'PROGRAMA DRENCH PASO 1'!Q29</f>
        <v>0</v>
      </c>
      <c r="E160" s="1"/>
      <c r="F160" s="1"/>
      <c r="G160" s="1"/>
      <c r="H160" s="5">
        <f>+H159</f>
        <v>0</v>
      </c>
      <c r="I160" s="1"/>
      <c r="J160" s="1"/>
      <c r="K160" s="11" t="e">
        <f>VLOOKUP(H160,'Inf Bloques'!$A$1:$J$453,10,FALSE)</f>
        <v>#N/A</v>
      </c>
      <c r="L160" s="13"/>
    </row>
    <row r="161" spans="1:12" hidden="1" x14ac:dyDescent="0.2">
      <c r="A161" s="295">
        <f>+'PROGRAMA DRENCH PASO 1'!T29</f>
        <v>0</v>
      </c>
      <c r="B161" s="1"/>
      <c r="C161" s="1" t="str">
        <f>IFERROR((VLOOKUP($A161,'[2]CODIGOS D'!$A$3:$S$451,2,FALSE)),"0")</f>
        <v>0</v>
      </c>
      <c r="D161" s="299">
        <f>+'PROGRAMA DRENCH PASO 1'!U29</f>
        <v>0</v>
      </c>
      <c r="E161" s="1"/>
      <c r="F161" s="1"/>
      <c r="G161" s="1"/>
      <c r="H161" s="5">
        <f t="shared" ref="H161:H164" si="26">+H160</f>
        <v>0</v>
      </c>
      <c r="I161" s="1"/>
      <c r="J161" s="1"/>
      <c r="K161" s="11" t="e">
        <f>VLOOKUP(H161,'Inf Bloques'!$A$1:$J$453,10,FALSE)</f>
        <v>#N/A</v>
      </c>
      <c r="L161" s="13"/>
    </row>
    <row r="162" spans="1:12" hidden="1" x14ac:dyDescent="0.2">
      <c r="A162" s="295">
        <f>+'PROGRAMA DRENCH PASO 1'!X29</f>
        <v>0</v>
      </c>
      <c r="B162" s="1"/>
      <c r="C162" s="1" t="str">
        <f>IFERROR((VLOOKUP($A162,'[2]CODIGOS D'!$A$3:$S$451,2,FALSE)),"0")</f>
        <v>0</v>
      </c>
      <c r="D162" s="299">
        <f>+'PROGRAMA DRENCH PASO 1'!Y29</f>
        <v>0</v>
      </c>
      <c r="E162" s="1"/>
      <c r="F162" s="1"/>
      <c r="G162" s="1"/>
      <c r="H162" s="5">
        <f t="shared" si="26"/>
        <v>0</v>
      </c>
      <c r="I162" s="1"/>
      <c r="J162" s="1"/>
      <c r="K162" s="11" t="e">
        <f>VLOOKUP(H162,'Inf Bloques'!$A$1:$J$453,10,FALSE)</f>
        <v>#N/A</v>
      </c>
      <c r="L162" s="13"/>
    </row>
    <row r="163" spans="1:12" hidden="1" x14ac:dyDescent="0.2">
      <c r="A163" s="296">
        <f>+'PROGRAMA DRENCH PASO 1'!AB29</f>
        <v>0</v>
      </c>
      <c r="B163" s="1"/>
      <c r="C163" s="1" t="str">
        <f>IFERROR((VLOOKUP($A163,'[2]CODIGOS D'!$A$3:$S$451,2,FALSE)),"0")</f>
        <v>0</v>
      </c>
      <c r="D163" s="299">
        <f>+'PROGRAMA DRENCH PASO 1'!AC29</f>
        <v>0</v>
      </c>
      <c r="E163" s="1"/>
      <c r="F163" s="1"/>
      <c r="G163" s="1"/>
      <c r="H163" s="5">
        <f t="shared" si="26"/>
        <v>0</v>
      </c>
      <c r="I163" s="1"/>
      <c r="J163" s="1"/>
      <c r="K163" s="11" t="e">
        <f>VLOOKUP(H163,'Inf Bloques'!$A$1:$J$453,10,FALSE)</f>
        <v>#N/A</v>
      </c>
      <c r="L163" s="13"/>
    </row>
    <row r="164" spans="1:12" hidden="1" x14ac:dyDescent="0.2">
      <c r="A164" s="296">
        <f>+'PROGRAMA DRENCH PASO 1'!AF29</f>
        <v>0</v>
      </c>
      <c r="B164" s="1"/>
      <c r="C164" s="1" t="str">
        <f>IFERROR((VLOOKUP($A164,'[2]CODIGOS D'!$A$3:$S$451,2,FALSE)),"0")</f>
        <v>0</v>
      </c>
      <c r="D164" s="299">
        <f>+'PROGRAMA DRENCH PASO 1'!AG29</f>
        <v>0</v>
      </c>
      <c r="E164" s="1"/>
      <c r="F164" s="1"/>
      <c r="G164" s="1"/>
      <c r="H164" s="5">
        <f t="shared" si="26"/>
        <v>0</v>
      </c>
      <c r="I164" s="1"/>
      <c r="J164" s="1"/>
      <c r="K164" s="11" t="e">
        <f>VLOOKUP(H164,'Inf Bloques'!$A$1:$J$453,10,FALSE)</f>
        <v>#N/A</v>
      </c>
      <c r="L164" s="13"/>
    </row>
    <row r="165" spans="1:12" x14ac:dyDescent="0.2">
      <c r="A165" s="297">
        <f>+'PROGRAMA DRENCH PASO 1'!L30</f>
        <v>0</v>
      </c>
      <c r="B165" s="1"/>
      <c r="C165" s="1" t="str">
        <f>IFERROR((VLOOKUP($A165,'[2]CODIGOS D'!$A$3:$S$451,2,FALSE)),"0")</f>
        <v>0</v>
      </c>
      <c r="D165" s="298">
        <f>+'PROGRAMA DRENCH PASO 1'!M30</f>
        <v>0</v>
      </c>
      <c r="E165" s="1"/>
      <c r="F165" s="1"/>
      <c r="G165" s="1"/>
      <c r="H165" s="4">
        <f>'PROGRAMA DRENCH PASO 1'!B30</f>
        <v>0</v>
      </c>
      <c r="I165" s="1"/>
      <c r="J165" s="1"/>
      <c r="K165" s="11" t="e">
        <f>VLOOKUP(H165,'Inf Bloques'!$A$1:$J$453,10,FALSE)</f>
        <v>#N/A</v>
      </c>
      <c r="L165" s="13"/>
    </row>
    <row r="166" spans="1:12" hidden="1" x14ac:dyDescent="0.2">
      <c r="A166" s="295">
        <f>+'PROGRAMA DRENCH PASO 1'!P30</f>
        <v>0</v>
      </c>
      <c r="B166" s="1"/>
      <c r="C166" s="1" t="str">
        <f>IFERROR((VLOOKUP($A166,'[2]CODIGOS D'!$A$3:$S$451,2,FALSE)),"0")</f>
        <v>0</v>
      </c>
      <c r="D166" s="299">
        <f>+'PROGRAMA DRENCH PASO 1'!Q30</f>
        <v>0</v>
      </c>
      <c r="E166" s="1"/>
      <c r="F166" s="1"/>
      <c r="G166" s="1"/>
      <c r="H166" s="5">
        <f>+H165</f>
        <v>0</v>
      </c>
      <c r="I166" s="1"/>
      <c r="J166" s="1"/>
      <c r="K166" s="11" t="e">
        <f>VLOOKUP(H166,'Inf Bloques'!$A$1:$J$453,10,FALSE)</f>
        <v>#N/A</v>
      </c>
      <c r="L166" s="13"/>
    </row>
    <row r="167" spans="1:12" hidden="1" x14ac:dyDescent="0.2">
      <c r="A167" s="295">
        <f>+'PROGRAMA DRENCH PASO 1'!T30</f>
        <v>0</v>
      </c>
      <c r="B167" s="1"/>
      <c r="C167" s="1" t="str">
        <f>IFERROR((VLOOKUP($A167,'[2]CODIGOS D'!$A$3:$S$451,2,FALSE)),"0")</f>
        <v>0</v>
      </c>
      <c r="D167" s="299">
        <f>+'PROGRAMA DRENCH PASO 1'!U30</f>
        <v>0</v>
      </c>
      <c r="E167" s="1"/>
      <c r="F167" s="1"/>
      <c r="G167" s="1"/>
      <c r="H167" s="5">
        <f t="shared" ref="H167" si="27">+H166</f>
        <v>0</v>
      </c>
      <c r="I167" s="1"/>
      <c r="J167" s="1"/>
      <c r="K167" s="11" t="e">
        <f>VLOOKUP(H167,'Inf Bloques'!$A$1:$J$453,10,FALSE)</f>
        <v>#N/A</v>
      </c>
      <c r="L167" s="13"/>
    </row>
    <row r="168" spans="1:12" hidden="1" x14ac:dyDescent="0.2">
      <c r="A168" s="295">
        <f>+'PROGRAMA DRENCH PASO 1'!X30</f>
        <v>0</v>
      </c>
      <c r="B168" s="1"/>
      <c r="C168" s="1" t="str">
        <f>IFERROR((VLOOKUP($A168,'CODIGOS D'!$A$3:$S$451,2,FALSE)),"0")</f>
        <v>0</v>
      </c>
      <c r="D168" s="299">
        <f>+'PROGRAMA DRENCH PASO 1'!Y30</f>
        <v>0</v>
      </c>
      <c r="E168" s="1"/>
      <c r="F168" s="1"/>
      <c r="G168" s="1"/>
      <c r="H168" s="5">
        <f t="shared" ref="H168:H231" si="28">+H167</f>
        <v>0</v>
      </c>
      <c r="I168" s="1"/>
      <c r="J168" s="1"/>
      <c r="K168" s="11" t="e">
        <f>VLOOKUP(H168,'Inf Bloques'!$A$1:$J$453,10,FALSE)</f>
        <v>#N/A</v>
      </c>
      <c r="L168" s="13"/>
    </row>
    <row r="169" spans="1:12" hidden="1" x14ac:dyDescent="0.2">
      <c r="A169" s="296">
        <f>+'PROGRAMA DRENCH PASO 1'!AB30</f>
        <v>0</v>
      </c>
      <c r="B169" s="1"/>
      <c r="C169" s="1" t="str">
        <f>IFERROR((VLOOKUP($A169,'CODIGOS D'!$A$3:$S$451,2,FALSE)),"0")</f>
        <v>0</v>
      </c>
      <c r="D169" s="299">
        <f>+'PROGRAMA DRENCH PASO 1'!AC30</f>
        <v>0</v>
      </c>
      <c r="E169" s="1"/>
      <c r="F169" s="1"/>
      <c r="G169" s="1"/>
      <c r="H169" s="5">
        <f t="shared" si="28"/>
        <v>0</v>
      </c>
      <c r="I169" s="1"/>
      <c r="J169" s="1"/>
      <c r="K169" s="11" t="e">
        <f>VLOOKUP(H169,'Inf Bloques'!$A$1:$J$453,10,FALSE)</f>
        <v>#N/A</v>
      </c>
      <c r="L169" s="13"/>
    </row>
    <row r="170" spans="1:12" hidden="1" x14ac:dyDescent="0.2">
      <c r="A170" s="296">
        <f>+'PROGRAMA DRENCH PASO 1'!AF30</f>
        <v>0</v>
      </c>
      <c r="B170" s="1"/>
      <c r="C170" s="1" t="str">
        <f>IFERROR((VLOOKUP($A170,'CODIGOS D'!$A$3:$S$451,2,FALSE)),"0")</f>
        <v>0</v>
      </c>
      <c r="D170" s="299">
        <f>+'PROGRAMA DRENCH PASO 1'!AG30</f>
        <v>0</v>
      </c>
      <c r="E170" s="1"/>
      <c r="F170" s="1"/>
      <c r="G170" s="1"/>
      <c r="H170" s="5">
        <f t="shared" si="28"/>
        <v>0</v>
      </c>
      <c r="I170" s="1"/>
      <c r="J170" s="1"/>
      <c r="K170" s="11" t="e">
        <f>VLOOKUP(H170,'Inf Bloques'!$A$1:$J$453,10,FALSE)</f>
        <v>#N/A</v>
      </c>
      <c r="L170" s="13"/>
    </row>
    <row r="171" spans="1:12" x14ac:dyDescent="0.2">
      <c r="A171" s="297">
        <f>+'PROGRAMA DRENCH PASO 1'!L31</f>
        <v>0</v>
      </c>
      <c r="B171" s="1"/>
      <c r="C171" s="1" t="str">
        <f>IFERROR((VLOOKUP($A171,'CODIGOS D'!$A$3:$S$451,2,FALSE)),"0")</f>
        <v>0</v>
      </c>
      <c r="D171" s="298">
        <f>+'PROGRAMA DRENCH PASO 1'!M31</f>
        <v>0</v>
      </c>
      <c r="E171" s="1"/>
      <c r="F171" s="1"/>
      <c r="G171" s="1"/>
      <c r="H171" s="4">
        <f>'PROGRAMA DRENCH PASO 1'!B31</f>
        <v>0</v>
      </c>
      <c r="I171" s="1"/>
      <c r="J171" s="1"/>
      <c r="K171" s="11" t="e">
        <f>VLOOKUP(H171,'Inf Bloques'!$A$1:$J$453,10,FALSE)</f>
        <v>#N/A</v>
      </c>
      <c r="L171" s="13"/>
    </row>
    <row r="172" spans="1:12" hidden="1" x14ac:dyDescent="0.2">
      <c r="A172" s="295">
        <f>+'PROGRAMA DRENCH PASO 1'!P31</f>
        <v>0</v>
      </c>
      <c r="B172" s="1"/>
      <c r="C172" s="1" t="str">
        <f>IFERROR((VLOOKUP($A172,'CODIGOS D'!$A$3:$S$451,2,FALSE)),"0")</f>
        <v>0</v>
      </c>
      <c r="D172" s="299">
        <f>+'PROGRAMA DRENCH PASO 1'!Q31</f>
        <v>0</v>
      </c>
      <c r="E172" s="1"/>
      <c r="F172" s="1"/>
      <c r="G172" s="1"/>
      <c r="H172" s="5">
        <f t="shared" si="28"/>
        <v>0</v>
      </c>
      <c r="I172" s="1"/>
      <c r="J172" s="1"/>
      <c r="K172" s="11" t="e">
        <f>VLOOKUP(H172,'Inf Bloques'!$A$1:$J$453,10,FALSE)</f>
        <v>#N/A</v>
      </c>
      <c r="L172" s="13"/>
    </row>
    <row r="173" spans="1:12" hidden="1" x14ac:dyDescent="0.2">
      <c r="A173" s="295">
        <f>+'PROGRAMA DRENCH PASO 1'!T31</f>
        <v>0</v>
      </c>
      <c r="B173" s="1"/>
      <c r="C173" s="1" t="str">
        <f>IFERROR((VLOOKUP($A173,'CODIGOS D'!$A$3:$S$451,2,FALSE)),"0")</f>
        <v>0</v>
      </c>
      <c r="D173" s="299">
        <f>+'PROGRAMA DRENCH PASO 1'!U31</f>
        <v>0</v>
      </c>
      <c r="E173" s="1"/>
      <c r="F173" s="1"/>
      <c r="G173" s="1"/>
      <c r="H173" s="5">
        <f t="shared" si="28"/>
        <v>0</v>
      </c>
      <c r="I173" s="1"/>
      <c r="J173" s="1"/>
      <c r="K173" s="11" t="e">
        <f>VLOOKUP(H173,'Inf Bloques'!$A$1:$J$453,10,FALSE)</f>
        <v>#N/A</v>
      </c>
      <c r="L173" s="13"/>
    </row>
    <row r="174" spans="1:12" hidden="1" x14ac:dyDescent="0.2">
      <c r="A174" s="295">
        <f>+'PROGRAMA DRENCH PASO 1'!X31</f>
        <v>0</v>
      </c>
      <c r="B174" s="1"/>
      <c r="C174" s="1" t="str">
        <f>IFERROR((VLOOKUP($A174,'CODIGOS D'!$A$3:$S$451,2,FALSE)),"0")</f>
        <v>0</v>
      </c>
      <c r="D174" s="299">
        <f>+'PROGRAMA DRENCH PASO 1'!Y31</f>
        <v>0</v>
      </c>
      <c r="E174" s="1"/>
      <c r="F174" s="1"/>
      <c r="G174" s="1"/>
      <c r="H174" s="5">
        <f t="shared" si="28"/>
        <v>0</v>
      </c>
      <c r="I174" s="1"/>
      <c r="J174" s="1"/>
      <c r="K174" s="11" t="e">
        <f>VLOOKUP(H174,'Inf Bloques'!$A$1:$J$453,10,FALSE)</f>
        <v>#N/A</v>
      </c>
      <c r="L174" s="13"/>
    </row>
    <row r="175" spans="1:12" hidden="1" x14ac:dyDescent="0.2">
      <c r="A175" s="296">
        <f>+'PROGRAMA DRENCH PASO 1'!AB31</f>
        <v>0</v>
      </c>
      <c r="B175" s="1"/>
      <c r="C175" s="1" t="str">
        <f>IFERROR((VLOOKUP($A175,'CODIGOS D'!$A$3:$S$451,2,FALSE)),"0")</f>
        <v>0</v>
      </c>
      <c r="D175" s="299">
        <f>+'PROGRAMA DRENCH PASO 1'!AC31</f>
        <v>0</v>
      </c>
      <c r="E175" s="1"/>
      <c r="F175" s="1"/>
      <c r="G175" s="1"/>
      <c r="H175" s="5">
        <f t="shared" si="28"/>
        <v>0</v>
      </c>
      <c r="I175" s="1"/>
      <c r="J175" s="1"/>
      <c r="K175" s="11" t="e">
        <f>VLOOKUP(H175,'Inf Bloques'!$A$1:$J$453,10,FALSE)</f>
        <v>#N/A</v>
      </c>
      <c r="L175" s="13"/>
    </row>
    <row r="176" spans="1:12" hidden="1" x14ac:dyDescent="0.2">
      <c r="A176" s="296">
        <f>+'PROGRAMA DRENCH PASO 1'!AF31</f>
        <v>0</v>
      </c>
      <c r="B176" s="1"/>
      <c r="C176" s="1" t="str">
        <f>IFERROR((VLOOKUP($A176,'CODIGOS D'!$A$3:$S$451,2,FALSE)),"0")</f>
        <v>0</v>
      </c>
      <c r="D176" s="299">
        <f>+'PROGRAMA DRENCH PASO 1'!AG31</f>
        <v>0</v>
      </c>
      <c r="E176" s="1"/>
      <c r="F176" s="1"/>
      <c r="G176" s="1"/>
      <c r="H176" s="5">
        <f t="shared" si="28"/>
        <v>0</v>
      </c>
      <c r="I176" s="1"/>
      <c r="J176" s="1"/>
      <c r="K176" s="11" t="e">
        <f>VLOOKUP(H176,'Inf Bloques'!$A$1:$J$453,10,FALSE)</f>
        <v>#N/A</v>
      </c>
      <c r="L176" s="13"/>
    </row>
    <row r="177" spans="1:12" x14ac:dyDescent="0.2">
      <c r="A177" s="297">
        <f>+'PROGRAMA DRENCH PASO 1'!L32</f>
        <v>0</v>
      </c>
      <c r="B177" s="1"/>
      <c r="C177" s="1" t="str">
        <f>IFERROR((VLOOKUP($A177,'CODIGOS D'!$A$3:$S$451,2,FALSE)),"0")</f>
        <v>0</v>
      </c>
      <c r="D177" s="298">
        <f>+'PROGRAMA DRENCH PASO 1'!M32</f>
        <v>0</v>
      </c>
      <c r="E177" s="1"/>
      <c r="F177" s="1"/>
      <c r="G177" s="1"/>
      <c r="H177" s="4">
        <f>'PROGRAMA DRENCH PASO 1'!B32</f>
        <v>0</v>
      </c>
      <c r="I177" s="1"/>
      <c r="J177" s="1"/>
      <c r="K177" s="11" t="e">
        <f>VLOOKUP(H177,'Inf Bloques'!$A$1:$J$453,10,FALSE)</f>
        <v>#N/A</v>
      </c>
      <c r="L177" s="13"/>
    </row>
    <row r="178" spans="1:12" hidden="1" x14ac:dyDescent="0.2">
      <c r="A178" s="295">
        <f>+'PROGRAMA DRENCH PASO 1'!P32</f>
        <v>0</v>
      </c>
      <c r="B178" s="1"/>
      <c r="C178" s="1" t="str">
        <f>IFERROR((VLOOKUP($A178,'CODIGOS D'!$A$3:$S$451,2,FALSE)),"0")</f>
        <v>0</v>
      </c>
      <c r="D178" s="299">
        <f>+'PROGRAMA DRENCH PASO 1'!Q32</f>
        <v>0</v>
      </c>
      <c r="E178" s="1"/>
      <c r="F178" s="1"/>
      <c r="G178" s="1"/>
      <c r="H178" s="5">
        <f t="shared" si="28"/>
        <v>0</v>
      </c>
      <c r="I178" s="1"/>
      <c r="J178" s="1"/>
      <c r="K178" s="11" t="e">
        <f>VLOOKUP(H178,'Inf Bloques'!$A$1:$J$453,10,FALSE)</f>
        <v>#N/A</v>
      </c>
      <c r="L178" s="13"/>
    </row>
    <row r="179" spans="1:12" hidden="1" x14ac:dyDescent="0.2">
      <c r="A179" s="295">
        <f>+'PROGRAMA DRENCH PASO 1'!T32</f>
        <v>0</v>
      </c>
      <c r="B179" s="1"/>
      <c r="C179" s="1" t="str">
        <f>IFERROR((VLOOKUP($A179,'CODIGOS D'!$A$3:$S$451,2,FALSE)),"0")</f>
        <v>0</v>
      </c>
      <c r="D179" s="299">
        <f>+'PROGRAMA DRENCH PASO 1'!U32</f>
        <v>0</v>
      </c>
      <c r="E179" s="1"/>
      <c r="F179" s="1"/>
      <c r="G179" s="1"/>
      <c r="H179" s="5">
        <f t="shared" si="28"/>
        <v>0</v>
      </c>
      <c r="I179" s="1"/>
      <c r="J179" s="1"/>
      <c r="K179" s="11" t="e">
        <f>VLOOKUP(H179,'Inf Bloques'!$A$1:$J$453,10,FALSE)</f>
        <v>#N/A</v>
      </c>
      <c r="L179" s="13"/>
    </row>
    <row r="180" spans="1:12" hidden="1" x14ac:dyDescent="0.2">
      <c r="A180" s="295">
        <f>+'PROGRAMA DRENCH PASO 1'!X32</f>
        <v>0</v>
      </c>
      <c r="B180" s="1"/>
      <c r="C180" s="1" t="str">
        <f>IFERROR((VLOOKUP($A180,'CODIGOS D'!$A$3:$S$451,2,FALSE)),"0")</f>
        <v>0</v>
      </c>
      <c r="D180" s="299">
        <f>+'PROGRAMA DRENCH PASO 1'!Y32</f>
        <v>0</v>
      </c>
      <c r="E180" s="1"/>
      <c r="F180" s="1"/>
      <c r="G180" s="1"/>
      <c r="H180" s="5">
        <f t="shared" si="28"/>
        <v>0</v>
      </c>
      <c r="I180" s="1"/>
      <c r="J180" s="1"/>
      <c r="K180" s="11" t="e">
        <f>VLOOKUP(H180,'Inf Bloques'!$A$1:$J$453,10,FALSE)</f>
        <v>#N/A</v>
      </c>
      <c r="L180" s="13"/>
    </row>
    <row r="181" spans="1:12" hidden="1" x14ac:dyDescent="0.2">
      <c r="A181" s="296">
        <f>+'PROGRAMA DRENCH PASO 1'!AB32</f>
        <v>0</v>
      </c>
      <c r="B181" s="1"/>
      <c r="C181" s="1" t="str">
        <f>IFERROR((VLOOKUP($A181,'CODIGOS D'!$A$3:$S$451,2,FALSE)),"0")</f>
        <v>0</v>
      </c>
      <c r="D181" s="299">
        <f>+'PROGRAMA DRENCH PASO 1'!AC32</f>
        <v>0</v>
      </c>
      <c r="E181" s="1"/>
      <c r="F181" s="1"/>
      <c r="G181" s="1"/>
      <c r="H181" s="5">
        <f t="shared" si="28"/>
        <v>0</v>
      </c>
      <c r="I181" s="1"/>
      <c r="J181" s="1"/>
      <c r="K181" s="11" t="e">
        <f>VLOOKUP(H181,'Inf Bloques'!$A$1:$J$453,10,FALSE)</f>
        <v>#N/A</v>
      </c>
      <c r="L181" s="13"/>
    </row>
    <row r="182" spans="1:12" hidden="1" x14ac:dyDescent="0.2">
      <c r="A182" s="296">
        <f>+'PROGRAMA DRENCH PASO 1'!AF32</f>
        <v>0</v>
      </c>
      <c r="B182" s="1"/>
      <c r="C182" s="1" t="str">
        <f>IFERROR((VLOOKUP($A182,'CODIGOS D'!$A$3:$S$451,2,FALSE)),"0")</f>
        <v>0</v>
      </c>
      <c r="D182" s="299">
        <f>+'PROGRAMA DRENCH PASO 1'!AG32</f>
        <v>0</v>
      </c>
      <c r="E182" s="1"/>
      <c r="F182" s="1"/>
      <c r="G182" s="1"/>
      <c r="H182" s="5">
        <f t="shared" si="28"/>
        <v>0</v>
      </c>
      <c r="I182" s="1"/>
      <c r="J182" s="1"/>
      <c r="K182" s="11" t="e">
        <f>VLOOKUP(H182,'Inf Bloques'!$A$1:$J$453,10,FALSE)</f>
        <v>#N/A</v>
      </c>
      <c r="L182" s="13"/>
    </row>
    <row r="183" spans="1:12" hidden="1" x14ac:dyDescent="0.2">
      <c r="A183" s="297">
        <f>+'PROGRAMA DRENCH PASO 1'!L33</f>
        <v>0</v>
      </c>
      <c r="B183" s="1"/>
      <c r="C183" s="1" t="str">
        <f>IFERROR((VLOOKUP($A183,'CODIGOS D'!$A$3:$S$451,2,FALSE)),"0")</f>
        <v>0</v>
      </c>
      <c r="D183" s="298">
        <f>+'PROGRAMA DRENCH PASO 1'!M33</f>
        <v>0</v>
      </c>
      <c r="E183" s="1"/>
      <c r="F183" s="1"/>
      <c r="G183" s="1"/>
      <c r="H183" s="4">
        <f>'PROGRAMA DRENCH PASO 1'!B33</f>
        <v>0</v>
      </c>
      <c r="I183" s="1"/>
      <c r="J183" s="1"/>
      <c r="K183" s="11" t="e">
        <f>VLOOKUP(H183,'Inf Bloques'!$A$1:$J$453,10,FALSE)</f>
        <v>#N/A</v>
      </c>
      <c r="L183" s="13"/>
    </row>
    <row r="184" spans="1:12" hidden="1" x14ac:dyDescent="0.2">
      <c r="A184" s="295">
        <f>+'PROGRAMA DRENCH PASO 1'!P33</f>
        <v>0</v>
      </c>
      <c r="B184" s="1"/>
      <c r="C184" s="1" t="str">
        <f>IFERROR((VLOOKUP($A184,'CODIGOS D'!$A$3:$S$451,2,FALSE)),"0")</f>
        <v>0</v>
      </c>
      <c r="D184" s="299">
        <f>+'PROGRAMA DRENCH PASO 1'!Q33</f>
        <v>0</v>
      </c>
      <c r="E184" s="1"/>
      <c r="F184" s="1"/>
      <c r="G184" s="1"/>
      <c r="H184" s="5">
        <f t="shared" si="28"/>
        <v>0</v>
      </c>
      <c r="I184" s="1"/>
      <c r="J184" s="1"/>
      <c r="K184" s="11" t="e">
        <f>VLOOKUP(H184,'Inf Bloques'!$A$1:$J$453,10,FALSE)</f>
        <v>#N/A</v>
      </c>
      <c r="L184" s="13"/>
    </row>
    <row r="185" spans="1:12" hidden="1" x14ac:dyDescent="0.2">
      <c r="A185" s="295">
        <f>+'PROGRAMA DRENCH PASO 1'!T33</f>
        <v>0</v>
      </c>
      <c r="B185" s="1"/>
      <c r="C185" s="1" t="str">
        <f>IFERROR((VLOOKUP($A185,'CODIGOS D'!$A$3:$S$451,2,FALSE)),"0")</f>
        <v>0</v>
      </c>
      <c r="D185" s="299">
        <f>+'PROGRAMA DRENCH PASO 1'!U33</f>
        <v>0</v>
      </c>
      <c r="E185" s="1"/>
      <c r="F185" s="1"/>
      <c r="G185" s="1"/>
      <c r="H185" s="5">
        <f t="shared" si="28"/>
        <v>0</v>
      </c>
      <c r="I185" s="1"/>
      <c r="J185" s="1"/>
      <c r="K185" s="11" t="e">
        <f>VLOOKUP(H185,'Inf Bloques'!$A$1:$J$453,10,FALSE)</f>
        <v>#N/A</v>
      </c>
      <c r="L185" s="13"/>
    </row>
    <row r="186" spans="1:12" hidden="1" x14ac:dyDescent="0.2">
      <c r="A186" s="295">
        <f>+'PROGRAMA DRENCH PASO 1'!X33</f>
        <v>0</v>
      </c>
      <c r="B186" s="1"/>
      <c r="C186" s="1" t="str">
        <f>IFERROR((VLOOKUP($A186,'CODIGOS D'!$A$3:$S$451,2,FALSE)),"0")</f>
        <v>0</v>
      </c>
      <c r="D186" s="299">
        <f>+'PROGRAMA DRENCH PASO 1'!Y33</f>
        <v>0</v>
      </c>
      <c r="E186" s="1"/>
      <c r="F186" s="1"/>
      <c r="G186" s="1"/>
      <c r="H186" s="5">
        <f t="shared" si="28"/>
        <v>0</v>
      </c>
      <c r="I186" s="1"/>
      <c r="J186" s="1"/>
      <c r="K186" s="11" t="e">
        <f>VLOOKUP(H186,'Inf Bloques'!$A$1:$J$453,10,FALSE)</f>
        <v>#N/A</v>
      </c>
      <c r="L186" s="13"/>
    </row>
    <row r="187" spans="1:12" hidden="1" x14ac:dyDescent="0.2">
      <c r="A187" s="296">
        <f>+'PROGRAMA DRENCH PASO 1'!AB33</f>
        <v>0</v>
      </c>
      <c r="B187" s="1"/>
      <c r="C187" s="1" t="str">
        <f>IFERROR((VLOOKUP($A187,'CODIGOS D'!$A$3:$S$451,2,FALSE)),"0")</f>
        <v>0</v>
      </c>
      <c r="D187" s="299">
        <f>+'PROGRAMA DRENCH PASO 1'!AC33</f>
        <v>0</v>
      </c>
      <c r="E187" s="1"/>
      <c r="F187" s="1"/>
      <c r="G187" s="1"/>
      <c r="H187" s="5">
        <f t="shared" si="28"/>
        <v>0</v>
      </c>
      <c r="I187" s="1"/>
      <c r="J187" s="1"/>
      <c r="K187" s="11" t="e">
        <f>VLOOKUP(H187,'Inf Bloques'!$A$1:$J$453,10,FALSE)</f>
        <v>#N/A</v>
      </c>
      <c r="L187" s="13"/>
    </row>
    <row r="188" spans="1:12" hidden="1" x14ac:dyDescent="0.2">
      <c r="A188" s="296">
        <f>+'PROGRAMA DRENCH PASO 1'!AF33</f>
        <v>0</v>
      </c>
      <c r="B188" s="1"/>
      <c r="C188" s="1" t="str">
        <f>IFERROR((VLOOKUP($A188,'CODIGOS D'!$A$3:$S$451,2,FALSE)),"0")</f>
        <v>0</v>
      </c>
      <c r="D188" s="299">
        <f>+'PROGRAMA DRENCH PASO 1'!AG33</f>
        <v>0</v>
      </c>
      <c r="E188" s="1"/>
      <c r="F188" s="1"/>
      <c r="G188" s="1"/>
      <c r="H188" s="5">
        <f t="shared" si="28"/>
        <v>0</v>
      </c>
      <c r="I188" s="1"/>
      <c r="J188" s="1"/>
      <c r="K188" s="11" t="e">
        <f>VLOOKUP(H188,'Inf Bloques'!$A$1:$J$453,10,FALSE)</f>
        <v>#N/A</v>
      </c>
      <c r="L188" s="13"/>
    </row>
    <row r="189" spans="1:12" hidden="1" x14ac:dyDescent="0.2">
      <c r="A189" s="297">
        <f>+'PROGRAMA DRENCH PASO 1'!L34</f>
        <v>0</v>
      </c>
      <c r="B189" s="1"/>
      <c r="C189" s="1" t="str">
        <f>IFERROR((VLOOKUP($A189,'CODIGOS D'!$A$3:$S$451,2,FALSE)),"0")</f>
        <v>0</v>
      </c>
      <c r="D189" s="298">
        <f>+'PROGRAMA DRENCH PASO 1'!M34</f>
        <v>0</v>
      </c>
      <c r="E189" s="1"/>
      <c r="F189" s="1"/>
      <c r="G189" s="1"/>
      <c r="H189" s="4">
        <f>'PROGRAMA DRENCH PASO 1'!B24</f>
        <v>12</v>
      </c>
      <c r="I189" s="1"/>
      <c r="J189" s="1"/>
      <c r="K189" s="11" t="str">
        <f>VLOOKUP(H189,'Inf Bloques'!$A$1:$J$453,10,FALSE)</f>
        <v>CV</v>
      </c>
      <c r="L189" s="13"/>
    </row>
    <row r="190" spans="1:12" hidden="1" x14ac:dyDescent="0.2">
      <c r="A190" s="295">
        <f>+'PROGRAMA DRENCH PASO 1'!P34</f>
        <v>0</v>
      </c>
      <c r="B190" s="1"/>
      <c r="C190" s="1" t="str">
        <f>IFERROR((VLOOKUP($A190,'CODIGOS D'!$A$3:$S$451,2,FALSE)),"0")</f>
        <v>0</v>
      </c>
      <c r="D190" s="299">
        <f>+'PROGRAMA DRENCH PASO 1'!Q34</f>
        <v>0</v>
      </c>
      <c r="E190" s="1"/>
      <c r="F190" s="1"/>
      <c r="G190" s="1"/>
      <c r="H190" s="5">
        <f t="shared" si="28"/>
        <v>12</v>
      </c>
      <c r="I190" s="1"/>
      <c r="J190" s="1"/>
      <c r="K190" s="11" t="str">
        <f>VLOOKUP(H190,'Inf Bloques'!$A$1:$J$453,10,FALSE)</f>
        <v>CV</v>
      </c>
      <c r="L190" s="13"/>
    </row>
    <row r="191" spans="1:12" hidden="1" x14ac:dyDescent="0.2">
      <c r="A191" s="295">
        <f>+'PROGRAMA DRENCH PASO 1'!T34</f>
        <v>0</v>
      </c>
      <c r="B191" s="1"/>
      <c r="C191" s="1" t="str">
        <f>IFERROR((VLOOKUP($A191,'CODIGOS D'!$A$3:$S$451,2,FALSE)),"0")</f>
        <v>0</v>
      </c>
      <c r="D191" s="299">
        <f>+'PROGRAMA DRENCH PASO 1'!U34</f>
        <v>0</v>
      </c>
      <c r="E191" s="1"/>
      <c r="F191" s="1"/>
      <c r="G191" s="1"/>
      <c r="H191" s="5">
        <f t="shared" si="28"/>
        <v>12</v>
      </c>
      <c r="I191" s="1"/>
      <c r="J191" s="1"/>
      <c r="K191" s="11" t="str">
        <f>VLOOKUP(H191,'Inf Bloques'!$A$1:$J$453,10,FALSE)</f>
        <v>CV</v>
      </c>
      <c r="L191" s="13"/>
    </row>
    <row r="192" spans="1:12" hidden="1" x14ac:dyDescent="0.2">
      <c r="A192" s="295">
        <f>+'PROGRAMA DRENCH PASO 1'!X34</f>
        <v>0</v>
      </c>
      <c r="B192" s="1"/>
      <c r="C192" s="1" t="str">
        <f>IFERROR((VLOOKUP($A192,'CODIGOS D'!$A$3:$S$451,2,FALSE)),"0")</f>
        <v>0</v>
      </c>
      <c r="D192" s="299">
        <f>+'PROGRAMA DRENCH PASO 1'!Y34</f>
        <v>0</v>
      </c>
      <c r="E192" s="1"/>
      <c r="F192" s="1"/>
      <c r="G192" s="1"/>
      <c r="H192" s="5">
        <f t="shared" si="28"/>
        <v>12</v>
      </c>
      <c r="I192" s="1"/>
      <c r="J192" s="1"/>
      <c r="K192" s="11" t="str">
        <f>VLOOKUP(H192,'Inf Bloques'!$A$1:$J$453,10,FALSE)</f>
        <v>CV</v>
      </c>
      <c r="L192" s="13"/>
    </row>
    <row r="193" spans="1:12" hidden="1" x14ac:dyDescent="0.2">
      <c r="A193" s="296">
        <f>+'PROGRAMA DRENCH PASO 1'!AB34</f>
        <v>0</v>
      </c>
      <c r="B193" s="1"/>
      <c r="C193" s="1" t="str">
        <f>IFERROR((VLOOKUP($A193,'CODIGOS D'!$A$3:$S$451,2,FALSE)),"0")</f>
        <v>0</v>
      </c>
      <c r="D193" s="299">
        <f>+'PROGRAMA DRENCH PASO 1'!AC34</f>
        <v>0</v>
      </c>
      <c r="E193" s="1"/>
      <c r="F193" s="1"/>
      <c r="G193" s="1"/>
      <c r="H193" s="5">
        <f t="shared" si="28"/>
        <v>12</v>
      </c>
      <c r="I193" s="1"/>
      <c r="J193" s="1"/>
      <c r="K193" s="11" t="str">
        <f>VLOOKUP(H193,'Inf Bloques'!$A$1:$J$453,10,FALSE)</f>
        <v>CV</v>
      </c>
      <c r="L193" s="13"/>
    </row>
    <row r="194" spans="1:12" hidden="1" x14ac:dyDescent="0.2">
      <c r="A194" s="296">
        <f>+'PROGRAMA DRENCH PASO 1'!AF34</f>
        <v>0</v>
      </c>
      <c r="B194" s="1"/>
      <c r="C194" s="1" t="str">
        <f>IFERROR((VLOOKUP($A194,'CODIGOS D'!$A$3:$S$451,2,FALSE)),"0")</f>
        <v>0</v>
      </c>
      <c r="D194" s="299">
        <f>+'PROGRAMA DRENCH PASO 1'!AG34</f>
        <v>0</v>
      </c>
      <c r="E194" s="1"/>
      <c r="F194" s="1"/>
      <c r="G194" s="1"/>
      <c r="H194" s="5">
        <f t="shared" si="28"/>
        <v>12</v>
      </c>
      <c r="I194" s="1"/>
      <c r="J194" s="1"/>
      <c r="K194" s="11" t="str">
        <f>VLOOKUP(H194,'Inf Bloques'!$A$1:$J$453,10,FALSE)</f>
        <v>CV</v>
      </c>
      <c r="L194" s="13"/>
    </row>
    <row r="195" spans="1:12" hidden="1" x14ac:dyDescent="0.2">
      <c r="A195" s="297">
        <f>+'PROGRAMA DRENCH PASO 1'!L35</f>
        <v>0</v>
      </c>
      <c r="B195" s="1"/>
      <c r="C195" s="1" t="str">
        <f>IFERROR((VLOOKUP($A195,'CODIGOS D'!$A$3:$S$451,2,FALSE)),"0")</f>
        <v>0</v>
      </c>
      <c r="D195" s="298">
        <f>+'PROGRAMA DRENCH PASO 1'!M35</f>
        <v>0</v>
      </c>
      <c r="E195" s="1"/>
      <c r="F195" s="1"/>
      <c r="G195" s="1"/>
      <c r="H195" s="4">
        <f>'PROGRAMA DRENCH PASO 1'!B35</f>
        <v>0</v>
      </c>
      <c r="I195" s="1"/>
      <c r="J195" s="1"/>
      <c r="K195" s="11" t="e">
        <f>VLOOKUP(H195,'Inf Bloques'!$A$1:$J$453,10,FALSE)</f>
        <v>#N/A</v>
      </c>
      <c r="L195" s="13"/>
    </row>
    <row r="196" spans="1:12" hidden="1" x14ac:dyDescent="0.2">
      <c r="A196" s="295">
        <f>+'PROGRAMA DRENCH PASO 1'!P35</f>
        <v>0</v>
      </c>
      <c r="B196" s="1"/>
      <c r="C196" s="1" t="str">
        <f>IFERROR((VLOOKUP($A196,'CODIGOS D'!$A$3:$S$451,2,FALSE)),"0")</f>
        <v>0</v>
      </c>
      <c r="D196" s="299">
        <f>+'PROGRAMA DRENCH PASO 1'!Q35</f>
        <v>0</v>
      </c>
      <c r="E196" s="1"/>
      <c r="F196" s="1"/>
      <c r="G196" s="1"/>
      <c r="H196" s="5">
        <f t="shared" si="28"/>
        <v>0</v>
      </c>
      <c r="I196" s="1"/>
      <c r="J196" s="1"/>
      <c r="K196" s="11" t="e">
        <f>VLOOKUP(H196,'Inf Bloques'!$A$1:$J$453,10,FALSE)</f>
        <v>#N/A</v>
      </c>
      <c r="L196" s="13"/>
    </row>
    <row r="197" spans="1:12" hidden="1" x14ac:dyDescent="0.2">
      <c r="A197" s="295">
        <f>+'PROGRAMA DRENCH PASO 1'!T35</f>
        <v>0</v>
      </c>
      <c r="B197" s="1"/>
      <c r="C197" s="1" t="str">
        <f>IFERROR((VLOOKUP($A197,'CODIGOS D'!$A$3:$S$451,2,FALSE)),"0")</f>
        <v>0</v>
      </c>
      <c r="D197" s="299">
        <f>+'PROGRAMA DRENCH PASO 1'!U35</f>
        <v>0</v>
      </c>
      <c r="E197" s="1"/>
      <c r="F197" s="1"/>
      <c r="G197" s="1"/>
      <c r="H197" s="5">
        <f t="shared" si="28"/>
        <v>0</v>
      </c>
      <c r="I197" s="1"/>
      <c r="J197" s="1"/>
      <c r="K197" s="11" t="e">
        <f>VLOOKUP(H197,'Inf Bloques'!$A$1:$J$453,10,FALSE)</f>
        <v>#N/A</v>
      </c>
      <c r="L197" s="13"/>
    </row>
    <row r="198" spans="1:12" hidden="1" x14ac:dyDescent="0.2">
      <c r="A198" s="295">
        <f>+'PROGRAMA DRENCH PASO 1'!X35</f>
        <v>0</v>
      </c>
      <c r="B198" s="1"/>
      <c r="C198" s="1" t="str">
        <f>IFERROR((VLOOKUP($A198,'CODIGOS D'!$A$3:$S$451,2,FALSE)),"0")</f>
        <v>0</v>
      </c>
      <c r="D198" s="299">
        <f>+'PROGRAMA DRENCH PASO 1'!Y35</f>
        <v>0</v>
      </c>
      <c r="E198" s="1"/>
      <c r="F198" s="1"/>
      <c r="G198" s="1"/>
      <c r="H198" s="5">
        <f t="shared" si="28"/>
        <v>0</v>
      </c>
      <c r="I198" s="1"/>
      <c r="J198" s="1"/>
      <c r="K198" s="11" t="e">
        <f>VLOOKUP(H198,'Inf Bloques'!$A$1:$J$453,10,FALSE)</f>
        <v>#N/A</v>
      </c>
      <c r="L198" s="13"/>
    </row>
    <row r="199" spans="1:12" hidden="1" x14ac:dyDescent="0.2">
      <c r="A199" s="296">
        <f>+'PROGRAMA DRENCH PASO 1'!AB35</f>
        <v>0</v>
      </c>
      <c r="B199" s="1"/>
      <c r="C199" s="1" t="str">
        <f>IFERROR((VLOOKUP($A199,'CODIGOS D'!$A$3:$S$451,2,FALSE)),"0")</f>
        <v>0</v>
      </c>
      <c r="D199" s="299">
        <f>+'PROGRAMA DRENCH PASO 1'!AC35</f>
        <v>0</v>
      </c>
      <c r="E199" s="1"/>
      <c r="F199" s="1"/>
      <c r="G199" s="1"/>
      <c r="H199" s="5">
        <f t="shared" si="28"/>
        <v>0</v>
      </c>
      <c r="I199" s="1"/>
      <c r="J199" s="1"/>
      <c r="K199" s="11" t="e">
        <f>VLOOKUP(H199,'Inf Bloques'!$A$1:$J$453,10,FALSE)</f>
        <v>#N/A</v>
      </c>
      <c r="L199" s="13"/>
    </row>
    <row r="200" spans="1:12" hidden="1" x14ac:dyDescent="0.2">
      <c r="A200" s="296">
        <f>+'PROGRAMA DRENCH PASO 1'!AF35</f>
        <v>0</v>
      </c>
      <c r="B200" s="1"/>
      <c r="C200" s="1" t="str">
        <f>IFERROR((VLOOKUP($A200,'CODIGOS D'!$A$3:$S$451,2,FALSE)),"0")</f>
        <v>0</v>
      </c>
      <c r="D200" s="299">
        <f>+'PROGRAMA DRENCH PASO 1'!AG35</f>
        <v>0</v>
      </c>
      <c r="E200" s="1"/>
      <c r="F200" s="1"/>
      <c r="G200" s="1"/>
      <c r="H200" s="5">
        <f t="shared" si="28"/>
        <v>0</v>
      </c>
      <c r="I200" s="1"/>
      <c r="J200" s="1"/>
      <c r="K200" s="11" t="e">
        <f>VLOOKUP(H200,'Inf Bloques'!$A$1:$J$453,10,FALSE)</f>
        <v>#N/A</v>
      </c>
      <c r="L200" s="13"/>
    </row>
    <row r="201" spans="1:12" hidden="1" x14ac:dyDescent="0.2">
      <c r="A201" s="297">
        <f>+'PROGRAMA DRENCH PASO 1'!L36</f>
        <v>0</v>
      </c>
      <c r="B201" s="1"/>
      <c r="C201" s="1" t="str">
        <f>IFERROR((VLOOKUP($A201,'CODIGOS D'!$A$3:$S$451,2,FALSE)),"0")</f>
        <v>0</v>
      </c>
      <c r="D201" s="298">
        <f>+'PROGRAMA DRENCH PASO 1'!M36</f>
        <v>0</v>
      </c>
      <c r="E201" s="1"/>
      <c r="F201" s="1"/>
      <c r="G201" s="1"/>
      <c r="H201" s="4">
        <f>'PROGRAMA DRENCH PASO 1'!B36</f>
        <v>0</v>
      </c>
      <c r="I201" s="1"/>
      <c r="J201" s="1"/>
      <c r="K201" s="11" t="e">
        <f>VLOOKUP(H201,'Inf Bloques'!$A$1:$J$453,10,FALSE)</f>
        <v>#N/A</v>
      </c>
      <c r="L201" s="13"/>
    </row>
    <row r="202" spans="1:12" hidden="1" x14ac:dyDescent="0.2">
      <c r="A202" s="295">
        <f>+'PROGRAMA DRENCH PASO 1'!P36</f>
        <v>0</v>
      </c>
      <c r="B202" s="1"/>
      <c r="C202" s="1" t="str">
        <f>IFERROR((VLOOKUP($A202,'CODIGOS D'!$A$3:$S$451,2,FALSE)),"0")</f>
        <v>0</v>
      </c>
      <c r="D202" s="299">
        <f>+'PROGRAMA DRENCH PASO 1'!Q36</f>
        <v>0</v>
      </c>
      <c r="E202" s="1"/>
      <c r="F202" s="1"/>
      <c r="G202" s="1"/>
      <c r="H202" s="5">
        <f t="shared" si="28"/>
        <v>0</v>
      </c>
      <c r="I202" s="1"/>
      <c r="J202" s="1"/>
      <c r="K202" s="11" t="e">
        <f>VLOOKUP(H202,'Inf Bloques'!$A$1:$J$453,10,FALSE)</f>
        <v>#N/A</v>
      </c>
      <c r="L202" s="13"/>
    </row>
    <row r="203" spans="1:12" hidden="1" x14ac:dyDescent="0.2">
      <c r="A203" s="295">
        <f>+'PROGRAMA DRENCH PASO 1'!T36</f>
        <v>0</v>
      </c>
      <c r="B203" s="1"/>
      <c r="C203" s="1" t="str">
        <f>IFERROR((VLOOKUP($A203,'CODIGOS D'!$A$3:$S$451,2,FALSE)),"0")</f>
        <v>0</v>
      </c>
      <c r="D203" s="299">
        <f>+'PROGRAMA DRENCH PASO 1'!U36</f>
        <v>0</v>
      </c>
      <c r="E203" s="1"/>
      <c r="F203" s="1"/>
      <c r="G203" s="1"/>
      <c r="H203" s="5">
        <f t="shared" si="28"/>
        <v>0</v>
      </c>
      <c r="I203" s="1"/>
      <c r="J203" s="1"/>
      <c r="K203" s="11" t="e">
        <f>VLOOKUP(H203,'Inf Bloques'!$A$1:$J$453,10,FALSE)</f>
        <v>#N/A</v>
      </c>
      <c r="L203" s="13"/>
    </row>
    <row r="204" spans="1:12" hidden="1" x14ac:dyDescent="0.2">
      <c r="A204" s="295">
        <f>+'PROGRAMA DRENCH PASO 1'!X36</f>
        <v>0</v>
      </c>
      <c r="B204" s="1"/>
      <c r="C204" s="1" t="str">
        <f>IFERROR((VLOOKUP($A204,'CODIGOS D'!$A$3:$S$451,2,FALSE)),"0")</f>
        <v>0</v>
      </c>
      <c r="D204" s="299">
        <f>+'PROGRAMA DRENCH PASO 1'!Y36</f>
        <v>0</v>
      </c>
      <c r="E204" s="1"/>
      <c r="F204" s="1"/>
      <c r="G204" s="1"/>
      <c r="H204" s="5">
        <f t="shared" si="28"/>
        <v>0</v>
      </c>
      <c r="I204" s="1"/>
      <c r="J204" s="1"/>
      <c r="K204" s="11" t="e">
        <f>VLOOKUP(H204,'Inf Bloques'!$A$1:$J$453,10,FALSE)</f>
        <v>#N/A</v>
      </c>
      <c r="L204" s="13"/>
    </row>
    <row r="205" spans="1:12" hidden="1" x14ac:dyDescent="0.2">
      <c r="A205" s="296">
        <f>+'PROGRAMA DRENCH PASO 1'!AB36</f>
        <v>0</v>
      </c>
      <c r="B205" s="1"/>
      <c r="C205" s="1" t="str">
        <f>IFERROR((VLOOKUP($A205,'CODIGOS D'!$A$3:$S$451,2,FALSE)),"0")</f>
        <v>0</v>
      </c>
      <c r="D205" s="299">
        <f>+'PROGRAMA DRENCH PASO 1'!AC36</f>
        <v>0</v>
      </c>
      <c r="E205" s="1"/>
      <c r="F205" s="1"/>
      <c r="G205" s="1"/>
      <c r="H205" s="5">
        <f t="shared" si="28"/>
        <v>0</v>
      </c>
      <c r="I205" s="1"/>
      <c r="J205" s="1"/>
      <c r="K205" s="11" t="e">
        <f>VLOOKUP(H205,'Inf Bloques'!$A$1:$J$453,10,FALSE)</f>
        <v>#N/A</v>
      </c>
      <c r="L205" s="13"/>
    </row>
    <row r="206" spans="1:12" hidden="1" x14ac:dyDescent="0.2">
      <c r="A206" s="296">
        <f>+'PROGRAMA DRENCH PASO 1'!AF36</f>
        <v>0</v>
      </c>
      <c r="B206" s="1"/>
      <c r="C206" s="1" t="str">
        <f>IFERROR((VLOOKUP($A206,'CODIGOS D'!$A$3:$S$451,2,FALSE)),"0")</f>
        <v>0</v>
      </c>
      <c r="D206" s="299">
        <f>+'PROGRAMA DRENCH PASO 1'!AG36</f>
        <v>0</v>
      </c>
      <c r="E206" s="1"/>
      <c r="F206" s="1"/>
      <c r="G206" s="1"/>
      <c r="H206" s="5">
        <f t="shared" si="28"/>
        <v>0</v>
      </c>
      <c r="I206" s="1"/>
      <c r="J206" s="1"/>
      <c r="K206" s="11" t="e">
        <f>VLOOKUP(H206,'Inf Bloques'!$A$1:$J$453,10,FALSE)</f>
        <v>#N/A</v>
      </c>
      <c r="L206" s="13"/>
    </row>
    <row r="207" spans="1:12" hidden="1" x14ac:dyDescent="0.2">
      <c r="A207" s="297">
        <f>+'PROGRAMA DRENCH PASO 1'!L37</f>
        <v>0</v>
      </c>
      <c r="B207" s="1"/>
      <c r="C207" s="1" t="str">
        <f>IFERROR((VLOOKUP($A207,'CODIGOS D'!$A$3:$S$451,2,FALSE)),"0")</f>
        <v>0</v>
      </c>
      <c r="D207" s="298">
        <f>+'PROGRAMA DRENCH PASO 1'!M37</f>
        <v>0</v>
      </c>
      <c r="E207" s="1"/>
      <c r="F207" s="1"/>
      <c r="G207" s="1"/>
      <c r="H207" s="4">
        <f>'PROGRAMA DRENCH PASO 1'!B37</f>
        <v>0</v>
      </c>
      <c r="I207" s="1"/>
      <c r="J207" s="1"/>
      <c r="K207" s="11" t="e">
        <f>VLOOKUP(H207,'Inf Bloques'!$A$1:$J$453,10,FALSE)</f>
        <v>#N/A</v>
      </c>
      <c r="L207" s="13"/>
    </row>
    <row r="208" spans="1:12" hidden="1" x14ac:dyDescent="0.2">
      <c r="A208" s="295">
        <f>+'PROGRAMA DRENCH PASO 1'!P37</f>
        <v>0</v>
      </c>
      <c r="B208" s="1"/>
      <c r="C208" s="1" t="str">
        <f>IFERROR((VLOOKUP($A208,'CODIGOS D'!$A$3:$S$451,2,FALSE)),"0")</f>
        <v>0</v>
      </c>
      <c r="D208" s="299">
        <f>+'PROGRAMA DRENCH PASO 1'!Q37</f>
        <v>0</v>
      </c>
      <c r="E208" s="1"/>
      <c r="F208" s="1"/>
      <c r="G208" s="1"/>
      <c r="H208" s="5">
        <f t="shared" si="28"/>
        <v>0</v>
      </c>
      <c r="I208" s="1"/>
      <c r="J208" s="1"/>
      <c r="K208" s="11" t="e">
        <f>VLOOKUP(H208,'Inf Bloques'!$A$1:$J$453,10,FALSE)</f>
        <v>#N/A</v>
      </c>
      <c r="L208" s="13"/>
    </row>
    <row r="209" spans="1:12" hidden="1" x14ac:dyDescent="0.2">
      <c r="A209" s="295">
        <f>+'PROGRAMA DRENCH PASO 1'!T37</f>
        <v>0</v>
      </c>
      <c r="B209" s="1"/>
      <c r="C209" s="1" t="str">
        <f>IFERROR((VLOOKUP($A209,'CODIGOS D'!$A$3:$S$451,2,FALSE)),"0")</f>
        <v>0</v>
      </c>
      <c r="D209" s="299">
        <f>+'PROGRAMA DRENCH PASO 1'!U37</f>
        <v>0</v>
      </c>
      <c r="E209" s="1"/>
      <c r="F209" s="1"/>
      <c r="G209" s="1"/>
      <c r="H209" s="5">
        <f t="shared" si="28"/>
        <v>0</v>
      </c>
      <c r="I209" s="1"/>
      <c r="J209" s="1"/>
      <c r="K209" s="11" t="e">
        <f>VLOOKUP(H209,'Inf Bloques'!$A$1:$J$453,10,FALSE)</f>
        <v>#N/A</v>
      </c>
      <c r="L209" s="13"/>
    </row>
    <row r="210" spans="1:12" hidden="1" x14ac:dyDescent="0.2">
      <c r="A210" s="295">
        <f>+'PROGRAMA DRENCH PASO 1'!X37</f>
        <v>0</v>
      </c>
      <c r="B210" s="1"/>
      <c r="C210" s="1" t="str">
        <f>IFERROR((VLOOKUP($A210,'CODIGOS D'!$A$3:$S$451,2,FALSE)),"0")</f>
        <v>0</v>
      </c>
      <c r="D210" s="299">
        <f>+'PROGRAMA DRENCH PASO 1'!Y37</f>
        <v>0</v>
      </c>
      <c r="E210" s="1"/>
      <c r="F210" s="1"/>
      <c r="G210" s="1"/>
      <c r="H210" s="5">
        <f t="shared" si="28"/>
        <v>0</v>
      </c>
      <c r="I210" s="1"/>
      <c r="J210" s="1"/>
      <c r="K210" s="11" t="e">
        <f>VLOOKUP(H210,'Inf Bloques'!$A$1:$J$453,10,FALSE)</f>
        <v>#N/A</v>
      </c>
      <c r="L210" s="13"/>
    </row>
    <row r="211" spans="1:12" hidden="1" x14ac:dyDescent="0.2">
      <c r="A211" s="296">
        <f>+'PROGRAMA DRENCH PASO 1'!AB37</f>
        <v>0</v>
      </c>
      <c r="B211" s="1"/>
      <c r="C211" s="1" t="str">
        <f>IFERROR((VLOOKUP($A211,'CODIGOS D'!$A$3:$S$451,2,FALSE)),"0")</f>
        <v>0</v>
      </c>
      <c r="D211" s="299">
        <f>+'PROGRAMA DRENCH PASO 1'!AC37</f>
        <v>0</v>
      </c>
      <c r="E211" s="1"/>
      <c r="F211" s="1"/>
      <c r="G211" s="1"/>
      <c r="H211" s="5">
        <f t="shared" si="28"/>
        <v>0</v>
      </c>
      <c r="I211" s="1"/>
      <c r="J211" s="1"/>
      <c r="K211" s="11" t="e">
        <f>VLOOKUP(H211,'Inf Bloques'!$A$1:$J$453,10,FALSE)</f>
        <v>#N/A</v>
      </c>
      <c r="L211" s="13"/>
    </row>
    <row r="212" spans="1:12" hidden="1" x14ac:dyDescent="0.2">
      <c r="A212" s="296">
        <f>+'PROGRAMA DRENCH PASO 1'!AF37</f>
        <v>0</v>
      </c>
      <c r="B212" s="1"/>
      <c r="C212" s="1" t="str">
        <f>IFERROR((VLOOKUP($A212,'CODIGOS D'!$A$3:$S$451,2,FALSE)),"0")</f>
        <v>0</v>
      </c>
      <c r="D212" s="299">
        <f>+'PROGRAMA DRENCH PASO 1'!AG37</f>
        <v>0</v>
      </c>
      <c r="E212" s="1"/>
      <c r="F212" s="1"/>
      <c r="G212" s="1"/>
      <c r="H212" s="5">
        <f t="shared" si="28"/>
        <v>0</v>
      </c>
      <c r="I212" s="1"/>
      <c r="J212" s="1"/>
      <c r="K212" s="11" t="e">
        <f>VLOOKUP(H212,'Inf Bloques'!$A$1:$J$453,10,FALSE)</f>
        <v>#N/A</v>
      </c>
      <c r="L212" s="13"/>
    </row>
    <row r="213" spans="1:12" hidden="1" x14ac:dyDescent="0.2">
      <c r="A213" s="1">
        <f>+'PROGRAMA DRENCH PASO 1'!X29</f>
        <v>0</v>
      </c>
      <c r="B213" s="1"/>
      <c r="C213" s="1" t="str">
        <f>IFERROR((VLOOKUP($A213,'CODIGOS D'!$A$3:$S$451,2,FALSE)),"0")</f>
        <v>0</v>
      </c>
      <c r="D213" s="24">
        <f>+'PROGRAMA DRENCH PASO 1'!Y29</f>
        <v>0</v>
      </c>
      <c r="E213" s="1"/>
      <c r="F213" s="1"/>
      <c r="G213" s="1"/>
      <c r="H213" s="5">
        <f t="shared" si="28"/>
        <v>0</v>
      </c>
      <c r="I213" s="1"/>
      <c r="J213" s="1"/>
      <c r="K213" s="11" t="e">
        <f>VLOOKUP(H213,'Inf Bloques'!$A$1:$J$453,10,FALSE)</f>
        <v>#N/A</v>
      </c>
      <c r="L213" s="13"/>
    </row>
    <row r="214" spans="1:12" hidden="1" x14ac:dyDescent="0.2">
      <c r="A214" s="1">
        <f>+'PROGRAMA DRENCH PASO 1'!AB29</f>
        <v>0</v>
      </c>
      <c r="B214" s="1"/>
      <c r="C214" s="1" t="str">
        <f>IFERROR((VLOOKUP($A214,'CODIGOS D'!$A$3:$S$451,2,FALSE)),"0")</f>
        <v>0</v>
      </c>
      <c r="D214" s="24">
        <f>+'PROGRAMA DRENCH PASO 1'!AC29</f>
        <v>0</v>
      </c>
      <c r="E214" s="1"/>
      <c r="F214" s="1"/>
      <c r="G214" s="1"/>
      <c r="H214" s="5">
        <f t="shared" si="28"/>
        <v>0</v>
      </c>
      <c r="I214" s="1"/>
      <c r="J214" s="1"/>
      <c r="K214" s="11" t="e">
        <f>VLOOKUP(H214,'Inf Bloques'!$A$1:$J$453,10,FALSE)</f>
        <v>#N/A</v>
      </c>
      <c r="L214" s="13"/>
    </row>
    <row r="215" spans="1:12" hidden="1" x14ac:dyDescent="0.2">
      <c r="A215" s="1">
        <f>+'PROGRAMA DRENCH PASO 1'!AF29</f>
        <v>0</v>
      </c>
      <c r="B215" s="1"/>
      <c r="C215" s="1" t="str">
        <f>IFERROR((VLOOKUP($A215,'CODIGOS D'!$A$3:$S$451,2,FALSE)),"0")</f>
        <v>0</v>
      </c>
      <c r="D215" s="24">
        <f>+'PROGRAMA DRENCH PASO 1'!AG29</f>
        <v>0</v>
      </c>
      <c r="E215" s="1"/>
      <c r="F215" s="1"/>
      <c r="G215" s="1"/>
      <c r="H215" s="5">
        <f t="shared" si="28"/>
        <v>0</v>
      </c>
      <c r="I215" s="1"/>
      <c r="J215" s="1"/>
      <c r="K215" s="11" t="e">
        <f>VLOOKUP(H215,'Inf Bloques'!$A$1:$J$453,10,FALSE)</f>
        <v>#N/A</v>
      </c>
      <c r="L215" s="13"/>
    </row>
    <row r="216" spans="1:12" hidden="1" x14ac:dyDescent="0.2">
      <c r="A216" s="1">
        <f>+'PROGRAMA DRENCH PASO 1'!P30</f>
        <v>0</v>
      </c>
      <c r="B216" s="1"/>
      <c r="C216" s="1" t="str">
        <f>IFERROR((VLOOKUP($A216,'CODIGOS D'!$A$3:$S$451,2,FALSE)),"0")</f>
        <v>0</v>
      </c>
      <c r="D216" s="24">
        <f>+'PROGRAMA DRENCH PASO 1'!Q30</f>
        <v>0</v>
      </c>
      <c r="E216" s="1"/>
      <c r="F216" s="1"/>
      <c r="G216" s="1"/>
      <c r="H216" s="5">
        <f t="shared" si="28"/>
        <v>0</v>
      </c>
      <c r="I216" s="1"/>
      <c r="J216" s="1"/>
      <c r="K216" s="11" t="e">
        <f>VLOOKUP(H216,'Inf Bloques'!$A$1:$J$453,10,FALSE)</f>
        <v>#N/A</v>
      </c>
      <c r="L216" s="13"/>
    </row>
    <row r="217" spans="1:12" hidden="1" x14ac:dyDescent="0.2">
      <c r="A217" s="1">
        <f>+'PROGRAMA DRENCH PASO 1'!T30</f>
        <v>0</v>
      </c>
      <c r="B217" s="1"/>
      <c r="C217" s="1" t="str">
        <f>IFERROR((VLOOKUP($A217,'CODIGOS D'!$A$3:$S$451,2,FALSE)),"0")</f>
        <v>0</v>
      </c>
      <c r="D217" s="24">
        <f>+'PROGRAMA DRENCH PASO 1'!U30</f>
        <v>0</v>
      </c>
      <c r="E217" s="1"/>
      <c r="F217" s="1"/>
      <c r="G217" s="1"/>
      <c r="H217" s="5">
        <f t="shared" si="28"/>
        <v>0</v>
      </c>
      <c r="I217" s="1"/>
      <c r="J217" s="1"/>
      <c r="K217" s="11" t="e">
        <f>VLOOKUP(H217,'Inf Bloques'!$A$1:$J$453,10,FALSE)</f>
        <v>#N/A</v>
      </c>
      <c r="L217" s="13"/>
    </row>
    <row r="218" spans="1:12" hidden="1" x14ac:dyDescent="0.2">
      <c r="A218" s="1">
        <f>+'PROGRAMA DRENCH PASO 1'!X30</f>
        <v>0</v>
      </c>
      <c r="B218" s="1"/>
      <c r="C218" s="1" t="str">
        <f>IFERROR((VLOOKUP($A218,'CODIGOS D'!$A$3:$S$451,2,FALSE)),"0")</f>
        <v>0</v>
      </c>
      <c r="D218" s="24">
        <f>+'PROGRAMA DRENCH PASO 1'!Y30</f>
        <v>0</v>
      </c>
      <c r="E218" s="1"/>
      <c r="F218" s="1"/>
      <c r="G218" s="1"/>
      <c r="H218" s="5">
        <f t="shared" si="28"/>
        <v>0</v>
      </c>
      <c r="I218" s="1"/>
      <c r="J218" s="1"/>
      <c r="K218" s="11" t="e">
        <f>VLOOKUP(H218,'Inf Bloques'!$A$1:$J$453,10,FALSE)</f>
        <v>#N/A</v>
      </c>
      <c r="L218" s="13"/>
    </row>
    <row r="219" spans="1:12" hidden="1" x14ac:dyDescent="0.2">
      <c r="A219" s="1">
        <f>+'PROGRAMA DRENCH PASO 1'!AB30</f>
        <v>0</v>
      </c>
      <c r="B219" s="1"/>
      <c r="C219" s="1" t="str">
        <f>IFERROR((VLOOKUP($A219,'CODIGOS D'!$A$3:$S$451,2,FALSE)),"0")</f>
        <v>0</v>
      </c>
      <c r="D219" s="24">
        <f>+'PROGRAMA DRENCH PASO 1'!AC30</f>
        <v>0</v>
      </c>
      <c r="E219" s="1"/>
      <c r="F219" s="1"/>
      <c r="G219" s="1"/>
      <c r="H219" s="5">
        <f t="shared" si="28"/>
        <v>0</v>
      </c>
      <c r="I219" s="1"/>
      <c r="J219" s="1"/>
      <c r="K219" s="11" t="e">
        <f>VLOOKUP(H219,'Inf Bloques'!$A$1:$J$453,10,FALSE)</f>
        <v>#N/A</v>
      </c>
      <c r="L219" s="13"/>
    </row>
    <row r="220" spans="1:12" hidden="1" x14ac:dyDescent="0.2">
      <c r="A220" s="1">
        <f>+'PROGRAMA DRENCH PASO 1'!AF30</f>
        <v>0</v>
      </c>
      <c r="B220" s="1"/>
      <c r="C220" s="1" t="str">
        <f>IFERROR((VLOOKUP($A220,'CODIGOS D'!$A$3:$S$451,2,FALSE)),"0")</f>
        <v>0</v>
      </c>
      <c r="D220" s="24">
        <f>+'PROGRAMA DRENCH PASO 1'!AG30</f>
        <v>0</v>
      </c>
      <c r="E220" s="1"/>
      <c r="F220" s="1"/>
      <c r="G220" s="1"/>
      <c r="H220" s="5">
        <f t="shared" si="28"/>
        <v>0</v>
      </c>
      <c r="I220" s="1"/>
      <c r="J220" s="1"/>
      <c r="K220" s="11" t="e">
        <f>VLOOKUP(H220,'Inf Bloques'!$A$1:$J$453,10,FALSE)</f>
        <v>#N/A</v>
      </c>
      <c r="L220" s="13"/>
    </row>
    <row r="221" spans="1:12" hidden="1" x14ac:dyDescent="0.2">
      <c r="A221" s="1">
        <f>+'PROGRAMA DRENCH PASO 1'!P31</f>
        <v>0</v>
      </c>
      <c r="B221" s="1"/>
      <c r="C221" s="1" t="str">
        <f>IFERROR((VLOOKUP($A221,'CODIGOS D'!$A$3:$S$451,2,FALSE)),"0")</f>
        <v>0</v>
      </c>
      <c r="D221" s="24">
        <f>+'PROGRAMA DRENCH PASO 1'!Q31</f>
        <v>0</v>
      </c>
      <c r="E221" s="1"/>
      <c r="F221" s="1"/>
      <c r="G221" s="1"/>
      <c r="H221" s="5">
        <f t="shared" si="28"/>
        <v>0</v>
      </c>
      <c r="I221" s="1"/>
      <c r="J221" s="1"/>
      <c r="K221" s="11" t="e">
        <f>VLOOKUP(H221,'Inf Bloques'!$A$1:$J$453,10,FALSE)</f>
        <v>#N/A</v>
      </c>
      <c r="L221" s="13"/>
    </row>
    <row r="222" spans="1:12" hidden="1" x14ac:dyDescent="0.2">
      <c r="A222" s="1">
        <f>+'PROGRAMA DRENCH PASO 1'!T31</f>
        <v>0</v>
      </c>
      <c r="B222" s="1"/>
      <c r="C222" s="1" t="str">
        <f>IFERROR((VLOOKUP($A222,'CODIGOS D'!$A$3:$S$451,2,FALSE)),"0")</f>
        <v>0</v>
      </c>
      <c r="D222" s="24">
        <f>+'PROGRAMA DRENCH PASO 1'!U31</f>
        <v>0</v>
      </c>
      <c r="E222" s="1"/>
      <c r="F222" s="1"/>
      <c r="G222" s="1"/>
      <c r="H222" s="5">
        <f t="shared" si="28"/>
        <v>0</v>
      </c>
      <c r="I222" s="1"/>
      <c r="J222" s="1"/>
      <c r="K222" s="11" t="e">
        <f>VLOOKUP(H222,'Inf Bloques'!$A$1:$J$453,10,FALSE)</f>
        <v>#N/A</v>
      </c>
      <c r="L222" s="13"/>
    </row>
    <row r="223" spans="1:12" hidden="1" x14ac:dyDescent="0.2">
      <c r="A223" s="1">
        <f>+'PROGRAMA DRENCH PASO 1'!X31</f>
        <v>0</v>
      </c>
      <c r="B223" s="1"/>
      <c r="C223" s="1" t="str">
        <f>IFERROR((VLOOKUP($A223,'CODIGOS D'!$A$3:$S$451,2,FALSE)),"0")</f>
        <v>0</v>
      </c>
      <c r="D223" s="24">
        <f>+'PROGRAMA DRENCH PASO 1'!Y31</f>
        <v>0</v>
      </c>
      <c r="E223" s="1"/>
      <c r="F223" s="1"/>
      <c r="G223" s="1"/>
      <c r="H223" s="5">
        <f t="shared" si="28"/>
        <v>0</v>
      </c>
      <c r="I223" s="1"/>
      <c r="J223" s="1"/>
      <c r="K223" s="11" t="e">
        <f>VLOOKUP(H223,'Inf Bloques'!$A$1:$J$453,10,FALSE)</f>
        <v>#N/A</v>
      </c>
      <c r="L223" s="13"/>
    </row>
    <row r="224" spans="1:12" hidden="1" x14ac:dyDescent="0.2">
      <c r="A224" s="1">
        <f>+'PROGRAMA DRENCH PASO 1'!AB31</f>
        <v>0</v>
      </c>
      <c r="B224" s="1"/>
      <c r="C224" s="1" t="str">
        <f>IFERROR((VLOOKUP($A224,'CODIGOS D'!$A$3:$S$451,2,FALSE)),"0")</f>
        <v>0</v>
      </c>
      <c r="D224" s="24">
        <f>+'PROGRAMA DRENCH PASO 1'!AC31</f>
        <v>0</v>
      </c>
      <c r="E224" s="1"/>
      <c r="F224" s="1"/>
      <c r="G224" s="1"/>
      <c r="H224" s="5">
        <f t="shared" si="28"/>
        <v>0</v>
      </c>
      <c r="I224" s="1"/>
      <c r="J224" s="1"/>
      <c r="K224" s="11" t="e">
        <f>VLOOKUP(H224,'Inf Bloques'!$A$1:$J$453,10,FALSE)</f>
        <v>#N/A</v>
      </c>
      <c r="L224" s="13"/>
    </row>
    <row r="225" spans="1:12" hidden="1" x14ac:dyDescent="0.2">
      <c r="A225" s="1">
        <f>+'PROGRAMA DRENCH PASO 1'!AF31</f>
        <v>0</v>
      </c>
      <c r="B225" s="1"/>
      <c r="C225" s="1" t="str">
        <f>IFERROR((VLOOKUP($A225,'CODIGOS D'!$A$3:$S$451,2,FALSE)),"0")</f>
        <v>0</v>
      </c>
      <c r="D225" s="24">
        <f>+'PROGRAMA DRENCH PASO 1'!AG31</f>
        <v>0</v>
      </c>
      <c r="E225" s="1"/>
      <c r="F225" s="1"/>
      <c r="G225" s="1"/>
      <c r="H225" s="5">
        <f t="shared" si="28"/>
        <v>0</v>
      </c>
      <c r="I225" s="1"/>
      <c r="J225" s="1"/>
      <c r="K225" s="11" t="e">
        <f>VLOOKUP(H225,'Inf Bloques'!$A$1:$J$453,10,FALSE)</f>
        <v>#N/A</v>
      </c>
      <c r="L225" s="13"/>
    </row>
    <row r="226" spans="1:12" hidden="1" x14ac:dyDescent="0.2">
      <c r="A226" s="1">
        <f>+'PROGRAMA DRENCH PASO 1'!P32</f>
        <v>0</v>
      </c>
      <c r="B226" s="1"/>
      <c r="C226" s="1" t="str">
        <f>IFERROR((VLOOKUP($A226,'CODIGOS D'!$A$3:$S$451,2,FALSE)),"0")</f>
        <v>0</v>
      </c>
      <c r="D226" s="24">
        <f>+'PROGRAMA DRENCH PASO 1'!Q32</f>
        <v>0</v>
      </c>
      <c r="E226" s="1"/>
      <c r="F226" s="1"/>
      <c r="G226" s="1"/>
      <c r="H226" s="5">
        <f t="shared" si="28"/>
        <v>0</v>
      </c>
      <c r="I226" s="1"/>
      <c r="J226" s="1"/>
      <c r="K226" s="11" t="e">
        <f>VLOOKUP(H226,'Inf Bloques'!$A$1:$J$453,10,FALSE)</f>
        <v>#N/A</v>
      </c>
      <c r="L226" s="13"/>
    </row>
    <row r="227" spans="1:12" hidden="1" x14ac:dyDescent="0.2">
      <c r="A227" s="1">
        <f>+'PROGRAMA DRENCH PASO 1'!T32</f>
        <v>0</v>
      </c>
      <c r="B227" s="1"/>
      <c r="C227" s="1" t="str">
        <f>IFERROR((VLOOKUP($A227,'CODIGOS D'!$A$3:$S$451,2,FALSE)),"0")</f>
        <v>0</v>
      </c>
      <c r="D227" s="24">
        <f>+'PROGRAMA DRENCH PASO 1'!U32</f>
        <v>0</v>
      </c>
      <c r="E227" s="1"/>
      <c r="F227" s="1"/>
      <c r="G227" s="1"/>
      <c r="H227" s="5">
        <f t="shared" si="28"/>
        <v>0</v>
      </c>
      <c r="I227" s="1"/>
      <c r="J227" s="1"/>
      <c r="K227" s="11" t="e">
        <f>VLOOKUP(H227,'Inf Bloques'!$A$1:$J$453,10,FALSE)</f>
        <v>#N/A</v>
      </c>
      <c r="L227" s="13"/>
    </row>
    <row r="228" spans="1:12" hidden="1" x14ac:dyDescent="0.2">
      <c r="A228" s="1">
        <f>+'PROGRAMA DRENCH PASO 1'!X32</f>
        <v>0</v>
      </c>
      <c r="B228" s="1"/>
      <c r="C228" s="1" t="str">
        <f>IFERROR((VLOOKUP($A228,'CODIGOS D'!$A$3:$S$451,2,FALSE)),"0")</f>
        <v>0</v>
      </c>
      <c r="D228" s="24">
        <f>+'PROGRAMA DRENCH PASO 1'!Y32</f>
        <v>0</v>
      </c>
      <c r="E228" s="1"/>
      <c r="F228" s="1"/>
      <c r="G228" s="1"/>
      <c r="H228" s="5">
        <f t="shared" si="28"/>
        <v>0</v>
      </c>
      <c r="I228" s="1"/>
      <c r="J228" s="1"/>
      <c r="K228" s="11" t="e">
        <f>VLOOKUP(H228,'Inf Bloques'!$A$1:$J$453,10,FALSE)</f>
        <v>#N/A</v>
      </c>
      <c r="L228" s="13"/>
    </row>
    <row r="229" spans="1:12" hidden="1" x14ac:dyDescent="0.2">
      <c r="A229" s="1">
        <f>+'PROGRAMA DRENCH PASO 1'!AB32</f>
        <v>0</v>
      </c>
      <c r="B229" s="1"/>
      <c r="C229" s="1" t="str">
        <f>IFERROR((VLOOKUP($A229,'CODIGOS D'!$A$3:$S$451,2,FALSE)),"0")</f>
        <v>0</v>
      </c>
      <c r="D229" s="24">
        <f>+'PROGRAMA DRENCH PASO 1'!AC32</f>
        <v>0</v>
      </c>
      <c r="E229" s="1"/>
      <c r="F229" s="1"/>
      <c r="G229" s="1"/>
      <c r="H229" s="5">
        <f t="shared" si="28"/>
        <v>0</v>
      </c>
      <c r="I229" s="1"/>
      <c r="J229" s="1"/>
      <c r="K229" s="11" t="e">
        <f>VLOOKUP(H229,'Inf Bloques'!$A$1:$J$453,10,FALSE)</f>
        <v>#N/A</v>
      </c>
      <c r="L229" s="13"/>
    </row>
    <row r="230" spans="1:12" hidden="1" x14ac:dyDescent="0.2">
      <c r="A230" s="1">
        <f>+'PROGRAMA DRENCH PASO 1'!AF32</f>
        <v>0</v>
      </c>
      <c r="B230" s="1"/>
      <c r="C230" s="1" t="str">
        <f>IFERROR((VLOOKUP($A230,'CODIGOS D'!$A$3:$S$451,2,FALSE)),"0")</f>
        <v>0</v>
      </c>
      <c r="D230" s="24">
        <f>+'PROGRAMA DRENCH PASO 1'!AG32</f>
        <v>0</v>
      </c>
      <c r="E230" s="1"/>
      <c r="F230" s="1"/>
      <c r="G230" s="1"/>
      <c r="H230" s="5">
        <f t="shared" si="28"/>
        <v>0</v>
      </c>
      <c r="I230" s="1"/>
      <c r="J230" s="1"/>
      <c r="K230" s="11" t="e">
        <f>VLOOKUP(H230,'Inf Bloques'!$A$1:$J$453,10,FALSE)</f>
        <v>#N/A</v>
      </c>
      <c r="L230" s="13"/>
    </row>
    <row r="231" spans="1:12" hidden="1" x14ac:dyDescent="0.2">
      <c r="A231" s="1">
        <f>+'PROGRAMA DRENCH PASO 1'!P33</f>
        <v>0</v>
      </c>
      <c r="B231" s="1"/>
      <c r="C231" s="1" t="str">
        <f>IFERROR((VLOOKUP($A231,'CODIGOS D'!$A$3:$S$451,2,FALSE)),"0")</f>
        <v>0</v>
      </c>
      <c r="D231" s="24">
        <f>+'PROGRAMA DRENCH PASO 1'!Q33</f>
        <v>0</v>
      </c>
      <c r="E231" s="1"/>
      <c r="F231" s="1"/>
      <c r="G231" s="1"/>
      <c r="H231" s="5">
        <f t="shared" si="28"/>
        <v>0</v>
      </c>
      <c r="I231" s="1"/>
      <c r="J231" s="1"/>
      <c r="K231" s="11" t="e">
        <f>VLOOKUP(H231,'Inf Bloques'!$A$1:$J$453,10,FALSE)</f>
        <v>#N/A</v>
      </c>
      <c r="L231" s="13"/>
    </row>
    <row r="232" spans="1:12" hidden="1" x14ac:dyDescent="0.2">
      <c r="A232" s="1">
        <f>+'PROGRAMA DRENCH PASO 1'!T33</f>
        <v>0</v>
      </c>
      <c r="B232" s="1"/>
      <c r="C232" s="1" t="str">
        <f>IFERROR((VLOOKUP($A232,'CODIGOS D'!$A$3:$S$451,2,FALSE)),"0")</f>
        <v>0</v>
      </c>
      <c r="D232" s="24">
        <f>+'PROGRAMA DRENCH PASO 1'!U33</f>
        <v>0</v>
      </c>
      <c r="E232" s="1"/>
      <c r="F232" s="1"/>
      <c r="G232" s="1"/>
      <c r="H232" s="5">
        <f t="shared" ref="H232:H295" si="29">+H231</f>
        <v>0</v>
      </c>
      <c r="I232" s="1"/>
      <c r="J232" s="1"/>
      <c r="K232" s="11" t="e">
        <f>VLOOKUP(H232,'Inf Bloques'!$A$1:$J$453,10,FALSE)</f>
        <v>#N/A</v>
      </c>
      <c r="L232" s="13"/>
    </row>
    <row r="233" spans="1:12" hidden="1" x14ac:dyDescent="0.2">
      <c r="A233" s="1">
        <f>+'PROGRAMA DRENCH PASO 1'!X33</f>
        <v>0</v>
      </c>
      <c r="B233" s="1"/>
      <c r="C233" s="1" t="str">
        <f>IFERROR((VLOOKUP($A233,'CODIGOS D'!$A$3:$S$451,2,FALSE)),"0")</f>
        <v>0</v>
      </c>
      <c r="D233" s="24">
        <f>+'PROGRAMA DRENCH PASO 1'!Y33</f>
        <v>0</v>
      </c>
      <c r="E233" s="1"/>
      <c r="F233" s="1"/>
      <c r="G233" s="1"/>
      <c r="H233" s="5">
        <f t="shared" si="29"/>
        <v>0</v>
      </c>
      <c r="I233" s="1"/>
      <c r="J233" s="1"/>
      <c r="K233" s="11" t="e">
        <f>VLOOKUP(H233,'Inf Bloques'!$A$1:$J$453,10,FALSE)</f>
        <v>#N/A</v>
      </c>
      <c r="L233" s="13"/>
    </row>
    <row r="234" spans="1:12" hidden="1" x14ac:dyDescent="0.2">
      <c r="A234" s="1">
        <f>+'PROGRAMA DRENCH PASO 1'!AB33</f>
        <v>0</v>
      </c>
      <c r="B234" s="1"/>
      <c r="C234" s="1" t="str">
        <f>IFERROR((VLOOKUP($A234,'CODIGOS D'!$A$3:$S$451,2,FALSE)),"0")</f>
        <v>0</v>
      </c>
      <c r="D234" s="24">
        <f>+'PROGRAMA DRENCH PASO 1'!AC33</f>
        <v>0</v>
      </c>
      <c r="E234" s="1"/>
      <c r="F234" s="1"/>
      <c r="G234" s="1"/>
      <c r="H234" s="5">
        <f t="shared" si="29"/>
        <v>0</v>
      </c>
      <c r="I234" s="1"/>
      <c r="J234" s="1"/>
      <c r="K234" s="11" t="e">
        <f>VLOOKUP(H234,'Inf Bloques'!$A$1:$J$453,10,FALSE)</f>
        <v>#N/A</v>
      </c>
      <c r="L234" s="13"/>
    </row>
    <row r="235" spans="1:12" hidden="1" x14ac:dyDescent="0.2">
      <c r="A235" s="1">
        <f>+'PROGRAMA DRENCH PASO 1'!AF33</f>
        <v>0</v>
      </c>
      <c r="B235" s="1"/>
      <c r="C235" s="1" t="str">
        <f>IFERROR((VLOOKUP($A235,'CODIGOS D'!$A$3:$S$451,2,FALSE)),"0")</f>
        <v>0</v>
      </c>
      <c r="D235" s="24">
        <f>+'PROGRAMA DRENCH PASO 1'!AG33</f>
        <v>0</v>
      </c>
      <c r="E235" s="1"/>
      <c r="F235" s="1"/>
      <c r="G235" s="1"/>
      <c r="H235" s="5">
        <f t="shared" si="29"/>
        <v>0</v>
      </c>
      <c r="I235" s="1"/>
      <c r="J235" s="1"/>
      <c r="K235" s="11" t="e">
        <f>VLOOKUP(H235,'Inf Bloques'!$A$1:$J$453,10,FALSE)</f>
        <v>#N/A</v>
      </c>
      <c r="L235" s="13"/>
    </row>
    <row r="236" spans="1:12" hidden="1" x14ac:dyDescent="0.2">
      <c r="A236" s="1">
        <f>+'PROGRAMA DRENCH PASO 1'!P34</f>
        <v>0</v>
      </c>
      <c r="B236" s="1"/>
      <c r="C236" s="1" t="str">
        <f>IFERROR((VLOOKUP($A236,'CODIGOS D'!$A$3:$S$451,2,FALSE)),"0")</f>
        <v>0</v>
      </c>
      <c r="D236" s="24">
        <f>+'PROGRAMA DRENCH PASO 1'!Q34</f>
        <v>0</v>
      </c>
      <c r="E236" s="1"/>
      <c r="F236" s="1"/>
      <c r="G236" s="1"/>
      <c r="H236" s="5">
        <f t="shared" si="29"/>
        <v>0</v>
      </c>
      <c r="I236" s="1"/>
      <c r="J236" s="1"/>
      <c r="K236" s="11" t="e">
        <f>VLOOKUP(H236,'Inf Bloques'!$A$1:$J$453,10,FALSE)</f>
        <v>#N/A</v>
      </c>
      <c r="L236" s="13"/>
    </row>
    <row r="237" spans="1:12" hidden="1" x14ac:dyDescent="0.2">
      <c r="A237" s="1">
        <f>+'PROGRAMA DRENCH PASO 1'!T34</f>
        <v>0</v>
      </c>
      <c r="B237" s="1"/>
      <c r="C237" s="1" t="str">
        <f>IFERROR((VLOOKUP($A237,'CODIGOS D'!$A$3:$S$451,2,FALSE)),"0")</f>
        <v>0</v>
      </c>
      <c r="D237" s="24">
        <f>+'PROGRAMA DRENCH PASO 1'!U34</f>
        <v>0</v>
      </c>
      <c r="E237" s="1"/>
      <c r="F237" s="1"/>
      <c r="G237" s="1"/>
      <c r="H237" s="5">
        <f t="shared" si="29"/>
        <v>0</v>
      </c>
      <c r="I237" s="1"/>
      <c r="J237" s="1"/>
      <c r="K237" s="11" t="e">
        <f>VLOOKUP(H237,'Inf Bloques'!$A$1:$J$453,10,FALSE)</f>
        <v>#N/A</v>
      </c>
      <c r="L237" s="13"/>
    </row>
    <row r="238" spans="1:12" hidden="1" x14ac:dyDescent="0.2">
      <c r="A238" s="1">
        <f>+'PROGRAMA DRENCH PASO 1'!X34</f>
        <v>0</v>
      </c>
      <c r="B238" s="1"/>
      <c r="C238" s="1" t="str">
        <f>IFERROR((VLOOKUP($A238,'CODIGOS D'!$A$3:$S$451,2,FALSE)),"0")</f>
        <v>0</v>
      </c>
      <c r="D238" s="24">
        <f>+'PROGRAMA DRENCH PASO 1'!Y34</f>
        <v>0</v>
      </c>
      <c r="E238" s="1"/>
      <c r="F238" s="1"/>
      <c r="G238" s="1"/>
      <c r="H238" s="5">
        <f t="shared" si="29"/>
        <v>0</v>
      </c>
      <c r="I238" s="1"/>
      <c r="J238" s="1"/>
      <c r="K238" s="11" t="e">
        <f>VLOOKUP(H238,'Inf Bloques'!$A$1:$J$453,10,FALSE)</f>
        <v>#N/A</v>
      </c>
      <c r="L238" s="13"/>
    </row>
    <row r="239" spans="1:12" hidden="1" x14ac:dyDescent="0.2">
      <c r="A239" s="1">
        <f>+'PROGRAMA DRENCH PASO 1'!AB34</f>
        <v>0</v>
      </c>
      <c r="B239" s="1"/>
      <c r="C239" s="1" t="str">
        <f>IFERROR((VLOOKUP($A239,'CODIGOS D'!$A$3:$S$451,2,FALSE)),"0")</f>
        <v>0</v>
      </c>
      <c r="D239" s="24">
        <f>+'PROGRAMA DRENCH PASO 1'!AC34</f>
        <v>0</v>
      </c>
      <c r="E239" s="1"/>
      <c r="F239" s="1"/>
      <c r="G239" s="1"/>
      <c r="H239" s="5">
        <f t="shared" si="29"/>
        <v>0</v>
      </c>
      <c r="I239" s="1"/>
      <c r="J239" s="1"/>
      <c r="K239" s="11" t="e">
        <f>VLOOKUP(H239,'Inf Bloques'!$A$1:$J$453,10,FALSE)</f>
        <v>#N/A</v>
      </c>
      <c r="L239" s="13"/>
    </row>
    <row r="240" spans="1:12" hidden="1" x14ac:dyDescent="0.2">
      <c r="A240" s="1">
        <f>+'PROGRAMA DRENCH PASO 1'!AF34</f>
        <v>0</v>
      </c>
      <c r="B240" s="1"/>
      <c r="C240" s="1" t="str">
        <f>IFERROR((VLOOKUP($A240,'CODIGOS D'!$A$3:$S$451,2,FALSE)),"0")</f>
        <v>0</v>
      </c>
      <c r="D240" s="24">
        <f>+'PROGRAMA DRENCH PASO 1'!AG34</f>
        <v>0</v>
      </c>
      <c r="E240" s="1"/>
      <c r="F240" s="1"/>
      <c r="G240" s="1"/>
      <c r="H240" s="5">
        <f t="shared" si="29"/>
        <v>0</v>
      </c>
      <c r="I240" s="1"/>
      <c r="J240" s="1"/>
      <c r="K240" s="11" t="e">
        <f>VLOOKUP(H240,'Inf Bloques'!$A$1:$J$453,10,FALSE)</f>
        <v>#N/A</v>
      </c>
      <c r="L240" s="13"/>
    </row>
    <row r="241" spans="1:12" hidden="1" x14ac:dyDescent="0.2">
      <c r="A241" s="1">
        <f>+'PROGRAMA DRENCH PASO 1'!P35</f>
        <v>0</v>
      </c>
      <c r="B241" s="1"/>
      <c r="C241" s="1" t="str">
        <f>IFERROR((VLOOKUP($A241,'CODIGOS D'!$A$3:$S$451,2,FALSE)),"0")</f>
        <v>0</v>
      </c>
      <c r="D241" s="24">
        <f>+'PROGRAMA DRENCH PASO 1'!Q35</f>
        <v>0</v>
      </c>
      <c r="E241" s="1"/>
      <c r="F241" s="1"/>
      <c r="G241" s="1"/>
      <c r="H241" s="5">
        <f t="shared" si="29"/>
        <v>0</v>
      </c>
      <c r="I241" s="1"/>
      <c r="J241" s="1"/>
      <c r="K241" s="11" t="e">
        <f>VLOOKUP(H241,'Inf Bloques'!$A$1:$J$453,10,FALSE)</f>
        <v>#N/A</v>
      </c>
      <c r="L241" s="13"/>
    </row>
    <row r="242" spans="1:12" hidden="1" x14ac:dyDescent="0.2">
      <c r="A242" s="1">
        <f>+'PROGRAMA DRENCH PASO 1'!T35</f>
        <v>0</v>
      </c>
      <c r="B242" s="1"/>
      <c r="C242" s="1" t="str">
        <f>IFERROR((VLOOKUP($A242,'CODIGOS D'!$A$3:$S$451,2,FALSE)),"0")</f>
        <v>0</v>
      </c>
      <c r="D242" s="24">
        <f>+'PROGRAMA DRENCH PASO 1'!U35</f>
        <v>0</v>
      </c>
      <c r="E242" s="1"/>
      <c r="F242" s="1"/>
      <c r="G242" s="1"/>
      <c r="H242" s="5">
        <f t="shared" si="29"/>
        <v>0</v>
      </c>
      <c r="I242" s="1"/>
      <c r="J242" s="1"/>
      <c r="K242" s="11" t="e">
        <f>VLOOKUP(H242,'Inf Bloques'!$A$1:$J$453,10,FALSE)</f>
        <v>#N/A</v>
      </c>
      <c r="L242" s="13"/>
    </row>
    <row r="243" spans="1:12" hidden="1" x14ac:dyDescent="0.2">
      <c r="A243" s="1">
        <f>+'PROGRAMA DRENCH PASO 1'!X35</f>
        <v>0</v>
      </c>
      <c r="B243" s="1"/>
      <c r="C243" s="1" t="str">
        <f>IFERROR((VLOOKUP($A243,'CODIGOS D'!$A$3:$S$451,2,FALSE)),"0")</f>
        <v>0</v>
      </c>
      <c r="D243" s="24">
        <f>+'PROGRAMA DRENCH PASO 1'!Y35</f>
        <v>0</v>
      </c>
      <c r="E243" s="1"/>
      <c r="F243" s="1"/>
      <c r="G243" s="1"/>
      <c r="H243" s="5">
        <f t="shared" si="29"/>
        <v>0</v>
      </c>
      <c r="I243" s="1"/>
      <c r="J243" s="1"/>
      <c r="K243" s="11" t="e">
        <f>VLOOKUP(H243,'Inf Bloques'!$A$1:$J$453,10,FALSE)</f>
        <v>#N/A</v>
      </c>
      <c r="L243" s="13"/>
    </row>
    <row r="244" spans="1:12" hidden="1" x14ac:dyDescent="0.2">
      <c r="A244" s="1">
        <f>+'PROGRAMA DRENCH PASO 1'!AB35</f>
        <v>0</v>
      </c>
      <c r="B244" s="1"/>
      <c r="C244" s="1" t="str">
        <f>IFERROR((VLOOKUP($A244,'CODIGOS D'!$A$3:$S$451,2,FALSE)),"0")</f>
        <v>0</v>
      </c>
      <c r="D244" s="24">
        <f>+'PROGRAMA DRENCH PASO 1'!AC35</f>
        <v>0</v>
      </c>
      <c r="E244" s="1"/>
      <c r="F244" s="1"/>
      <c r="G244" s="1"/>
      <c r="H244" s="5">
        <f t="shared" si="29"/>
        <v>0</v>
      </c>
      <c r="I244" s="1"/>
      <c r="J244" s="1"/>
      <c r="K244" s="11" t="e">
        <f>VLOOKUP(H244,'Inf Bloques'!$A$1:$J$453,10,FALSE)</f>
        <v>#N/A</v>
      </c>
      <c r="L244" s="13"/>
    </row>
    <row r="245" spans="1:12" hidden="1" x14ac:dyDescent="0.2">
      <c r="A245" s="1">
        <f>+'PROGRAMA DRENCH PASO 1'!AF35</f>
        <v>0</v>
      </c>
      <c r="B245" s="1"/>
      <c r="C245" s="1" t="str">
        <f>IFERROR((VLOOKUP($A245,'CODIGOS D'!$A$3:$S$451,2,FALSE)),"0")</f>
        <v>0</v>
      </c>
      <c r="D245" s="24">
        <f>+'PROGRAMA DRENCH PASO 1'!AG35</f>
        <v>0</v>
      </c>
      <c r="E245" s="1"/>
      <c r="F245" s="1"/>
      <c r="G245" s="1"/>
      <c r="H245" s="5">
        <f t="shared" si="29"/>
        <v>0</v>
      </c>
      <c r="I245" s="1"/>
      <c r="J245" s="1"/>
      <c r="K245" s="11" t="e">
        <f>VLOOKUP(H245,'Inf Bloques'!$A$1:$J$453,10,FALSE)</f>
        <v>#N/A</v>
      </c>
      <c r="L245" s="13"/>
    </row>
    <row r="246" spans="1:12" hidden="1" x14ac:dyDescent="0.2">
      <c r="A246" s="1">
        <f>+'PROGRAMA DRENCH PASO 1'!P36</f>
        <v>0</v>
      </c>
      <c r="B246" s="1"/>
      <c r="C246" s="1" t="str">
        <f>IFERROR((VLOOKUP($A246,'CODIGOS D'!$A$3:$S$451,2,FALSE)),"0")</f>
        <v>0</v>
      </c>
      <c r="D246" s="24">
        <f>+'PROGRAMA DRENCH PASO 1'!Q36</f>
        <v>0</v>
      </c>
      <c r="E246" s="1"/>
      <c r="F246" s="1"/>
      <c r="G246" s="1"/>
      <c r="H246" s="5">
        <f t="shared" si="29"/>
        <v>0</v>
      </c>
      <c r="I246" s="1"/>
      <c r="J246" s="1"/>
      <c r="K246" s="11" t="e">
        <f>VLOOKUP(H246,'Inf Bloques'!$A$1:$J$453,10,FALSE)</f>
        <v>#N/A</v>
      </c>
      <c r="L246" s="13"/>
    </row>
    <row r="247" spans="1:12" hidden="1" x14ac:dyDescent="0.2">
      <c r="A247" s="1">
        <f>+'PROGRAMA DRENCH PASO 1'!T36</f>
        <v>0</v>
      </c>
      <c r="B247" s="1"/>
      <c r="C247" s="1" t="str">
        <f>IFERROR((VLOOKUP($A247,'CODIGOS D'!$A$3:$S$451,2,FALSE)),"0")</f>
        <v>0</v>
      </c>
      <c r="D247" s="24">
        <f>+'PROGRAMA DRENCH PASO 1'!U36</f>
        <v>0</v>
      </c>
      <c r="E247" s="1"/>
      <c r="F247" s="1"/>
      <c r="G247" s="1"/>
      <c r="H247" s="5">
        <f t="shared" si="29"/>
        <v>0</v>
      </c>
      <c r="I247" s="1"/>
      <c r="J247" s="1"/>
      <c r="K247" s="11" t="e">
        <f>VLOOKUP(H247,'Inf Bloques'!$A$1:$J$453,10,FALSE)</f>
        <v>#N/A</v>
      </c>
      <c r="L247" s="13"/>
    </row>
    <row r="248" spans="1:12" hidden="1" x14ac:dyDescent="0.2">
      <c r="A248" s="1">
        <f>+'PROGRAMA DRENCH PASO 1'!X36</f>
        <v>0</v>
      </c>
      <c r="B248" s="1"/>
      <c r="C248" s="1" t="str">
        <f>IFERROR((VLOOKUP($A248,'CODIGOS D'!$A$3:$S$451,2,FALSE)),"0")</f>
        <v>0</v>
      </c>
      <c r="D248" s="24">
        <f>+'PROGRAMA DRENCH PASO 1'!Y36</f>
        <v>0</v>
      </c>
      <c r="E248" s="1"/>
      <c r="F248" s="1"/>
      <c r="G248" s="1"/>
      <c r="H248" s="5">
        <f t="shared" si="29"/>
        <v>0</v>
      </c>
      <c r="I248" s="1"/>
      <c r="J248" s="1"/>
      <c r="K248" s="11" t="e">
        <f>VLOOKUP(H248,'Inf Bloques'!$A$1:$J$453,10,FALSE)</f>
        <v>#N/A</v>
      </c>
      <c r="L248" s="13"/>
    </row>
    <row r="249" spans="1:12" hidden="1" x14ac:dyDescent="0.2">
      <c r="A249" s="1">
        <f>+'PROGRAMA DRENCH PASO 1'!AB36</f>
        <v>0</v>
      </c>
      <c r="B249" s="1"/>
      <c r="C249" s="1" t="str">
        <f>IFERROR((VLOOKUP($A249,'CODIGOS D'!$A$3:$S$451,2,FALSE)),"0")</f>
        <v>0</v>
      </c>
      <c r="D249" s="24">
        <f>+'PROGRAMA DRENCH PASO 1'!AC36</f>
        <v>0</v>
      </c>
      <c r="E249" s="1"/>
      <c r="F249" s="1"/>
      <c r="G249" s="1"/>
      <c r="H249" s="5">
        <f t="shared" si="29"/>
        <v>0</v>
      </c>
      <c r="I249" s="1"/>
      <c r="J249" s="1"/>
      <c r="K249" s="11" t="e">
        <f>VLOOKUP(H249,'Inf Bloques'!$A$1:$J$453,10,FALSE)</f>
        <v>#N/A</v>
      </c>
      <c r="L249" s="13"/>
    </row>
    <row r="250" spans="1:12" hidden="1" x14ac:dyDescent="0.2">
      <c r="A250" s="1">
        <f>+'PROGRAMA DRENCH PASO 1'!AF36</f>
        <v>0</v>
      </c>
      <c r="B250" s="1"/>
      <c r="C250" s="1" t="str">
        <f>IFERROR((VLOOKUP($A250,'CODIGOS D'!$A$3:$S$451,2,FALSE)),"0")</f>
        <v>0</v>
      </c>
      <c r="D250" s="24">
        <f>+'PROGRAMA DRENCH PASO 1'!AG36</f>
        <v>0</v>
      </c>
      <c r="E250" s="1"/>
      <c r="F250" s="1"/>
      <c r="G250" s="1"/>
      <c r="H250" s="5">
        <f t="shared" si="29"/>
        <v>0</v>
      </c>
      <c r="I250" s="1"/>
      <c r="J250" s="1"/>
      <c r="K250" s="11" t="e">
        <f>VLOOKUP(H250,'Inf Bloques'!$A$1:$J$453,10,FALSE)</f>
        <v>#N/A</v>
      </c>
      <c r="L250" s="13"/>
    </row>
    <row r="251" spans="1:12" hidden="1" x14ac:dyDescent="0.2">
      <c r="A251" s="1">
        <f>+'PROGRAMA DRENCH PASO 1'!P37</f>
        <v>0</v>
      </c>
      <c r="B251" s="1"/>
      <c r="C251" s="1" t="str">
        <f>IFERROR((VLOOKUP($A251,'CODIGOS D'!$A$3:$S$451,2,FALSE)),"0")</f>
        <v>0</v>
      </c>
      <c r="D251" s="24">
        <f>+'PROGRAMA DRENCH PASO 1'!Q37</f>
        <v>0</v>
      </c>
      <c r="E251" s="1"/>
      <c r="F251" s="1"/>
      <c r="G251" s="1"/>
      <c r="H251" s="5">
        <f t="shared" si="29"/>
        <v>0</v>
      </c>
      <c r="I251" s="1"/>
      <c r="J251" s="1"/>
      <c r="K251" s="11" t="e">
        <f>VLOOKUP(H251,'Inf Bloques'!$A$1:$J$453,10,FALSE)</f>
        <v>#N/A</v>
      </c>
      <c r="L251" s="13"/>
    </row>
    <row r="252" spans="1:12" hidden="1" x14ac:dyDescent="0.2">
      <c r="A252" s="1">
        <f>+'PROGRAMA DRENCH PASO 1'!T37</f>
        <v>0</v>
      </c>
      <c r="B252" s="1"/>
      <c r="C252" s="1" t="str">
        <f>IFERROR((VLOOKUP($A252,'CODIGOS D'!$A$3:$S$451,2,FALSE)),"0")</f>
        <v>0</v>
      </c>
      <c r="D252" s="24">
        <f>+'PROGRAMA DRENCH PASO 1'!U37</f>
        <v>0</v>
      </c>
      <c r="E252" s="1"/>
      <c r="F252" s="1"/>
      <c r="G252" s="1"/>
      <c r="H252" s="5">
        <f t="shared" si="29"/>
        <v>0</v>
      </c>
      <c r="I252" s="1"/>
      <c r="J252" s="1"/>
      <c r="K252" s="11" t="e">
        <f>VLOOKUP(H252,'Inf Bloques'!$A$1:$J$453,10,FALSE)</f>
        <v>#N/A</v>
      </c>
      <c r="L252" s="13"/>
    </row>
    <row r="253" spans="1:12" hidden="1" x14ac:dyDescent="0.2">
      <c r="A253" s="1">
        <f>+'PROGRAMA DRENCH PASO 1'!X37</f>
        <v>0</v>
      </c>
      <c r="B253" s="1"/>
      <c r="C253" s="1" t="str">
        <f>IFERROR((VLOOKUP($A253,'CODIGOS D'!$A$3:$S$451,2,FALSE)),"0")</f>
        <v>0</v>
      </c>
      <c r="D253" s="24">
        <f>+'PROGRAMA DRENCH PASO 1'!Y37</f>
        <v>0</v>
      </c>
      <c r="E253" s="1"/>
      <c r="F253" s="1"/>
      <c r="G253" s="1"/>
      <c r="H253" s="5">
        <f t="shared" si="29"/>
        <v>0</v>
      </c>
      <c r="I253" s="1"/>
      <c r="J253" s="1"/>
      <c r="K253" s="11" t="e">
        <f>VLOOKUP(H253,'Inf Bloques'!$A$1:$J$453,10,FALSE)</f>
        <v>#N/A</v>
      </c>
      <c r="L253" s="13"/>
    </row>
    <row r="254" spans="1:12" hidden="1" x14ac:dyDescent="0.2">
      <c r="A254" s="1">
        <f>+'PROGRAMA DRENCH PASO 1'!AB37</f>
        <v>0</v>
      </c>
      <c r="B254" s="1"/>
      <c r="C254" s="1" t="str">
        <f>IFERROR((VLOOKUP($A254,'CODIGOS D'!$A$3:$S$451,2,FALSE)),"0")</f>
        <v>0</v>
      </c>
      <c r="D254" s="24">
        <f>+'PROGRAMA DRENCH PASO 1'!AC37</f>
        <v>0</v>
      </c>
      <c r="E254" s="1"/>
      <c r="F254" s="1"/>
      <c r="G254" s="1"/>
      <c r="H254" s="5">
        <f t="shared" si="29"/>
        <v>0</v>
      </c>
      <c r="I254" s="1"/>
      <c r="J254" s="1"/>
      <c r="K254" s="11" t="e">
        <f>VLOOKUP(H254,'Inf Bloques'!$A$1:$J$453,10,FALSE)</f>
        <v>#N/A</v>
      </c>
      <c r="L254" s="13"/>
    </row>
    <row r="255" spans="1:12" hidden="1" x14ac:dyDescent="0.2">
      <c r="A255" s="1">
        <f>+'PROGRAMA DRENCH PASO 1'!AF37</f>
        <v>0</v>
      </c>
      <c r="B255" s="1"/>
      <c r="C255" s="1" t="str">
        <f>IFERROR((VLOOKUP($A255,'CODIGOS D'!$A$3:$S$451,2,FALSE)),"0")</f>
        <v>0</v>
      </c>
      <c r="D255" s="24">
        <f>+'PROGRAMA DRENCH PASO 1'!AG37</f>
        <v>0</v>
      </c>
      <c r="E255" s="1"/>
      <c r="F255" s="1"/>
      <c r="G255" s="1"/>
      <c r="H255" s="5">
        <f t="shared" si="29"/>
        <v>0</v>
      </c>
      <c r="I255" s="1"/>
      <c r="J255" s="1"/>
      <c r="K255" s="11" t="e">
        <f>VLOOKUP(H255,'Inf Bloques'!$A$1:$J$453,10,FALSE)</f>
        <v>#N/A</v>
      </c>
      <c r="L255" s="13"/>
    </row>
    <row r="256" spans="1:12" hidden="1" x14ac:dyDescent="0.2">
      <c r="A256" s="1">
        <f>+'PROGRAMA DRENCH PASO 1'!P38</f>
        <v>0</v>
      </c>
      <c r="B256" s="1"/>
      <c r="C256" s="1" t="str">
        <f>IFERROR((VLOOKUP($A256,'CODIGOS D'!$A$3:$S$451,2,FALSE)),"0")</f>
        <v>0</v>
      </c>
      <c r="D256" s="24">
        <f>+'PROGRAMA DRENCH PASO 1'!Q38</f>
        <v>0</v>
      </c>
      <c r="E256" s="1"/>
      <c r="F256" s="1"/>
      <c r="G256" s="1"/>
      <c r="H256" s="5">
        <f t="shared" si="29"/>
        <v>0</v>
      </c>
      <c r="I256" s="1"/>
      <c r="J256" s="1"/>
      <c r="K256" s="11" t="e">
        <f>VLOOKUP(H256,'Inf Bloques'!$A$1:$J$453,10,FALSE)</f>
        <v>#N/A</v>
      </c>
      <c r="L256" s="13"/>
    </row>
    <row r="257" spans="1:12" hidden="1" x14ac:dyDescent="0.2">
      <c r="A257" s="1">
        <f>+'PROGRAMA DRENCH PASO 1'!T38</f>
        <v>0</v>
      </c>
      <c r="B257" s="1"/>
      <c r="C257" s="1" t="str">
        <f>IFERROR((VLOOKUP($A257,'CODIGOS D'!$A$3:$S$451,2,FALSE)),"0")</f>
        <v>0</v>
      </c>
      <c r="D257" s="24">
        <f>+'PROGRAMA DRENCH PASO 1'!U38</f>
        <v>0</v>
      </c>
      <c r="E257" s="1"/>
      <c r="F257" s="1"/>
      <c r="G257" s="1"/>
      <c r="H257" s="5">
        <f t="shared" si="29"/>
        <v>0</v>
      </c>
      <c r="I257" s="1"/>
      <c r="J257" s="1"/>
      <c r="K257" s="11" t="e">
        <f>VLOOKUP(H257,'Inf Bloques'!$A$1:$J$453,10,FALSE)</f>
        <v>#N/A</v>
      </c>
      <c r="L257" s="13"/>
    </row>
    <row r="258" spans="1:12" hidden="1" x14ac:dyDescent="0.2">
      <c r="A258" s="1">
        <f>+'PROGRAMA DRENCH PASO 1'!X38</f>
        <v>0</v>
      </c>
      <c r="B258" s="1"/>
      <c r="C258" s="1" t="str">
        <f>IFERROR((VLOOKUP($A258,'CODIGOS D'!$A$3:$S$451,2,FALSE)),"0")</f>
        <v>0</v>
      </c>
      <c r="D258" s="24">
        <f>+'PROGRAMA DRENCH PASO 1'!Y38</f>
        <v>0</v>
      </c>
      <c r="E258" s="1"/>
      <c r="F258" s="1"/>
      <c r="G258" s="1"/>
      <c r="H258" s="5">
        <f t="shared" si="29"/>
        <v>0</v>
      </c>
      <c r="I258" s="1"/>
      <c r="J258" s="1"/>
      <c r="K258" s="11" t="e">
        <f>VLOOKUP(H258,'Inf Bloques'!$A$1:$J$453,10,FALSE)</f>
        <v>#N/A</v>
      </c>
      <c r="L258" s="13"/>
    </row>
    <row r="259" spans="1:12" hidden="1" x14ac:dyDescent="0.2">
      <c r="A259" s="1">
        <f>+'PROGRAMA DRENCH PASO 1'!AB38</f>
        <v>0</v>
      </c>
      <c r="B259" s="1"/>
      <c r="C259" s="1" t="str">
        <f>IFERROR((VLOOKUP($A259,'CODIGOS D'!$A$3:$S$451,2,FALSE)),"0")</f>
        <v>0</v>
      </c>
      <c r="D259" s="24">
        <f>+'PROGRAMA DRENCH PASO 1'!AC38</f>
        <v>0</v>
      </c>
      <c r="E259" s="1"/>
      <c r="F259" s="1"/>
      <c r="G259" s="1"/>
      <c r="H259" s="5">
        <f t="shared" si="29"/>
        <v>0</v>
      </c>
      <c r="I259" s="1"/>
      <c r="J259" s="1"/>
      <c r="K259" s="11" t="e">
        <f>VLOOKUP(H259,'Inf Bloques'!$A$1:$J$453,10,FALSE)</f>
        <v>#N/A</v>
      </c>
      <c r="L259" s="13"/>
    </row>
    <row r="260" spans="1:12" hidden="1" x14ac:dyDescent="0.2">
      <c r="A260" s="1">
        <f>+'PROGRAMA DRENCH PASO 1'!AF38</f>
        <v>0</v>
      </c>
      <c r="B260" s="1"/>
      <c r="C260" s="1" t="str">
        <f>IFERROR((VLOOKUP($A260,'CODIGOS D'!$A$3:$S$451,2,FALSE)),"0")</f>
        <v>0</v>
      </c>
      <c r="D260" s="24">
        <f>+'PROGRAMA DRENCH PASO 1'!AG38</f>
        <v>0</v>
      </c>
      <c r="E260" s="1"/>
      <c r="F260" s="1"/>
      <c r="G260" s="1"/>
      <c r="H260" s="5">
        <f t="shared" si="29"/>
        <v>0</v>
      </c>
      <c r="I260" s="1"/>
      <c r="J260" s="1"/>
      <c r="K260" s="11" t="e">
        <f>VLOOKUP(H260,'Inf Bloques'!$A$1:$J$453,10,FALSE)</f>
        <v>#N/A</v>
      </c>
      <c r="L260" s="13"/>
    </row>
    <row r="261" spans="1:12" hidden="1" x14ac:dyDescent="0.2">
      <c r="A261" s="1">
        <f>+'PROGRAMA DRENCH PASO 1'!P39</f>
        <v>0</v>
      </c>
      <c r="B261" s="1"/>
      <c r="C261" s="1" t="str">
        <f>IFERROR((VLOOKUP($A261,'CODIGOS D'!$A$3:$S$451,2,FALSE)),"0")</f>
        <v>0</v>
      </c>
      <c r="D261" s="24">
        <f>+'PROGRAMA DRENCH PASO 1'!Q39</f>
        <v>0</v>
      </c>
      <c r="E261" s="1"/>
      <c r="F261" s="1"/>
      <c r="G261" s="1"/>
      <c r="H261" s="5">
        <f t="shared" si="29"/>
        <v>0</v>
      </c>
      <c r="I261" s="1"/>
      <c r="J261" s="1"/>
      <c r="K261" s="11" t="e">
        <f>VLOOKUP(H261,'Inf Bloques'!$A$1:$J$453,10,FALSE)</f>
        <v>#N/A</v>
      </c>
      <c r="L261" s="13"/>
    </row>
    <row r="262" spans="1:12" hidden="1" x14ac:dyDescent="0.2">
      <c r="A262" s="1">
        <f>+'PROGRAMA DRENCH PASO 1'!T39</f>
        <v>0</v>
      </c>
      <c r="B262" s="1"/>
      <c r="C262" s="1" t="str">
        <f>IFERROR((VLOOKUP($A262,'CODIGOS D'!$A$3:$S$451,2,FALSE)),"0")</f>
        <v>0</v>
      </c>
      <c r="D262" s="24">
        <f>+'PROGRAMA DRENCH PASO 1'!U39</f>
        <v>0</v>
      </c>
      <c r="E262" s="1"/>
      <c r="F262" s="1"/>
      <c r="G262" s="1"/>
      <c r="H262" s="5">
        <f t="shared" si="29"/>
        <v>0</v>
      </c>
      <c r="I262" s="1"/>
      <c r="J262" s="1"/>
      <c r="K262" s="11" t="e">
        <f>VLOOKUP(H262,'Inf Bloques'!$A$1:$J$453,10,FALSE)</f>
        <v>#N/A</v>
      </c>
      <c r="L262" s="13"/>
    </row>
    <row r="263" spans="1:12" hidden="1" x14ac:dyDescent="0.2">
      <c r="A263" s="1">
        <f>+'PROGRAMA DRENCH PASO 1'!X39</f>
        <v>0</v>
      </c>
      <c r="B263" s="1"/>
      <c r="C263" s="1" t="str">
        <f>IFERROR((VLOOKUP($A263,'CODIGOS D'!$A$3:$S$451,2,FALSE)),"0")</f>
        <v>0</v>
      </c>
      <c r="D263" s="24">
        <f>+'PROGRAMA DRENCH PASO 1'!Y39</f>
        <v>0</v>
      </c>
      <c r="E263" s="1"/>
      <c r="F263" s="1"/>
      <c r="G263" s="1"/>
      <c r="H263" s="5">
        <f t="shared" si="29"/>
        <v>0</v>
      </c>
      <c r="I263" s="1"/>
      <c r="J263" s="1"/>
      <c r="K263" s="11" t="e">
        <f>VLOOKUP(H263,'Inf Bloques'!$A$1:$J$453,10,FALSE)</f>
        <v>#N/A</v>
      </c>
      <c r="L263" s="13"/>
    </row>
    <row r="264" spans="1:12" hidden="1" x14ac:dyDescent="0.2">
      <c r="A264" s="1">
        <f>+'PROGRAMA DRENCH PASO 1'!AB39</f>
        <v>0</v>
      </c>
      <c r="B264" s="1"/>
      <c r="C264" s="1" t="str">
        <f>IFERROR((VLOOKUP($A264,'CODIGOS D'!$A$3:$S$451,2,FALSE)),"0")</f>
        <v>0</v>
      </c>
      <c r="D264" s="24">
        <f>+'PROGRAMA DRENCH PASO 1'!AC39</f>
        <v>0</v>
      </c>
      <c r="E264" s="1"/>
      <c r="F264" s="1"/>
      <c r="G264" s="1"/>
      <c r="H264" s="5">
        <f t="shared" si="29"/>
        <v>0</v>
      </c>
      <c r="I264" s="1"/>
      <c r="J264" s="1"/>
      <c r="K264" s="11" t="e">
        <f>VLOOKUP(H264,'Inf Bloques'!$A$1:$J$453,10,FALSE)</f>
        <v>#N/A</v>
      </c>
      <c r="L264" s="13"/>
    </row>
    <row r="265" spans="1:12" hidden="1" x14ac:dyDescent="0.2">
      <c r="A265" s="1">
        <f>+'PROGRAMA DRENCH PASO 1'!AF39</f>
        <v>0</v>
      </c>
      <c r="B265" s="1"/>
      <c r="C265" s="1" t="str">
        <f>IFERROR((VLOOKUP($A265,'CODIGOS D'!$A$3:$S$451,2,FALSE)),"0")</f>
        <v>0</v>
      </c>
      <c r="D265" s="24">
        <f>+'PROGRAMA DRENCH PASO 1'!AG39</f>
        <v>0</v>
      </c>
      <c r="E265" s="1"/>
      <c r="F265" s="1"/>
      <c r="G265" s="1"/>
      <c r="H265" s="5">
        <f t="shared" si="29"/>
        <v>0</v>
      </c>
      <c r="I265" s="1"/>
      <c r="J265" s="1"/>
      <c r="K265" s="11" t="e">
        <f>VLOOKUP(H265,'Inf Bloques'!$A$1:$J$453,10,FALSE)</f>
        <v>#N/A</v>
      </c>
      <c r="L265" s="13"/>
    </row>
    <row r="266" spans="1:12" hidden="1" x14ac:dyDescent="0.2">
      <c r="A266" s="1">
        <f>+'PROGRAMA DRENCH PASO 1'!P40</f>
        <v>0</v>
      </c>
      <c r="B266" s="1"/>
      <c r="C266" s="1" t="str">
        <f>IFERROR((VLOOKUP($A266,'CODIGOS D'!$A$3:$S$451,2,FALSE)),"0")</f>
        <v>0</v>
      </c>
      <c r="D266" s="24">
        <f>+'PROGRAMA DRENCH PASO 1'!Q40</f>
        <v>0</v>
      </c>
      <c r="E266" s="1"/>
      <c r="F266" s="1"/>
      <c r="G266" s="1"/>
      <c r="H266" s="5">
        <f t="shared" si="29"/>
        <v>0</v>
      </c>
      <c r="I266" s="1"/>
      <c r="J266" s="1"/>
      <c r="K266" s="11" t="e">
        <f>VLOOKUP(H266,'Inf Bloques'!$A$1:$J$453,10,FALSE)</f>
        <v>#N/A</v>
      </c>
      <c r="L266" s="13"/>
    </row>
    <row r="267" spans="1:12" hidden="1" x14ac:dyDescent="0.2">
      <c r="A267" s="1">
        <f>+'PROGRAMA DRENCH PASO 1'!T40</f>
        <v>0</v>
      </c>
      <c r="B267" s="1"/>
      <c r="C267" s="1" t="str">
        <f>IFERROR((VLOOKUP($A267,'CODIGOS D'!$A$3:$S$451,2,FALSE)),"0")</f>
        <v>0</v>
      </c>
      <c r="D267" s="24">
        <f>+'PROGRAMA DRENCH PASO 1'!U40</f>
        <v>0</v>
      </c>
      <c r="E267" s="1"/>
      <c r="F267" s="1"/>
      <c r="G267" s="1"/>
      <c r="H267" s="5">
        <f t="shared" si="29"/>
        <v>0</v>
      </c>
      <c r="I267" s="1"/>
      <c r="J267" s="1"/>
      <c r="K267" s="11" t="e">
        <f>VLOOKUP(H267,'Inf Bloques'!$A$1:$J$453,10,FALSE)</f>
        <v>#N/A</v>
      </c>
      <c r="L267" s="13"/>
    </row>
    <row r="268" spans="1:12" hidden="1" x14ac:dyDescent="0.2">
      <c r="A268" s="1">
        <f>+'PROGRAMA DRENCH PASO 1'!X40</f>
        <v>0</v>
      </c>
      <c r="B268" s="1"/>
      <c r="C268" s="1" t="str">
        <f>IFERROR((VLOOKUP($A268,'CODIGOS D'!$A$3:$S$451,2,FALSE)),"0")</f>
        <v>0</v>
      </c>
      <c r="D268" s="24">
        <f>+'PROGRAMA DRENCH PASO 1'!Y40</f>
        <v>0</v>
      </c>
      <c r="E268" s="1"/>
      <c r="F268" s="1"/>
      <c r="G268" s="1"/>
      <c r="H268" s="5">
        <f t="shared" si="29"/>
        <v>0</v>
      </c>
      <c r="I268" s="1"/>
      <c r="J268" s="1"/>
      <c r="K268" s="11" t="e">
        <f>VLOOKUP(H268,'Inf Bloques'!$A$1:$J$453,10,FALSE)</f>
        <v>#N/A</v>
      </c>
      <c r="L268" s="13"/>
    </row>
    <row r="269" spans="1:12" hidden="1" x14ac:dyDescent="0.2">
      <c r="A269" s="1">
        <f>+'PROGRAMA DRENCH PASO 1'!AB40</f>
        <v>0</v>
      </c>
      <c r="B269" s="1"/>
      <c r="C269" s="1" t="str">
        <f>IFERROR((VLOOKUP($A269,'CODIGOS D'!$A$3:$S$451,2,FALSE)),"0")</f>
        <v>0</v>
      </c>
      <c r="D269" s="24">
        <f>+'PROGRAMA DRENCH PASO 1'!AC40</f>
        <v>0</v>
      </c>
      <c r="E269" s="1"/>
      <c r="F269" s="1"/>
      <c r="G269" s="1"/>
      <c r="H269" s="5">
        <f t="shared" si="29"/>
        <v>0</v>
      </c>
      <c r="I269" s="1"/>
      <c r="J269" s="1"/>
      <c r="K269" s="11" t="e">
        <f>VLOOKUP(H269,'Inf Bloques'!$A$1:$J$453,10,FALSE)</f>
        <v>#N/A</v>
      </c>
      <c r="L269" s="13"/>
    </row>
    <row r="270" spans="1:12" hidden="1" x14ac:dyDescent="0.2">
      <c r="A270" s="1">
        <f>+'PROGRAMA DRENCH PASO 1'!AF40</f>
        <v>0</v>
      </c>
      <c r="B270" s="1"/>
      <c r="C270" s="1" t="str">
        <f>IFERROR((VLOOKUP($A270,'CODIGOS D'!$A$3:$S$451,2,FALSE)),"0")</f>
        <v>0</v>
      </c>
      <c r="D270" s="24">
        <f>+'PROGRAMA DRENCH PASO 1'!AG40</f>
        <v>0</v>
      </c>
      <c r="E270" s="1"/>
      <c r="F270" s="1"/>
      <c r="G270" s="1"/>
      <c r="H270" s="5">
        <f t="shared" si="29"/>
        <v>0</v>
      </c>
      <c r="I270" s="1"/>
      <c r="J270" s="1"/>
      <c r="K270" s="11" t="e">
        <f>VLOOKUP(H270,'Inf Bloques'!$A$1:$J$453,10,FALSE)</f>
        <v>#N/A</v>
      </c>
      <c r="L270" s="13"/>
    </row>
    <row r="271" spans="1:12" hidden="1" x14ac:dyDescent="0.2">
      <c r="A271" s="1">
        <f>+'PROGRAMA DRENCH PASO 1'!P41</f>
        <v>0</v>
      </c>
      <c r="B271" s="1"/>
      <c r="C271" s="1" t="str">
        <f>IFERROR((VLOOKUP($A271,'CODIGOS D'!$A$3:$S$451,2,FALSE)),"0")</f>
        <v>0</v>
      </c>
      <c r="D271" s="24">
        <f>+'PROGRAMA DRENCH PASO 1'!Q41</f>
        <v>0</v>
      </c>
      <c r="E271" s="1"/>
      <c r="F271" s="1"/>
      <c r="G271" s="1"/>
      <c r="H271" s="5">
        <f t="shared" si="29"/>
        <v>0</v>
      </c>
      <c r="I271" s="1"/>
      <c r="J271" s="1"/>
      <c r="K271" s="11" t="e">
        <f>VLOOKUP(H271,'Inf Bloques'!$A$1:$J$453,10,FALSE)</f>
        <v>#N/A</v>
      </c>
      <c r="L271" s="13"/>
    </row>
    <row r="272" spans="1:12" hidden="1" x14ac:dyDescent="0.2">
      <c r="A272" s="1">
        <f>+'PROGRAMA DRENCH PASO 1'!T41</f>
        <v>0</v>
      </c>
      <c r="B272" s="1"/>
      <c r="C272" s="1" t="str">
        <f>IFERROR((VLOOKUP($A272,'CODIGOS D'!$A$3:$S$451,2,FALSE)),"0")</f>
        <v>0</v>
      </c>
      <c r="D272" s="24">
        <f>+'PROGRAMA DRENCH PASO 1'!U41</f>
        <v>0</v>
      </c>
      <c r="E272" s="1"/>
      <c r="F272" s="1"/>
      <c r="G272" s="1"/>
      <c r="H272" s="5">
        <f t="shared" si="29"/>
        <v>0</v>
      </c>
      <c r="I272" s="1"/>
      <c r="J272" s="1"/>
      <c r="K272" s="11" t="e">
        <f>VLOOKUP(H272,'Inf Bloques'!$A$1:$J$453,10,FALSE)</f>
        <v>#N/A</v>
      </c>
      <c r="L272" s="13"/>
    </row>
    <row r="273" spans="1:12" hidden="1" x14ac:dyDescent="0.2">
      <c r="A273" s="1">
        <f>+'PROGRAMA DRENCH PASO 1'!X41</f>
        <v>0</v>
      </c>
      <c r="B273" s="1"/>
      <c r="C273" s="1" t="str">
        <f>IFERROR((VLOOKUP($A273,'CODIGOS D'!$A$3:$S$451,2,FALSE)),"0")</f>
        <v>0</v>
      </c>
      <c r="D273" s="24">
        <f>+'PROGRAMA DRENCH PASO 1'!Y41</f>
        <v>0</v>
      </c>
      <c r="E273" s="1"/>
      <c r="F273" s="1"/>
      <c r="G273" s="1"/>
      <c r="H273" s="5">
        <f t="shared" si="29"/>
        <v>0</v>
      </c>
      <c r="I273" s="1"/>
      <c r="J273" s="1"/>
      <c r="K273" s="11" t="e">
        <f>VLOOKUP(H273,'Inf Bloques'!$A$1:$J$453,10,FALSE)</f>
        <v>#N/A</v>
      </c>
      <c r="L273" s="13"/>
    </row>
    <row r="274" spans="1:12" hidden="1" x14ac:dyDescent="0.2">
      <c r="A274" s="1">
        <f>+'PROGRAMA DRENCH PASO 1'!AB41</f>
        <v>0</v>
      </c>
      <c r="B274" s="1"/>
      <c r="C274" s="1" t="str">
        <f>IFERROR((VLOOKUP($A274,'CODIGOS D'!$A$3:$S$451,2,FALSE)),"0")</f>
        <v>0</v>
      </c>
      <c r="D274" s="24">
        <f>+'PROGRAMA DRENCH PASO 1'!AC41</f>
        <v>0</v>
      </c>
      <c r="E274" s="1"/>
      <c r="F274" s="1"/>
      <c r="G274" s="1"/>
      <c r="H274" s="5">
        <f t="shared" si="29"/>
        <v>0</v>
      </c>
      <c r="I274" s="1"/>
      <c r="J274" s="1"/>
      <c r="K274" s="11" t="e">
        <f>VLOOKUP(H274,'Inf Bloques'!$A$1:$J$453,10,FALSE)</f>
        <v>#N/A</v>
      </c>
      <c r="L274" s="13"/>
    </row>
    <row r="275" spans="1:12" hidden="1" x14ac:dyDescent="0.2">
      <c r="A275" s="1">
        <f>+'PROGRAMA DRENCH PASO 1'!AF41</f>
        <v>0</v>
      </c>
      <c r="B275" s="1"/>
      <c r="C275" s="1" t="str">
        <f>IFERROR((VLOOKUP($A275,'CODIGOS D'!$A$3:$S$451,2,FALSE)),"0")</f>
        <v>0</v>
      </c>
      <c r="D275" s="24">
        <f>+'PROGRAMA DRENCH PASO 1'!AG41</f>
        <v>0</v>
      </c>
      <c r="E275" s="1"/>
      <c r="F275" s="1"/>
      <c r="G275" s="1"/>
      <c r="H275" s="5">
        <f t="shared" si="29"/>
        <v>0</v>
      </c>
      <c r="I275" s="1"/>
      <c r="J275" s="1"/>
      <c r="K275" s="11" t="e">
        <f>VLOOKUP(H275,'Inf Bloques'!$A$1:$J$453,10,FALSE)</f>
        <v>#N/A</v>
      </c>
      <c r="L275" s="13"/>
    </row>
    <row r="276" spans="1:12" hidden="1" x14ac:dyDescent="0.2">
      <c r="A276" s="1">
        <f>+'PROGRAMA DRENCH PASO 1'!P42</f>
        <v>0</v>
      </c>
      <c r="B276" s="1"/>
      <c r="C276" s="1" t="str">
        <f>IFERROR((VLOOKUP($A276,'CODIGOS D'!$A$3:$S$451,2,FALSE)),"0")</f>
        <v>0</v>
      </c>
      <c r="D276" s="24">
        <f>+'PROGRAMA DRENCH PASO 1'!Q42</f>
        <v>0</v>
      </c>
      <c r="E276" s="1"/>
      <c r="F276" s="1"/>
      <c r="G276" s="1"/>
      <c r="H276" s="5">
        <f t="shared" si="29"/>
        <v>0</v>
      </c>
      <c r="I276" s="1"/>
      <c r="J276" s="1"/>
      <c r="K276" s="11" t="e">
        <f>VLOOKUP(H276,'Inf Bloques'!$A$1:$J$453,10,FALSE)</f>
        <v>#N/A</v>
      </c>
      <c r="L276" s="13"/>
    </row>
    <row r="277" spans="1:12" hidden="1" x14ac:dyDescent="0.2">
      <c r="A277" s="1">
        <f>+'PROGRAMA DRENCH PASO 1'!T42</f>
        <v>0</v>
      </c>
      <c r="B277" s="1"/>
      <c r="C277" s="1" t="str">
        <f>IFERROR((VLOOKUP($A277,'CODIGOS D'!$A$3:$S$451,2,FALSE)),"0")</f>
        <v>0</v>
      </c>
      <c r="D277" s="24">
        <f>+'PROGRAMA DRENCH PASO 1'!U42</f>
        <v>0</v>
      </c>
      <c r="E277" s="1"/>
      <c r="F277" s="1"/>
      <c r="G277" s="1"/>
      <c r="H277" s="5">
        <f t="shared" si="29"/>
        <v>0</v>
      </c>
      <c r="I277" s="1"/>
      <c r="J277" s="1"/>
      <c r="K277" s="11" t="e">
        <f>VLOOKUP(H277,'Inf Bloques'!$A$1:$J$453,10,FALSE)</f>
        <v>#N/A</v>
      </c>
      <c r="L277" s="13"/>
    </row>
    <row r="278" spans="1:12" hidden="1" x14ac:dyDescent="0.2">
      <c r="A278" s="1">
        <f>+'PROGRAMA DRENCH PASO 1'!X42</f>
        <v>0</v>
      </c>
      <c r="B278" s="1"/>
      <c r="C278" s="1" t="str">
        <f>IFERROR((VLOOKUP($A278,'CODIGOS D'!$A$3:$S$451,2,FALSE)),"0")</f>
        <v>0</v>
      </c>
      <c r="D278" s="24">
        <f>+'PROGRAMA DRENCH PASO 1'!Y42</f>
        <v>0</v>
      </c>
      <c r="E278" s="1"/>
      <c r="F278" s="1"/>
      <c r="G278" s="1"/>
      <c r="H278" s="5">
        <f t="shared" si="29"/>
        <v>0</v>
      </c>
      <c r="I278" s="1"/>
      <c r="J278" s="1"/>
      <c r="K278" s="11" t="e">
        <f>VLOOKUP(H278,'Inf Bloques'!$A$1:$J$453,10,FALSE)</f>
        <v>#N/A</v>
      </c>
      <c r="L278" s="13"/>
    </row>
    <row r="279" spans="1:12" hidden="1" x14ac:dyDescent="0.2">
      <c r="A279" s="1">
        <f>+'PROGRAMA DRENCH PASO 1'!AB42</f>
        <v>0</v>
      </c>
      <c r="B279" s="1"/>
      <c r="C279" s="1" t="str">
        <f>IFERROR((VLOOKUP($A279,'CODIGOS D'!$A$3:$S$451,2,FALSE)),"0")</f>
        <v>0</v>
      </c>
      <c r="D279" s="24">
        <f>+'PROGRAMA DRENCH PASO 1'!AC42</f>
        <v>0</v>
      </c>
      <c r="E279" s="1"/>
      <c r="F279" s="1"/>
      <c r="G279" s="1"/>
      <c r="H279" s="5">
        <f t="shared" si="29"/>
        <v>0</v>
      </c>
      <c r="I279" s="1"/>
      <c r="J279" s="1"/>
      <c r="K279" s="11" t="e">
        <f>VLOOKUP(H279,'Inf Bloques'!$A$1:$J$453,10,FALSE)</f>
        <v>#N/A</v>
      </c>
      <c r="L279" s="13"/>
    </row>
    <row r="280" spans="1:12" hidden="1" x14ac:dyDescent="0.2">
      <c r="A280" s="1">
        <f>+'PROGRAMA DRENCH PASO 1'!AF42</f>
        <v>0</v>
      </c>
      <c r="B280" s="1"/>
      <c r="C280" s="1" t="str">
        <f>IFERROR((VLOOKUP($A280,'CODIGOS D'!$A$3:$S$451,2,FALSE)),"0")</f>
        <v>0</v>
      </c>
      <c r="D280" s="24">
        <f>+'PROGRAMA DRENCH PASO 1'!AG42</f>
        <v>0</v>
      </c>
      <c r="E280" s="1"/>
      <c r="F280" s="1"/>
      <c r="G280" s="1"/>
      <c r="H280" s="5">
        <f t="shared" si="29"/>
        <v>0</v>
      </c>
      <c r="I280" s="1"/>
      <c r="J280" s="1"/>
      <c r="K280" s="11" t="e">
        <f>VLOOKUP(H280,'Inf Bloques'!$A$1:$J$453,10,FALSE)</f>
        <v>#N/A</v>
      </c>
      <c r="L280" s="13"/>
    </row>
    <row r="281" spans="1:12" hidden="1" x14ac:dyDescent="0.2">
      <c r="A281" s="1">
        <f>+'PROGRAMA DRENCH PASO 1'!P43</f>
        <v>0</v>
      </c>
      <c r="B281" s="1"/>
      <c r="C281" s="1" t="str">
        <f>IFERROR((VLOOKUP($A281,'CODIGOS D'!$A$3:$S$451,2,FALSE)),"0")</f>
        <v>0</v>
      </c>
      <c r="D281" s="24">
        <f>+'PROGRAMA DRENCH PASO 1'!Q43</f>
        <v>0</v>
      </c>
      <c r="E281" s="1"/>
      <c r="F281" s="1"/>
      <c r="G281" s="1"/>
      <c r="H281" s="5">
        <f t="shared" si="29"/>
        <v>0</v>
      </c>
      <c r="I281" s="1"/>
      <c r="J281" s="1"/>
      <c r="K281" s="11" t="e">
        <f>VLOOKUP(H281,'Inf Bloques'!$A$1:$J$453,10,FALSE)</f>
        <v>#N/A</v>
      </c>
      <c r="L281" s="13"/>
    </row>
    <row r="282" spans="1:12" hidden="1" x14ac:dyDescent="0.2">
      <c r="A282" s="1">
        <f>+'PROGRAMA DRENCH PASO 1'!T43</f>
        <v>0</v>
      </c>
      <c r="B282" s="1"/>
      <c r="C282" s="1" t="str">
        <f>IFERROR((VLOOKUP($A282,'CODIGOS D'!$A$3:$S$451,2,FALSE)),"0")</f>
        <v>0</v>
      </c>
      <c r="D282" s="24">
        <f>+'PROGRAMA DRENCH PASO 1'!U43</f>
        <v>0</v>
      </c>
      <c r="E282" s="1"/>
      <c r="F282" s="1"/>
      <c r="G282" s="1"/>
      <c r="H282" s="5">
        <f t="shared" si="29"/>
        <v>0</v>
      </c>
      <c r="I282" s="1"/>
      <c r="J282" s="1"/>
      <c r="K282" s="11" t="e">
        <f>VLOOKUP(H282,'Inf Bloques'!$A$1:$J$453,10,FALSE)</f>
        <v>#N/A</v>
      </c>
      <c r="L282" s="13"/>
    </row>
    <row r="283" spans="1:12" hidden="1" x14ac:dyDescent="0.2">
      <c r="A283" s="1">
        <f>+'PROGRAMA DRENCH PASO 1'!X43</f>
        <v>0</v>
      </c>
      <c r="B283" s="1"/>
      <c r="C283" s="1" t="str">
        <f>IFERROR((VLOOKUP($A283,'CODIGOS D'!$A$3:$S$451,2,FALSE)),"0")</f>
        <v>0</v>
      </c>
      <c r="D283" s="24">
        <f>+'PROGRAMA DRENCH PASO 1'!Y43</f>
        <v>0</v>
      </c>
      <c r="E283" s="1"/>
      <c r="F283" s="1"/>
      <c r="G283" s="1"/>
      <c r="H283" s="5">
        <f t="shared" si="29"/>
        <v>0</v>
      </c>
      <c r="I283" s="1"/>
      <c r="J283" s="1"/>
      <c r="K283" s="11" t="e">
        <f>VLOOKUP(H283,'Inf Bloques'!$A$1:$J$453,10,FALSE)</f>
        <v>#N/A</v>
      </c>
      <c r="L283" s="13"/>
    </row>
    <row r="284" spans="1:12" hidden="1" x14ac:dyDescent="0.2">
      <c r="A284" s="1">
        <f>+'PROGRAMA DRENCH PASO 1'!AB43</f>
        <v>0</v>
      </c>
      <c r="B284" s="1"/>
      <c r="C284" s="1" t="str">
        <f>IFERROR((VLOOKUP($A284,'CODIGOS D'!$A$3:$S$451,2,FALSE)),"0")</f>
        <v>0</v>
      </c>
      <c r="D284" s="24">
        <f>+'PROGRAMA DRENCH PASO 1'!AC43</f>
        <v>0</v>
      </c>
      <c r="E284" s="1"/>
      <c r="F284" s="1"/>
      <c r="G284" s="1"/>
      <c r="H284" s="5">
        <f t="shared" si="29"/>
        <v>0</v>
      </c>
      <c r="I284" s="1"/>
      <c r="J284" s="1"/>
      <c r="K284" s="11" t="e">
        <f>VLOOKUP(H284,'Inf Bloques'!$A$1:$J$453,10,FALSE)</f>
        <v>#N/A</v>
      </c>
      <c r="L284" s="13"/>
    </row>
    <row r="285" spans="1:12" hidden="1" x14ac:dyDescent="0.2">
      <c r="A285" s="1">
        <f>+'PROGRAMA DRENCH PASO 1'!AF43</f>
        <v>0</v>
      </c>
      <c r="B285" s="1"/>
      <c r="C285" s="1" t="str">
        <f>IFERROR((VLOOKUP($A285,'CODIGOS D'!$A$3:$S$451,2,FALSE)),"0")</f>
        <v>0</v>
      </c>
      <c r="D285" s="24">
        <f>+'PROGRAMA DRENCH PASO 1'!AG43</f>
        <v>0</v>
      </c>
      <c r="E285" s="1"/>
      <c r="F285" s="1"/>
      <c r="G285" s="1"/>
      <c r="H285" s="5">
        <f t="shared" si="29"/>
        <v>0</v>
      </c>
      <c r="I285" s="1"/>
      <c r="J285" s="1"/>
      <c r="K285" s="11" t="e">
        <f>VLOOKUP(H285,'Inf Bloques'!$A$1:$J$453,10,FALSE)</f>
        <v>#N/A</v>
      </c>
      <c r="L285" s="13"/>
    </row>
    <row r="286" spans="1:12" hidden="1" x14ac:dyDescent="0.2">
      <c r="A286" s="1">
        <f>+'PROGRAMA DRENCH PASO 1'!P44</f>
        <v>0</v>
      </c>
      <c r="B286" s="1"/>
      <c r="C286" s="1" t="str">
        <f>IFERROR((VLOOKUP($A286,'CODIGOS D'!$A$3:$S$451,2,FALSE)),"0")</f>
        <v>0</v>
      </c>
      <c r="D286" s="24">
        <f>+'PROGRAMA DRENCH PASO 1'!Q44</f>
        <v>0</v>
      </c>
      <c r="E286" s="1"/>
      <c r="F286" s="1"/>
      <c r="G286" s="1"/>
      <c r="H286" s="5">
        <f t="shared" si="29"/>
        <v>0</v>
      </c>
      <c r="I286" s="1"/>
      <c r="J286" s="1"/>
      <c r="K286" s="11" t="e">
        <f>VLOOKUP(H286,'Inf Bloques'!$A$1:$J$453,10,FALSE)</f>
        <v>#N/A</v>
      </c>
      <c r="L286" s="13"/>
    </row>
    <row r="287" spans="1:12" hidden="1" x14ac:dyDescent="0.2">
      <c r="A287" s="1">
        <f>+'PROGRAMA DRENCH PASO 1'!T44</f>
        <v>0</v>
      </c>
      <c r="B287" s="1"/>
      <c r="C287" s="1" t="str">
        <f>IFERROR((VLOOKUP($A287,'CODIGOS D'!$A$3:$S$451,2,FALSE)),"0")</f>
        <v>0</v>
      </c>
      <c r="D287" s="24">
        <f>+'PROGRAMA DRENCH PASO 1'!U44</f>
        <v>0</v>
      </c>
      <c r="E287" s="1"/>
      <c r="F287" s="1"/>
      <c r="G287" s="1"/>
      <c r="H287" s="5">
        <f t="shared" si="29"/>
        <v>0</v>
      </c>
      <c r="I287" s="1"/>
      <c r="J287" s="1"/>
      <c r="K287" s="11" t="e">
        <f>VLOOKUP(H287,'Inf Bloques'!$A$1:$J$453,10,FALSE)</f>
        <v>#N/A</v>
      </c>
      <c r="L287" s="13"/>
    </row>
    <row r="288" spans="1:12" hidden="1" x14ac:dyDescent="0.2">
      <c r="A288" s="1">
        <f>+'PROGRAMA DRENCH PASO 1'!X44</f>
        <v>0</v>
      </c>
      <c r="B288" s="1"/>
      <c r="C288" s="1" t="str">
        <f>IFERROR((VLOOKUP($A288,'CODIGOS D'!$A$3:$S$451,2,FALSE)),"0")</f>
        <v>0</v>
      </c>
      <c r="D288" s="24">
        <f>+'PROGRAMA DRENCH PASO 1'!Y44</f>
        <v>0</v>
      </c>
      <c r="E288" s="1"/>
      <c r="F288" s="1"/>
      <c r="G288" s="1"/>
      <c r="H288" s="5">
        <f t="shared" si="29"/>
        <v>0</v>
      </c>
      <c r="I288" s="1"/>
      <c r="J288" s="1"/>
      <c r="K288" s="11" t="e">
        <f>VLOOKUP(H288,'Inf Bloques'!$A$1:$J$453,10,FALSE)</f>
        <v>#N/A</v>
      </c>
      <c r="L288" s="13"/>
    </row>
    <row r="289" spans="1:12" hidden="1" x14ac:dyDescent="0.2">
      <c r="A289" s="1">
        <f>+'PROGRAMA DRENCH PASO 1'!AB44</f>
        <v>0</v>
      </c>
      <c r="B289" s="1"/>
      <c r="C289" s="1" t="str">
        <f>IFERROR((VLOOKUP($A289,'CODIGOS D'!$A$3:$S$451,2,FALSE)),"0")</f>
        <v>0</v>
      </c>
      <c r="D289" s="24">
        <f>+'PROGRAMA DRENCH PASO 1'!AC44</f>
        <v>0</v>
      </c>
      <c r="E289" s="1"/>
      <c r="F289" s="1"/>
      <c r="G289" s="1"/>
      <c r="H289" s="5">
        <f t="shared" si="29"/>
        <v>0</v>
      </c>
      <c r="I289" s="1"/>
      <c r="J289" s="1"/>
      <c r="K289" s="11" t="e">
        <f>VLOOKUP(H289,'Inf Bloques'!$A$1:$J$453,10,FALSE)</f>
        <v>#N/A</v>
      </c>
      <c r="L289" s="13"/>
    </row>
    <row r="290" spans="1:12" hidden="1" x14ac:dyDescent="0.2">
      <c r="A290" s="1">
        <f>+'PROGRAMA DRENCH PASO 1'!AF44</f>
        <v>0</v>
      </c>
      <c r="B290" s="1"/>
      <c r="C290" s="1" t="str">
        <f>IFERROR((VLOOKUP($A290,'CODIGOS D'!$A$3:$S$451,2,FALSE)),"0")</f>
        <v>0</v>
      </c>
      <c r="D290" s="24">
        <f>+'PROGRAMA DRENCH PASO 1'!AG44</f>
        <v>0</v>
      </c>
      <c r="E290" s="1"/>
      <c r="F290" s="1"/>
      <c r="G290" s="1"/>
      <c r="H290" s="5">
        <f t="shared" si="29"/>
        <v>0</v>
      </c>
      <c r="I290" s="1"/>
      <c r="J290" s="1"/>
      <c r="K290" s="11" t="e">
        <f>VLOOKUP(H290,'Inf Bloques'!$A$1:$J$453,10,FALSE)</f>
        <v>#N/A</v>
      </c>
      <c r="L290" s="13"/>
    </row>
    <row r="291" spans="1:12" hidden="1" x14ac:dyDescent="0.2">
      <c r="A291" s="1">
        <f>+'PROGRAMA DRENCH PASO 1'!P45</f>
        <v>0</v>
      </c>
      <c r="B291" s="1"/>
      <c r="C291" s="1" t="str">
        <f>IFERROR((VLOOKUP($A291,'CODIGOS D'!$A$3:$S$451,2,FALSE)),"0")</f>
        <v>0</v>
      </c>
      <c r="D291" s="24">
        <f>+'PROGRAMA DRENCH PASO 1'!Q45</f>
        <v>0</v>
      </c>
      <c r="E291" s="1"/>
      <c r="F291" s="1"/>
      <c r="G291" s="1"/>
      <c r="H291" s="5">
        <f t="shared" si="29"/>
        <v>0</v>
      </c>
      <c r="I291" s="1"/>
      <c r="J291" s="1"/>
      <c r="K291" s="11" t="e">
        <f>VLOOKUP(H291,'Inf Bloques'!$A$1:$J$453,10,FALSE)</f>
        <v>#N/A</v>
      </c>
      <c r="L291" s="13"/>
    </row>
    <row r="292" spans="1:12" hidden="1" x14ac:dyDescent="0.2">
      <c r="A292" s="1">
        <f>+'PROGRAMA DRENCH PASO 1'!T45</f>
        <v>0</v>
      </c>
      <c r="B292" s="1"/>
      <c r="C292" s="1" t="str">
        <f>IFERROR((VLOOKUP($A292,'CODIGOS D'!$A$3:$S$451,2,FALSE)),"0")</f>
        <v>0</v>
      </c>
      <c r="D292" s="24">
        <f>+'PROGRAMA DRENCH PASO 1'!U45</f>
        <v>0</v>
      </c>
      <c r="E292" s="1"/>
      <c r="F292" s="1"/>
      <c r="G292" s="1"/>
      <c r="H292" s="5">
        <f t="shared" si="29"/>
        <v>0</v>
      </c>
      <c r="I292" s="1"/>
      <c r="J292" s="1"/>
      <c r="K292" s="11" t="e">
        <f>VLOOKUP(H292,'Inf Bloques'!$A$1:$J$453,10,FALSE)</f>
        <v>#N/A</v>
      </c>
      <c r="L292" s="13"/>
    </row>
    <row r="293" spans="1:12" hidden="1" x14ac:dyDescent="0.2">
      <c r="A293" s="1">
        <f>+'PROGRAMA DRENCH PASO 1'!X45</f>
        <v>0</v>
      </c>
      <c r="B293" s="1"/>
      <c r="C293" s="1" t="str">
        <f>IFERROR((VLOOKUP($A293,'CODIGOS D'!$A$3:$S$451,2,FALSE)),"0")</f>
        <v>0</v>
      </c>
      <c r="D293" s="24">
        <f>+'PROGRAMA DRENCH PASO 1'!Y45</f>
        <v>0</v>
      </c>
      <c r="E293" s="1"/>
      <c r="F293" s="1"/>
      <c r="G293" s="1"/>
      <c r="H293" s="5">
        <f t="shared" si="29"/>
        <v>0</v>
      </c>
      <c r="I293" s="1"/>
      <c r="J293" s="1"/>
      <c r="K293" s="11" t="e">
        <f>VLOOKUP(H293,'Inf Bloques'!$A$1:$J$453,10,FALSE)</f>
        <v>#N/A</v>
      </c>
      <c r="L293" s="13"/>
    </row>
    <row r="294" spans="1:12" hidden="1" x14ac:dyDescent="0.2">
      <c r="A294" s="1">
        <f>+'PROGRAMA DRENCH PASO 1'!AB45</f>
        <v>0</v>
      </c>
      <c r="B294" s="1"/>
      <c r="C294" s="1" t="str">
        <f>IFERROR((VLOOKUP($A294,'CODIGOS D'!$A$3:$S$451,2,FALSE)),"0")</f>
        <v>0</v>
      </c>
      <c r="D294" s="24">
        <f>+'PROGRAMA DRENCH PASO 1'!AC45</f>
        <v>0</v>
      </c>
      <c r="E294" s="1"/>
      <c r="F294" s="1"/>
      <c r="G294" s="1"/>
      <c r="H294" s="5">
        <f t="shared" si="29"/>
        <v>0</v>
      </c>
      <c r="I294" s="1"/>
      <c r="J294" s="1"/>
      <c r="K294" s="11" t="e">
        <f>VLOOKUP(H294,'Inf Bloques'!$A$1:$J$453,10,FALSE)</f>
        <v>#N/A</v>
      </c>
      <c r="L294" s="13"/>
    </row>
    <row r="295" spans="1:12" hidden="1" x14ac:dyDescent="0.2">
      <c r="A295" s="1">
        <f>+'PROGRAMA DRENCH PASO 1'!AF45</f>
        <v>0</v>
      </c>
      <c r="B295" s="1"/>
      <c r="C295" s="1" t="str">
        <f>IFERROR((VLOOKUP($A295,'CODIGOS D'!$A$3:$S$451,2,FALSE)),"0")</f>
        <v>0</v>
      </c>
      <c r="D295" s="24">
        <f>+'PROGRAMA DRENCH PASO 1'!AG45</f>
        <v>0</v>
      </c>
      <c r="E295" s="1"/>
      <c r="F295" s="1"/>
      <c r="G295" s="1"/>
      <c r="H295" s="5">
        <f t="shared" si="29"/>
        <v>0</v>
      </c>
      <c r="I295" s="1"/>
      <c r="J295" s="1"/>
      <c r="K295" s="11" t="e">
        <f>VLOOKUP(H295,'Inf Bloques'!$A$1:$J$453,10,FALSE)</f>
        <v>#N/A</v>
      </c>
      <c r="L295" s="13"/>
    </row>
    <row r="296" spans="1:12" hidden="1" x14ac:dyDescent="0.2">
      <c r="A296" s="1">
        <f>+'PROGRAMA DRENCH PASO 1'!P46</f>
        <v>0</v>
      </c>
      <c r="B296" s="1"/>
      <c r="C296" s="1" t="str">
        <f>IFERROR((VLOOKUP($A296,'CODIGOS D'!$A$3:$S$451,2,FALSE)),"0")</f>
        <v>0</v>
      </c>
      <c r="D296" s="24">
        <f>+'PROGRAMA DRENCH PASO 1'!Q46</f>
        <v>0</v>
      </c>
      <c r="E296" s="1"/>
      <c r="F296" s="1"/>
      <c r="G296" s="1"/>
      <c r="H296" s="5">
        <f t="shared" ref="H296:H359" si="30">+H295</f>
        <v>0</v>
      </c>
      <c r="I296" s="1"/>
      <c r="J296" s="1"/>
      <c r="K296" s="11" t="e">
        <f>VLOOKUP(H296,'Inf Bloques'!$A$1:$J$453,10,FALSE)</f>
        <v>#N/A</v>
      </c>
      <c r="L296" s="13"/>
    </row>
    <row r="297" spans="1:12" hidden="1" x14ac:dyDescent="0.2">
      <c r="A297" s="1">
        <f>+'PROGRAMA DRENCH PASO 1'!T46</f>
        <v>0</v>
      </c>
      <c r="B297" s="1"/>
      <c r="C297" s="1" t="str">
        <f>IFERROR((VLOOKUP($A297,'CODIGOS D'!$A$3:$S$451,2,FALSE)),"0")</f>
        <v>0</v>
      </c>
      <c r="D297" s="24">
        <f>+'PROGRAMA DRENCH PASO 1'!U46</f>
        <v>0</v>
      </c>
      <c r="E297" s="1"/>
      <c r="F297" s="1"/>
      <c r="G297" s="1"/>
      <c r="H297" s="5">
        <f t="shared" si="30"/>
        <v>0</v>
      </c>
      <c r="I297" s="1"/>
      <c r="J297" s="1"/>
      <c r="K297" s="11" t="e">
        <f>VLOOKUP(H297,'Inf Bloques'!$A$1:$J$453,10,FALSE)</f>
        <v>#N/A</v>
      </c>
      <c r="L297" s="13"/>
    </row>
    <row r="298" spans="1:12" hidden="1" x14ac:dyDescent="0.2">
      <c r="A298" s="1">
        <f>+'PROGRAMA DRENCH PASO 1'!X46</f>
        <v>0</v>
      </c>
      <c r="B298" s="1"/>
      <c r="C298" s="1" t="str">
        <f>IFERROR((VLOOKUP($A298,'CODIGOS D'!$A$3:$S$451,2,FALSE)),"0")</f>
        <v>0</v>
      </c>
      <c r="D298" s="24">
        <f>+'PROGRAMA DRENCH PASO 1'!Y46</f>
        <v>0</v>
      </c>
      <c r="E298" s="1"/>
      <c r="F298" s="1"/>
      <c r="G298" s="1"/>
      <c r="H298" s="5">
        <f t="shared" si="30"/>
        <v>0</v>
      </c>
      <c r="I298" s="1"/>
      <c r="J298" s="1"/>
      <c r="K298" s="11" t="e">
        <f>VLOOKUP(H298,'Inf Bloques'!$A$1:$J$453,10,FALSE)</f>
        <v>#N/A</v>
      </c>
      <c r="L298" s="13"/>
    </row>
    <row r="299" spans="1:12" hidden="1" x14ac:dyDescent="0.2">
      <c r="A299" s="1">
        <f>+'PROGRAMA DRENCH PASO 1'!AB46</f>
        <v>0</v>
      </c>
      <c r="B299" s="1"/>
      <c r="C299" s="1" t="str">
        <f>IFERROR((VLOOKUP($A299,'CODIGOS D'!$A$3:$S$451,2,FALSE)),"0")</f>
        <v>0</v>
      </c>
      <c r="D299" s="24">
        <f>+'PROGRAMA DRENCH PASO 1'!AC46</f>
        <v>0</v>
      </c>
      <c r="E299" s="1"/>
      <c r="F299" s="1"/>
      <c r="G299" s="1"/>
      <c r="H299" s="5">
        <f t="shared" si="30"/>
        <v>0</v>
      </c>
      <c r="I299" s="1"/>
      <c r="J299" s="1"/>
      <c r="K299" s="11" t="e">
        <f>VLOOKUP(H299,'Inf Bloques'!$A$1:$J$453,10,FALSE)</f>
        <v>#N/A</v>
      </c>
      <c r="L299" s="13"/>
    </row>
    <row r="300" spans="1:12" hidden="1" x14ac:dyDescent="0.2">
      <c r="A300" s="1">
        <f>+'PROGRAMA DRENCH PASO 1'!AF46</f>
        <v>0</v>
      </c>
      <c r="B300" s="1"/>
      <c r="C300" s="1" t="str">
        <f>IFERROR((VLOOKUP($A300,'CODIGOS D'!$A$3:$S$451,2,FALSE)),"0")</f>
        <v>0</v>
      </c>
      <c r="D300" s="24">
        <f>+'PROGRAMA DRENCH PASO 1'!AG46</f>
        <v>0</v>
      </c>
      <c r="E300" s="1"/>
      <c r="F300" s="1"/>
      <c r="G300" s="1"/>
      <c r="H300" s="5">
        <f t="shared" si="30"/>
        <v>0</v>
      </c>
      <c r="I300" s="1"/>
      <c r="J300" s="1"/>
      <c r="K300" s="11" t="e">
        <f>VLOOKUP(H300,'Inf Bloques'!$A$1:$J$453,10,FALSE)</f>
        <v>#N/A</v>
      </c>
      <c r="L300" s="13"/>
    </row>
    <row r="301" spans="1:12" hidden="1" x14ac:dyDescent="0.2">
      <c r="A301" s="1">
        <f>+'PROGRAMA DRENCH PASO 1'!P47</f>
        <v>0</v>
      </c>
      <c r="B301" s="1"/>
      <c r="C301" s="1" t="str">
        <f>IFERROR((VLOOKUP($A301,'CODIGOS D'!$A$3:$S$451,2,FALSE)),"0")</f>
        <v>0</v>
      </c>
      <c r="D301" s="24">
        <f>+'PROGRAMA DRENCH PASO 1'!Q47</f>
        <v>0</v>
      </c>
      <c r="E301" s="1"/>
      <c r="F301" s="1"/>
      <c r="G301" s="1"/>
      <c r="H301" s="5">
        <f t="shared" si="30"/>
        <v>0</v>
      </c>
      <c r="I301" s="1"/>
      <c r="J301" s="1"/>
      <c r="K301" s="11" t="e">
        <f>VLOOKUP(H301,'Inf Bloques'!$A$1:$J$453,10,FALSE)</f>
        <v>#N/A</v>
      </c>
      <c r="L301" s="13"/>
    </row>
    <row r="302" spans="1:12" hidden="1" x14ac:dyDescent="0.2">
      <c r="A302" s="1">
        <f>+'PROGRAMA DRENCH PASO 1'!T47</f>
        <v>0</v>
      </c>
      <c r="B302" s="1"/>
      <c r="C302" s="1" t="str">
        <f>IFERROR((VLOOKUP($A302,'CODIGOS D'!$A$3:$S$451,2,FALSE)),"0")</f>
        <v>0</v>
      </c>
      <c r="D302" s="24">
        <f>+'PROGRAMA DRENCH PASO 1'!U47</f>
        <v>0</v>
      </c>
      <c r="E302" s="1"/>
      <c r="F302" s="1"/>
      <c r="G302" s="1"/>
      <c r="H302" s="5">
        <f t="shared" si="30"/>
        <v>0</v>
      </c>
      <c r="I302" s="1"/>
      <c r="J302" s="1"/>
      <c r="K302" s="11" t="e">
        <f>VLOOKUP(H302,'Inf Bloques'!$A$1:$J$453,10,FALSE)</f>
        <v>#N/A</v>
      </c>
      <c r="L302" s="13"/>
    </row>
    <row r="303" spans="1:12" hidden="1" x14ac:dyDescent="0.2">
      <c r="A303" s="1">
        <f>+'PROGRAMA DRENCH PASO 1'!X47</f>
        <v>0</v>
      </c>
      <c r="B303" s="1"/>
      <c r="C303" s="1" t="str">
        <f>IFERROR((VLOOKUP($A303,'CODIGOS D'!$A$3:$S$451,2,FALSE)),"0")</f>
        <v>0</v>
      </c>
      <c r="D303" s="24">
        <f>+'PROGRAMA DRENCH PASO 1'!Y47</f>
        <v>0</v>
      </c>
      <c r="E303" s="1"/>
      <c r="F303" s="1"/>
      <c r="G303" s="1"/>
      <c r="H303" s="5">
        <f t="shared" si="30"/>
        <v>0</v>
      </c>
      <c r="I303" s="1"/>
      <c r="J303" s="1"/>
      <c r="K303" s="11" t="e">
        <f>VLOOKUP(H303,'Inf Bloques'!$A$1:$J$453,10,FALSE)</f>
        <v>#N/A</v>
      </c>
      <c r="L303" s="13"/>
    </row>
    <row r="304" spans="1:12" hidden="1" x14ac:dyDescent="0.2">
      <c r="A304" s="1">
        <f>+'PROGRAMA DRENCH PASO 1'!AB47</f>
        <v>0</v>
      </c>
      <c r="B304" s="1"/>
      <c r="C304" s="1" t="str">
        <f>IFERROR((VLOOKUP($A304,'CODIGOS D'!$A$3:$S$451,2,FALSE)),"0")</f>
        <v>0</v>
      </c>
      <c r="D304" s="24">
        <f>+'PROGRAMA DRENCH PASO 1'!AC47</f>
        <v>0</v>
      </c>
      <c r="E304" s="1"/>
      <c r="F304" s="1"/>
      <c r="G304" s="1"/>
      <c r="H304" s="5">
        <f t="shared" si="30"/>
        <v>0</v>
      </c>
      <c r="I304" s="1"/>
      <c r="J304" s="1"/>
      <c r="K304" s="11" t="e">
        <f>VLOOKUP(H304,'Inf Bloques'!$A$1:$J$453,10,FALSE)</f>
        <v>#N/A</v>
      </c>
      <c r="L304" s="13"/>
    </row>
    <row r="305" spans="1:12" hidden="1" x14ac:dyDescent="0.2">
      <c r="A305" s="1">
        <f>+'PROGRAMA DRENCH PASO 1'!AF47</f>
        <v>0</v>
      </c>
      <c r="B305" s="1"/>
      <c r="C305" s="1" t="str">
        <f>IFERROR((VLOOKUP($A305,'CODIGOS D'!$A$3:$S$451,2,FALSE)),"0")</f>
        <v>0</v>
      </c>
      <c r="D305" s="24">
        <f>+'PROGRAMA DRENCH PASO 1'!AG47</f>
        <v>0</v>
      </c>
      <c r="E305" s="1"/>
      <c r="F305" s="1"/>
      <c r="G305" s="1"/>
      <c r="H305" s="5">
        <f t="shared" si="30"/>
        <v>0</v>
      </c>
      <c r="I305" s="1"/>
      <c r="J305" s="1"/>
      <c r="K305" s="11" t="e">
        <f>VLOOKUP(H305,'Inf Bloques'!$A$1:$J$453,10,FALSE)</f>
        <v>#N/A</v>
      </c>
      <c r="L305" s="13"/>
    </row>
    <row r="306" spans="1:12" hidden="1" x14ac:dyDescent="0.2">
      <c r="A306" s="1">
        <f>+'PROGRAMA DRENCH PASO 1'!P48</f>
        <v>0</v>
      </c>
      <c r="B306" s="1"/>
      <c r="C306" s="1" t="str">
        <f>IFERROR((VLOOKUP($A306,'CODIGOS D'!$A$3:$S$451,2,FALSE)),"0")</f>
        <v>0</v>
      </c>
      <c r="D306" s="24">
        <f>+'PROGRAMA DRENCH PASO 1'!Q48</f>
        <v>0</v>
      </c>
      <c r="E306" s="1"/>
      <c r="F306" s="1"/>
      <c r="G306" s="1"/>
      <c r="H306" s="5">
        <f t="shared" si="30"/>
        <v>0</v>
      </c>
      <c r="I306" s="1"/>
      <c r="J306" s="1"/>
      <c r="K306" s="11" t="e">
        <f>VLOOKUP(H306,'Inf Bloques'!$A$1:$J$453,10,FALSE)</f>
        <v>#N/A</v>
      </c>
      <c r="L306" s="13"/>
    </row>
    <row r="307" spans="1:12" hidden="1" x14ac:dyDescent="0.2">
      <c r="A307" s="1">
        <f>+'PROGRAMA DRENCH PASO 1'!T48</f>
        <v>0</v>
      </c>
      <c r="B307" s="1"/>
      <c r="C307" s="1" t="str">
        <f>IFERROR((VLOOKUP($A307,'CODIGOS D'!$A$3:$S$451,2,FALSE)),"0")</f>
        <v>0</v>
      </c>
      <c r="D307" s="24">
        <f>+'PROGRAMA DRENCH PASO 1'!U48</f>
        <v>0</v>
      </c>
      <c r="E307" s="1"/>
      <c r="F307" s="1"/>
      <c r="G307" s="1"/>
      <c r="H307" s="5">
        <f t="shared" si="30"/>
        <v>0</v>
      </c>
      <c r="I307" s="1"/>
      <c r="J307" s="1"/>
      <c r="K307" s="11" t="e">
        <f>VLOOKUP(H307,'Inf Bloques'!$A$1:$J$453,10,FALSE)</f>
        <v>#N/A</v>
      </c>
      <c r="L307" s="13"/>
    </row>
    <row r="308" spans="1:12" hidden="1" x14ac:dyDescent="0.2">
      <c r="A308" s="1">
        <f>+'PROGRAMA DRENCH PASO 1'!X48</f>
        <v>0</v>
      </c>
      <c r="B308" s="1"/>
      <c r="C308" s="1" t="str">
        <f>IFERROR((VLOOKUP($A308,'CODIGOS D'!$A$3:$S$451,2,FALSE)),"0")</f>
        <v>0</v>
      </c>
      <c r="D308" s="24">
        <f>+'PROGRAMA DRENCH PASO 1'!Y48</f>
        <v>0</v>
      </c>
      <c r="E308" s="1"/>
      <c r="F308" s="1"/>
      <c r="G308" s="1"/>
      <c r="H308" s="5">
        <f t="shared" si="30"/>
        <v>0</v>
      </c>
      <c r="I308" s="1"/>
      <c r="J308" s="1"/>
      <c r="K308" s="11" t="e">
        <f>VLOOKUP(H308,'Inf Bloques'!$A$1:$J$453,10,FALSE)</f>
        <v>#N/A</v>
      </c>
      <c r="L308" s="13"/>
    </row>
    <row r="309" spans="1:12" hidden="1" x14ac:dyDescent="0.2">
      <c r="A309" s="1">
        <f>+'PROGRAMA DRENCH PASO 1'!AB48</f>
        <v>0</v>
      </c>
      <c r="B309" s="1"/>
      <c r="C309" s="1" t="str">
        <f>IFERROR((VLOOKUP($A309,'CODIGOS D'!$A$3:$S$451,2,FALSE)),"0")</f>
        <v>0</v>
      </c>
      <c r="D309" s="24">
        <f>+'PROGRAMA DRENCH PASO 1'!AC48</f>
        <v>0</v>
      </c>
      <c r="E309" s="1"/>
      <c r="F309" s="1"/>
      <c r="G309" s="1"/>
      <c r="H309" s="5">
        <f t="shared" si="30"/>
        <v>0</v>
      </c>
      <c r="I309" s="1"/>
      <c r="J309" s="1"/>
      <c r="K309" s="11" t="e">
        <f>VLOOKUP(H309,'Inf Bloques'!$A$1:$J$453,10,FALSE)</f>
        <v>#N/A</v>
      </c>
      <c r="L309" s="13"/>
    </row>
    <row r="310" spans="1:12" hidden="1" x14ac:dyDescent="0.2">
      <c r="A310" s="1">
        <f>+'PROGRAMA DRENCH PASO 1'!AF48</f>
        <v>0</v>
      </c>
      <c r="B310" s="1"/>
      <c r="C310" s="1" t="str">
        <f>IFERROR((VLOOKUP($A310,'CODIGOS D'!$A$3:$S$451,2,FALSE)),"0")</f>
        <v>0</v>
      </c>
      <c r="D310" s="24">
        <f>+'PROGRAMA DRENCH PASO 1'!AG48</f>
        <v>0</v>
      </c>
      <c r="E310" s="1"/>
      <c r="F310" s="1"/>
      <c r="G310" s="1"/>
      <c r="H310" s="5">
        <f t="shared" si="30"/>
        <v>0</v>
      </c>
      <c r="I310" s="1"/>
      <c r="J310" s="1"/>
      <c r="K310" s="11" t="e">
        <f>VLOOKUP(H310,'Inf Bloques'!$A$1:$J$453,10,FALSE)</f>
        <v>#N/A</v>
      </c>
      <c r="L310" s="13"/>
    </row>
    <row r="311" spans="1:12" hidden="1" x14ac:dyDescent="0.2">
      <c r="A311" s="1">
        <f>+'PROGRAMA DRENCH PASO 1'!P49</f>
        <v>0</v>
      </c>
      <c r="B311" s="1"/>
      <c r="C311" s="1" t="str">
        <f>IFERROR((VLOOKUP($A311,'CODIGOS D'!$A$3:$S$451,2,FALSE)),"0")</f>
        <v>0</v>
      </c>
      <c r="D311" s="24">
        <f>+'PROGRAMA DRENCH PASO 1'!Q49</f>
        <v>0</v>
      </c>
      <c r="E311" s="1"/>
      <c r="F311" s="1"/>
      <c r="G311" s="1"/>
      <c r="H311" s="5">
        <f t="shared" si="30"/>
        <v>0</v>
      </c>
      <c r="I311" s="1"/>
      <c r="J311" s="1"/>
      <c r="K311" s="11" t="e">
        <f>VLOOKUP(H311,'Inf Bloques'!$A$1:$J$453,10,FALSE)</f>
        <v>#N/A</v>
      </c>
      <c r="L311" s="13"/>
    </row>
    <row r="312" spans="1:12" hidden="1" x14ac:dyDescent="0.2">
      <c r="A312" s="1">
        <f>+'PROGRAMA DRENCH PASO 1'!T49</f>
        <v>0</v>
      </c>
      <c r="B312" s="1"/>
      <c r="C312" s="1" t="str">
        <f>IFERROR((VLOOKUP($A312,'CODIGOS D'!$A$3:$S$451,2,FALSE)),"0")</f>
        <v>0</v>
      </c>
      <c r="D312" s="24">
        <f>+'PROGRAMA DRENCH PASO 1'!U49</f>
        <v>0</v>
      </c>
      <c r="E312" s="1"/>
      <c r="F312" s="1"/>
      <c r="G312" s="1"/>
      <c r="H312" s="5">
        <f t="shared" si="30"/>
        <v>0</v>
      </c>
      <c r="I312" s="1"/>
      <c r="J312" s="1"/>
      <c r="K312" s="11" t="e">
        <f>VLOOKUP(H312,'Inf Bloques'!$A$1:$J$453,10,FALSE)</f>
        <v>#N/A</v>
      </c>
      <c r="L312" s="13"/>
    </row>
    <row r="313" spans="1:12" hidden="1" x14ac:dyDescent="0.2">
      <c r="A313" s="1">
        <f>+'PROGRAMA DRENCH PASO 1'!X49</f>
        <v>0</v>
      </c>
      <c r="B313" s="1"/>
      <c r="C313" s="1" t="str">
        <f>IFERROR((VLOOKUP($A313,'CODIGOS D'!$A$3:$S$451,2,FALSE)),"0")</f>
        <v>0</v>
      </c>
      <c r="D313" s="24">
        <f>+'PROGRAMA DRENCH PASO 1'!Y49</f>
        <v>0</v>
      </c>
      <c r="E313" s="1"/>
      <c r="F313" s="1"/>
      <c r="G313" s="1"/>
      <c r="H313" s="5">
        <f t="shared" si="30"/>
        <v>0</v>
      </c>
      <c r="I313" s="1"/>
      <c r="J313" s="1"/>
      <c r="K313" s="11" t="e">
        <f>VLOOKUP(H313,'Inf Bloques'!$A$1:$J$453,10,FALSE)</f>
        <v>#N/A</v>
      </c>
      <c r="L313" s="13"/>
    </row>
    <row r="314" spans="1:12" hidden="1" x14ac:dyDescent="0.2">
      <c r="A314" s="1">
        <f>+'PROGRAMA DRENCH PASO 1'!AB49</f>
        <v>0</v>
      </c>
      <c r="B314" s="1"/>
      <c r="C314" s="1" t="str">
        <f>IFERROR((VLOOKUP($A314,'CODIGOS D'!$A$3:$S$451,2,FALSE)),"0")</f>
        <v>0</v>
      </c>
      <c r="D314" s="24">
        <f>+'PROGRAMA DRENCH PASO 1'!AC49</f>
        <v>0</v>
      </c>
      <c r="E314" s="1"/>
      <c r="F314" s="1"/>
      <c r="G314" s="1"/>
      <c r="H314" s="5">
        <f t="shared" si="30"/>
        <v>0</v>
      </c>
      <c r="I314" s="1"/>
      <c r="J314" s="1"/>
      <c r="K314" s="11" t="e">
        <f>VLOOKUP(H314,'Inf Bloques'!$A$1:$J$453,10,FALSE)</f>
        <v>#N/A</v>
      </c>
      <c r="L314" s="13"/>
    </row>
    <row r="315" spans="1:12" hidden="1" x14ac:dyDescent="0.2">
      <c r="A315" s="1">
        <f>+'PROGRAMA DRENCH PASO 1'!AF49</f>
        <v>0</v>
      </c>
      <c r="B315" s="1"/>
      <c r="C315" s="1" t="str">
        <f>IFERROR((VLOOKUP($A315,'CODIGOS D'!$A$3:$S$451,2,FALSE)),"0")</f>
        <v>0</v>
      </c>
      <c r="D315" s="24">
        <f>+'PROGRAMA DRENCH PASO 1'!AG49</f>
        <v>0</v>
      </c>
      <c r="E315" s="1"/>
      <c r="F315" s="1"/>
      <c r="G315" s="1"/>
      <c r="H315" s="5">
        <f t="shared" si="30"/>
        <v>0</v>
      </c>
      <c r="I315" s="1"/>
      <c r="J315" s="1"/>
      <c r="K315" s="11" t="e">
        <f>VLOOKUP(H315,'Inf Bloques'!$A$1:$J$453,10,FALSE)</f>
        <v>#N/A</v>
      </c>
      <c r="L315" s="13"/>
    </row>
    <row r="316" spans="1:12" hidden="1" x14ac:dyDescent="0.2">
      <c r="A316" s="1">
        <f>+'PROGRAMA DRENCH PASO 1'!P50</f>
        <v>0</v>
      </c>
      <c r="B316" s="1"/>
      <c r="C316" s="1" t="str">
        <f>IFERROR((VLOOKUP($A316,'CODIGOS D'!$A$3:$S$451,2,FALSE)),"0")</f>
        <v>0</v>
      </c>
      <c r="D316" s="24">
        <f>+'PROGRAMA DRENCH PASO 1'!Q50</f>
        <v>0</v>
      </c>
      <c r="E316" s="1"/>
      <c r="F316" s="1"/>
      <c r="G316" s="1"/>
      <c r="H316" s="5">
        <f t="shared" si="30"/>
        <v>0</v>
      </c>
      <c r="I316" s="1"/>
      <c r="J316" s="1"/>
      <c r="K316" s="11" t="e">
        <f>VLOOKUP(H316,'Inf Bloques'!$A$1:$J$453,10,FALSE)</f>
        <v>#N/A</v>
      </c>
      <c r="L316" s="13"/>
    </row>
    <row r="317" spans="1:12" hidden="1" x14ac:dyDescent="0.2">
      <c r="A317" s="1">
        <f>+'PROGRAMA DRENCH PASO 1'!T50</f>
        <v>0</v>
      </c>
      <c r="B317" s="1"/>
      <c r="C317" s="1" t="str">
        <f>IFERROR((VLOOKUP($A317,'CODIGOS D'!$A$3:$S$451,2,FALSE)),"0")</f>
        <v>0</v>
      </c>
      <c r="D317" s="24">
        <f>+'PROGRAMA DRENCH PASO 1'!U50</f>
        <v>0</v>
      </c>
      <c r="E317" s="1"/>
      <c r="F317" s="1"/>
      <c r="G317" s="1"/>
      <c r="H317" s="5">
        <f t="shared" si="30"/>
        <v>0</v>
      </c>
      <c r="I317" s="1"/>
      <c r="J317" s="1"/>
      <c r="K317" s="11" t="e">
        <f>VLOOKUP(H317,'Inf Bloques'!$A$1:$J$453,10,FALSE)</f>
        <v>#N/A</v>
      </c>
      <c r="L317" s="13"/>
    </row>
    <row r="318" spans="1:12" hidden="1" x14ac:dyDescent="0.2">
      <c r="A318" s="1">
        <f>+'PROGRAMA DRENCH PASO 1'!X50</f>
        <v>0</v>
      </c>
      <c r="B318" s="1"/>
      <c r="C318" s="1" t="str">
        <f>IFERROR((VLOOKUP($A318,'CODIGOS D'!$A$3:$S$451,2,FALSE)),"0")</f>
        <v>0</v>
      </c>
      <c r="D318" s="24">
        <f>+'PROGRAMA DRENCH PASO 1'!Y50</f>
        <v>0</v>
      </c>
      <c r="E318" s="1"/>
      <c r="F318" s="1"/>
      <c r="G318" s="1"/>
      <c r="H318" s="5">
        <f t="shared" si="30"/>
        <v>0</v>
      </c>
      <c r="I318" s="1"/>
      <c r="J318" s="1"/>
      <c r="K318" s="11" t="e">
        <f>VLOOKUP(H318,'Inf Bloques'!$A$1:$J$453,10,FALSE)</f>
        <v>#N/A</v>
      </c>
      <c r="L318" s="13"/>
    </row>
    <row r="319" spans="1:12" hidden="1" x14ac:dyDescent="0.2">
      <c r="A319" s="1">
        <f>+'PROGRAMA DRENCH PASO 1'!AB50</f>
        <v>0</v>
      </c>
      <c r="B319" s="1"/>
      <c r="C319" s="1" t="str">
        <f>IFERROR((VLOOKUP($A319,'CODIGOS D'!$A$3:$S$451,2,FALSE)),"0")</f>
        <v>0</v>
      </c>
      <c r="D319" s="24">
        <f>+'PROGRAMA DRENCH PASO 1'!AC50</f>
        <v>0</v>
      </c>
      <c r="E319" s="1"/>
      <c r="F319" s="1"/>
      <c r="G319" s="1"/>
      <c r="H319" s="5">
        <f t="shared" si="30"/>
        <v>0</v>
      </c>
      <c r="I319" s="1"/>
      <c r="J319" s="1"/>
      <c r="K319" s="11" t="e">
        <f>VLOOKUP(H319,'Inf Bloques'!$A$1:$J$453,10,FALSE)</f>
        <v>#N/A</v>
      </c>
      <c r="L319" s="13"/>
    </row>
    <row r="320" spans="1:12" hidden="1" x14ac:dyDescent="0.2">
      <c r="A320" s="1">
        <f>+'PROGRAMA DRENCH PASO 1'!AF50</f>
        <v>0</v>
      </c>
      <c r="B320" s="1"/>
      <c r="C320" s="1" t="str">
        <f>IFERROR((VLOOKUP($A320,'CODIGOS D'!$A$3:$S$451,2,FALSE)),"0")</f>
        <v>0</v>
      </c>
      <c r="D320" s="24">
        <f>+'PROGRAMA DRENCH PASO 1'!AG50</f>
        <v>0</v>
      </c>
      <c r="E320" s="1"/>
      <c r="F320" s="1"/>
      <c r="G320" s="1"/>
      <c r="H320" s="5">
        <f t="shared" si="30"/>
        <v>0</v>
      </c>
      <c r="I320" s="1"/>
      <c r="J320" s="1"/>
      <c r="K320" s="11" t="e">
        <f>VLOOKUP(H320,'Inf Bloques'!$A$1:$J$453,10,FALSE)</f>
        <v>#N/A</v>
      </c>
      <c r="L320" s="13"/>
    </row>
    <row r="321" spans="1:12" hidden="1" x14ac:dyDescent="0.2">
      <c r="A321" s="1">
        <f>+'PROGRAMA DRENCH PASO 1'!P51</f>
        <v>0</v>
      </c>
      <c r="B321" s="1"/>
      <c r="C321" s="1" t="str">
        <f>IFERROR((VLOOKUP($A321,'CODIGOS D'!$A$3:$S$451,2,FALSE)),"0")</f>
        <v>0</v>
      </c>
      <c r="D321" s="24">
        <f>+'PROGRAMA DRENCH PASO 1'!Q51</f>
        <v>0</v>
      </c>
      <c r="E321" s="1"/>
      <c r="F321" s="1"/>
      <c r="G321" s="1"/>
      <c r="H321" s="5">
        <f t="shared" si="30"/>
        <v>0</v>
      </c>
      <c r="I321" s="1"/>
      <c r="J321" s="1"/>
      <c r="K321" s="11" t="e">
        <f>VLOOKUP(H321,'Inf Bloques'!$A$1:$J$453,10,FALSE)</f>
        <v>#N/A</v>
      </c>
      <c r="L321" s="13"/>
    </row>
    <row r="322" spans="1:12" hidden="1" x14ac:dyDescent="0.2">
      <c r="A322" s="1">
        <f>+'PROGRAMA DRENCH PASO 1'!T51</f>
        <v>0</v>
      </c>
      <c r="B322" s="1"/>
      <c r="C322" s="1" t="str">
        <f>IFERROR((VLOOKUP($A322,'CODIGOS D'!$A$3:$S$451,2,FALSE)),"0")</f>
        <v>0</v>
      </c>
      <c r="D322" s="24">
        <f>+'PROGRAMA DRENCH PASO 1'!U51</f>
        <v>0</v>
      </c>
      <c r="E322" s="1"/>
      <c r="F322" s="1"/>
      <c r="G322" s="1"/>
      <c r="H322" s="5">
        <f t="shared" si="30"/>
        <v>0</v>
      </c>
      <c r="I322" s="1"/>
      <c r="J322" s="1"/>
      <c r="K322" s="11" t="e">
        <f>VLOOKUP(H322,'Inf Bloques'!$A$1:$J$453,10,FALSE)</f>
        <v>#N/A</v>
      </c>
      <c r="L322" s="13"/>
    </row>
    <row r="323" spans="1:12" hidden="1" x14ac:dyDescent="0.2">
      <c r="A323" s="1">
        <f>+'PROGRAMA DRENCH PASO 1'!X51</f>
        <v>0</v>
      </c>
      <c r="B323" s="1"/>
      <c r="C323" s="1" t="str">
        <f>IFERROR((VLOOKUP($A323,'CODIGOS D'!$A$3:$S$451,2,FALSE)),"0")</f>
        <v>0</v>
      </c>
      <c r="D323" s="24">
        <f>+'PROGRAMA DRENCH PASO 1'!Y51</f>
        <v>0</v>
      </c>
      <c r="E323" s="1"/>
      <c r="F323" s="1"/>
      <c r="G323" s="1"/>
      <c r="H323" s="5">
        <f t="shared" si="30"/>
        <v>0</v>
      </c>
      <c r="I323" s="1"/>
      <c r="J323" s="1"/>
      <c r="K323" s="11" t="e">
        <f>VLOOKUP(H323,'Inf Bloques'!$A$1:$J$453,10,FALSE)</f>
        <v>#N/A</v>
      </c>
      <c r="L323" s="13"/>
    </row>
    <row r="324" spans="1:12" hidden="1" x14ac:dyDescent="0.2">
      <c r="A324" s="1">
        <f>+'PROGRAMA DRENCH PASO 1'!AB51</f>
        <v>0</v>
      </c>
      <c r="B324" s="1"/>
      <c r="C324" s="1" t="str">
        <f>IFERROR((VLOOKUP($A324,'CODIGOS D'!$A$3:$S$451,2,FALSE)),"0")</f>
        <v>0</v>
      </c>
      <c r="D324" s="24">
        <f>+'PROGRAMA DRENCH PASO 1'!AC51</f>
        <v>0</v>
      </c>
      <c r="E324" s="1"/>
      <c r="F324" s="1"/>
      <c r="G324" s="1"/>
      <c r="H324" s="5">
        <f t="shared" si="30"/>
        <v>0</v>
      </c>
      <c r="I324" s="1"/>
      <c r="J324" s="1"/>
      <c r="K324" s="11" t="e">
        <f>VLOOKUP(H324,'Inf Bloques'!$A$1:$J$453,10,FALSE)</f>
        <v>#N/A</v>
      </c>
      <c r="L324" s="13"/>
    </row>
    <row r="325" spans="1:12" hidden="1" x14ac:dyDescent="0.2">
      <c r="A325" s="1">
        <f>+'PROGRAMA DRENCH PASO 1'!AF51</f>
        <v>0</v>
      </c>
      <c r="B325" s="1"/>
      <c r="C325" s="1" t="str">
        <f>IFERROR((VLOOKUP($A325,'CODIGOS D'!$A$3:$S$451,2,FALSE)),"0")</f>
        <v>0</v>
      </c>
      <c r="D325" s="24">
        <f>+'PROGRAMA DRENCH PASO 1'!AG51</f>
        <v>0</v>
      </c>
      <c r="E325" s="1"/>
      <c r="F325" s="1"/>
      <c r="G325" s="1"/>
      <c r="H325" s="5">
        <f t="shared" si="30"/>
        <v>0</v>
      </c>
      <c r="I325" s="1"/>
      <c r="J325" s="1"/>
      <c r="K325" s="11" t="e">
        <f>VLOOKUP(H325,'Inf Bloques'!$A$1:$J$453,10,FALSE)</f>
        <v>#N/A</v>
      </c>
      <c r="L325" s="13"/>
    </row>
    <row r="326" spans="1:12" hidden="1" x14ac:dyDescent="0.2">
      <c r="A326" s="1">
        <f>+'PROGRAMA DRENCH PASO 1'!P52</f>
        <v>0</v>
      </c>
      <c r="B326" s="1"/>
      <c r="C326" s="1" t="str">
        <f>IFERROR((VLOOKUP($A326,'CODIGOS D'!$A$3:$S$451,2,FALSE)),"0")</f>
        <v>0</v>
      </c>
      <c r="D326" s="24">
        <f>+'PROGRAMA DRENCH PASO 1'!Q52</f>
        <v>0</v>
      </c>
      <c r="E326" s="1"/>
      <c r="F326" s="1"/>
      <c r="G326" s="1"/>
      <c r="H326" s="5">
        <f t="shared" si="30"/>
        <v>0</v>
      </c>
      <c r="I326" s="1"/>
      <c r="J326" s="1"/>
      <c r="K326" s="11" t="e">
        <f>VLOOKUP(H326,'Inf Bloques'!$A$1:$J$453,10,FALSE)</f>
        <v>#N/A</v>
      </c>
      <c r="L326" s="13"/>
    </row>
    <row r="327" spans="1:12" hidden="1" x14ac:dyDescent="0.2">
      <c r="A327" s="1">
        <f>+'PROGRAMA DRENCH PASO 1'!T52</f>
        <v>0</v>
      </c>
      <c r="B327" s="1"/>
      <c r="C327" s="1" t="str">
        <f>IFERROR((VLOOKUP($A327,'CODIGOS D'!$A$3:$S$451,2,FALSE)),"0")</f>
        <v>0</v>
      </c>
      <c r="D327" s="24">
        <f>+'PROGRAMA DRENCH PASO 1'!U52</f>
        <v>0</v>
      </c>
      <c r="E327" s="1"/>
      <c r="F327" s="1"/>
      <c r="G327" s="1"/>
      <c r="H327" s="5">
        <f t="shared" si="30"/>
        <v>0</v>
      </c>
      <c r="I327" s="1"/>
      <c r="J327" s="1"/>
      <c r="K327" s="11" t="e">
        <f>VLOOKUP(H327,'Inf Bloques'!$A$1:$J$453,10,FALSE)</f>
        <v>#N/A</v>
      </c>
      <c r="L327" s="13"/>
    </row>
    <row r="328" spans="1:12" hidden="1" x14ac:dyDescent="0.2">
      <c r="A328" s="1">
        <f>+'PROGRAMA DRENCH PASO 1'!X52</f>
        <v>0</v>
      </c>
      <c r="B328" s="1"/>
      <c r="C328" s="1" t="str">
        <f>IFERROR((VLOOKUP($A328,'CODIGOS D'!$A$3:$S$451,2,FALSE)),"0")</f>
        <v>0</v>
      </c>
      <c r="D328" s="24">
        <f>+'PROGRAMA DRENCH PASO 1'!Y52</f>
        <v>0</v>
      </c>
      <c r="E328" s="1"/>
      <c r="F328" s="1"/>
      <c r="G328" s="1"/>
      <c r="H328" s="5">
        <f t="shared" si="30"/>
        <v>0</v>
      </c>
      <c r="I328" s="1"/>
      <c r="J328" s="1"/>
      <c r="K328" s="11" t="e">
        <f>VLOOKUP(H328,'Inf Bloques'!$A$1:$J$453,10,FALSE)</f>
        <v>#N/A</v>
      </c>
      <c r="L328" s="13"/>
    </row>
    <row r="329" spans="1:12" hidden="1" x14ac:dyDescent="0.2">
      <c r="A329" s="1">
        <f>+'PROGRAMA DRENCH PASO 1'!AB52</f>
        <v>0</v>
      </c>
      <c r="B329" s="1"/>
      <c r="C329" s="1" t="str">
        <f>IFERROR((VLOOKUP($A329,'CODIGOS D'!$A$3:$S$451,2,FALSE)),"0")</f>
        <v>0</v>
      </c>
      <c r="D329" s="24">
        <f>+'PROGRAMA DRENCH PASO 1'!AC52</f>
        <v>0</v>
      </c>
      <c r="E329" s="1"/>
      <c r="F329" s="1"/>
      <c r="G329" s="1"/>
      <c r="H329" s="5">
        <f t="shared" si="30"/>
        <v>0</v>
      </c>
      <c r="I329" s="1"/>
      <c r="J329" s="1"/>
      <c r="K329" s="11" t="e">
        <f>VLOOKUP(H329,'Inf Bloques'!$A$1:$J$453,10,FALSE)</f>
        <v>#N/A</v>
      </c>
      <c r="L329" s="13"/>
    </row>
    <row r="330" spans="1:12" hidden="1" x14ac:dyDescent="0.2">
      <c r="A330" s="1">
        <f>+'PROGRAMA DRENCH PASO 1'!AF52</f>
        <v>0</v>
      </c>
      <c r="B330" s="1"/>
      <c r="C330" s="1" t="str">
        <f>IFERROR((VLOOKUP($A330,'CODIGOS D'!$A$3:$S$451,2,FALSE)),"0")</f>
        <v>0</v>
      </c>
      <c r="D330" s="24">
        <f>+'PROGRAMA DRENCH PASO 1'!AG52</f>
        <v>0</v>
      </c>
      <c r="E330" s="1"/>
      <c r="F330" s="1"/>
      <c r="G330" s="1"/>
      <c r="H330" s="5">
        <f t="shared" si="30"/>
        <v>0</v>
      </c>
      <c r="I330" s="1"/>
      <c r="J330" s="1"/>
      <c r="K330" s="11" t="e">
        <f>VLOOKUP(H330,'Inf Bloques'!$A$1:$J$453,10,FALSE)</f>
        <v>#N/A</v>
      </c>
      <c r="L330" s="13"/>
    </row>
    <row r="331" spans="1:12" hidden="1" x14ac:dyDescent="0.2">
      <c r="A331" s="1">
        <f>+'PROGRAMA DRENCH PASO 1'!P53</f>
        <v>0</v>
      </c>
      <c r="B331" s="1"/>
      <c r="C331" s="1" t="str">
        <f>IFERROR((VLOOKUP($A331,'CODIGOS D'!$A$3:$S$451,2,FALSE)),"0")</f>
        <v>0</v>
      </c>
      <c r="D331" s="24">
        <f>+'PROGRAMA DRENCH PASO 1'!Q53</f>
        <v>0</v>
      </c>
      <c r="E331" s="1"/>
      <c r="F331" s="1"/>
      <c r="G331" s="1"/>
      <c r="H331" s="5">
        <f t="shared" si="30"/>
        <v>0</v>
      </c>
      <c r="I331" s="1"/>
      <c r="J331" s="1"/>
      <c r="K331" s="11" t="e">
        <f>VLOOKUP(H331,'Inf Bloques'!$A$1:$J$453,10,FALSE)</f>
        <v>#N/A</v>
      </c>
      <c r="L331" s="13"/>
    </row>
    <row r="332" spans="1:12" hidden="1" x14ac:dyDescent="0.2">
      <c r="A332" s="1">
        <f>+'PROGRAMA DRENCH PASO 1'!T53</f>
        <v>0</v>
      </c>
      <c r="B332" s="1"/>
      <c r="C332" s="1" t="str">
        <f>IFERROR((VLOOKUP($A332,'CODIGOS D'!$A$3:$S$451,2,FALSE)),"0")</f>
        <v>0</v>
      </c>
      <c r="D332" s="24">
        <f>+'PROGRAMA DRENCH PASO 1'!U53</f>
        <v>0</v>
      </c>
      <c r="E332" s="1"/>
      <c r="F332" s="1"/>
      <c r="G332" s="1"/>
      <c r="H332" s="5">
        <f t="shared" si="30"/>
        <v>0</v>
      </c>
      <c r="I332" s="1"/>
      <c r="J332" s="1"/>
      <c r="K332" s="11" t="e">
        <f>VLOOKUP(H332,'Inf Bloques'!$A$1:$J$453,10,FALSE)</f>
        <v>#N/A</v>
      </c>
      <c r="L332" s="13"/>
    </row>
    <row r="333" spans="1:12" hidden="1" x14ac:dyDescent="0.2">
      <c r="A333" s="1">
        <f>+'PROGRAMA DRENCH PASO 1'!X53</f>
        <v>0</v>
      </c>
      <c r="B333" s="1"/>
      <c r="C333" s="1" t="str">
        <f>IFERROR((VLOOKUP($A333,'CODIGOS D'!$A$3:$S$451,2,FALSE)),"0")</f>
        <v>0</v>
      </c>
      <c r="D333" s="24">
        <f>+'PROGRAMA DRENCH PASO 1'!Y53</f>
        <v>0</v>
      </c>
      <c r="E333" s="1"/>
      <c r="F333" s="1"/>
      <c r="G333" s="1"/>
      <c r="H333" s="5">
        <f t="shared" si="30"/>
        <v>0</v>
      </c>
      <c r="I333" s="1"/>
      <c r="J333" s="1"/>
      <c r="K333" s="11" t="e">
        <f>VLOOKUP(H333,'Inf Bloques'!$A$1:$J$453,10,FALSE)</f>
        <v>#N/A</v>
      </c>
      <c r="L333" s="13"/>
    </row>
    <row r="334" spans="1:12" hidden="1" x14ac:dyDescent="0.2">
      <c r="A334" s="1">
        <f>+'PROGRAMA DRENCH PASO 1'!AB53</f>
        <v>0</v>
      </c>
      <c r="B334" s="1"/>
      <c r="C334" s="1" t="str">
        <f>IFERROR((VLOOKUP($A334,'CODIGOS D'!$A$3:$S$451,2,FALSE)),"0")</f>
        <v>0</v>
      </c>
      <c r="D334" s="24">
        <f>+'PROGRAMA DRENCH PASO 1'!AC53</f>
        <v>0</v>
      </c>
      <c r="E334" s="1"/>
      <c r="F334" s="1"/>
      <c r="G334" s="1"/>
      <c r="H334" s="5">
        <f t="shared" si="30"/>
        <v>0</v>
      </c>
      <c r="I334" s="1"/>
      <c r="J334" s="1"/>
      <c r="K334" s="11" t="e">
        <f>VLOOKUP(H334,'Inf Bloques'!$A$1:$J$453,10,FALSE)</f>
        <v>#N/A</v>
      </c>
      <c r="L334" s="13"/>
    </row>
    <row r="335" spans="1:12" hidden="1" x14ac:dyDescent="0.2">
      <c r="A335" s="1">
        <f>+'PROGRAMA DRENCH PASO 1'!AF53</f>
        <v>0</v>
      </c>
      <c r="B335" s="1"/>
      <c r="C335" s="1" t="str">
        <f>IFERROR((VLOOKUP($A335,'CODIGOS D'!$A$3:$S$451,2,FALSE)),"0")</f>
        <v>0</v>
      </c>
      <c r="D335" s="24">
        <f>+'PROGRAMA DRENCH PASO 1'!AG53</f>
        <v>0</v>
      </c>
      <c r="E335" s="1"/>
      <c r="F335" s="1"/>
      <c r="G335" s="1"/>
      <c r="H335" s="5">
        <f t="shared" si="30"/>
        <v>0</v>
      </c>
      <c r="I335" s="1"/>
      <c r="J335" s="1"/>
      <c r="K335" s="11" t="e">
        <f>VLOOKUP(H335,'Inf Bloques'!$A$1:$J$453,10,FALSE)</f>
        <v>#N/A</v>
      </c>
      <c r="L335" s="13"/>
    </row>
    <row r="336" spans="1:12" hidden="1" x14ac:dyDescent="0.2">
      <c r="A336" s="1">
        <f>+'PROGRAMA DRENCH PASO 1'!P54</f>
        <v>0</v>
      </c>
      <c r="B336" s="1"/>
      <c r="C336" s="1" t="str">
        <f>IFERROR((VLOOKUP($A336,'CODIGOS D'!$A$3:$S$451,2,FALSE)),"0")</f>
        <v>0</v>
      </c>
      <c r="D336" s="24">
        <f>+'PROGRAMA DRENCH PASO 1'!Q54</f>
        <v>0</v>
      </c>
      <c r="E336" s="1"/>
      <c r="F336" s="1"/>
      <c r="G336" s="1"/>
      <c r="H336" s="5">
        <f t="shared" si="30"/>
        <v>0</v>
      </c>
      <c r="I336" s="1"/>
      <c r="J336" s="1"/>
      <c r="K336" s="11" t="e">
        <f>VLOOKUP(H336,'Inf Bloques'!$A$1:$J$453,10,FALSE)</f>
        <v>#N/A</v>
      </c>
      <c r="L336" s="13"/>
    </row>
    <row r="337" spans="1:12" hidden="1" x14ac:dyDescent="0.2">
      <c r="A337" s="1">
        <f>+'PROGRAMA DRENCH PASO 1'!T54</f>
        <v>0</v>
      </c>
      <c r="B337" s="1"/>
      <c r="C337" s="1" t="str">
        <f>IFERROR((VLOOKUP($A337,'CODIGOS D'!$A$3:$S$451,2,FALSE)),"0")</f>
        <v>0</v>
      </c>
      <c r="D337" s="24">
        <f>+'PROGRAMA DRENCH PASO 1'!U54</f>
        <v>0</v>
      </c>
      <c r="E337" s="1"/>
      <c r="F337" s="1"/>
      <c r="G337" s="1"/>
      <c r="H337" s="5">
        <f t="shared" si="30"/>
        <v>0</v>
      </c>
      <c r="I337" s="1"/>
      <c r="J337" s="1"/>
      <c r="K337" s="11" t="e">
        <f>VLOOKUP(H337,'Inf Bloques'!$A$1:$J$453,10,FALSE)</f>
        <v>#N/A</v>
      </c>
      <c r="L337" s="13"/>
    </row>
    <row r="338" spans="1:12" hidden="1" x14ac:dyDescent="0.2">
      <c r="A338" s="1">
        <f>+'PROGRAMA DRENCH PASO 1'!X54</f>
        <v>0</v>
      </c>
      <c r="B338" s="1"/>
      <c r="C338" s="1" t="str">
        <f>IFERROR((VLOOKUP($A338,'CODIGOS D'!$A$3:$S$451,2,FALSE)),"0")</f>
        <v>0</v>
      </c>
      <c r="D338" s="24">
        <f>+'PROGRAMA DRENCH PASO 1'!Y54</f>
        <v>0</v>
      </c>
      <c r="E338" s="1"/>
      <c r="F338" s="1"/>
      <c r="G338" s="1"/>
      <c r="H338" s="5">
        <f t="shared" si="30"/>
        <v>0</v>
      </c>
      <c r="I338" s="1"/>
      <c r="J338" s="1"/>
      <c r="K338" s="11" t="e">
        <f>VLOOKUP(H338,'Inf Bloques'!$A$1:$J$453,10,FALSE)</f>
        <v>#N/A</v>
      </c>
      <c r="L338" s="13"/>
    </row>
    <row r="339" spans="1:12" hidden="1" x14ac:dyDescent="0.2">
      <c r="A339" s="1">
        <f>+'PROGRAMA DRENCH PASO 1'!AB54</f>
        <v>0</v>
      </c>
      <c r="B339" s="1"/>
      <c r="C339" s="1" t="str">
        <f>IFERROR((VLOOKUP($A339,'CODIGOS D'!$A$3:$S$451,2,FALSE)),"0")</f>
        <v>0</v>
      </c>
      <c r="D339" s="24">
        <f>+'PROGRAMA DRENCH PASO 1'!AC54</f>
        <v>0</v>
      </c>
      <c r="E339" s="1"/>
      <c r="F339" s="1"/>
      <c r="G339" s="1"/>
      <c r="H339" s="5">
        <f t="shared" si="30"/>
        <v>0</v>
      </c>
      <c r="I339" s="1"/>
      <c r="J339" s="1"/>
      <c r="K339" s="11" t="e">
        <f>VLOOKUP(H339,'Inf Bloques'!$A$1:$J$453,10,FALSE)</f>
        <v>#N/A</v>
      </c>
      <c r="L339" s="13"/>
    </row>
    <row r="340" spans="1:12" hidden="1" x14ac:dyDescent="0.2">
      <c r="A340" s="1">
        <f>+'PROGRAMA DRENCH PASO 1'!AF54</f>
        <v>0</v>
      </c>
      <c r="B340" s="1"/>
      <c r="C340" s="1" t="str">
        <f>IFERROR((VLOOKUP($A340,'CODIGOS D'!$A$3:$S$451,2,FALSE)),"0")</f>
        <v>0</v>
      </c>
      <c r="D340" s="24">
        <f>+'PROGRAMA DRENCH PASO 1'!AG54</f>
        <v>0</v>
      </c>
      <c r="E340" s="1"/>
      <c r="F340" s="1"/>
      <c r="G340" s="1"/>
      <c r="H340" s="5">
        <f t="shared" si="30"/>
        <v>0</v>
      </c>
      <c r="I340" s="1"/>
      <c r="J340" s="1"/>
      <c r="K340" s="11" t="e">
        <f>VLOOKUP(H340,'Inf Bloques'!$A$1:$J$453,10,FALSE)</f>
        <v>#N/A</v>
      </c>
      <c r="L340" s="13"/>
    </row>
    <row r="341" spans="1:12" hidden="1" x14ac:dyDescent="0.2">
      <c r="A341" s="1">
        <f>+'PROGRAMA DRENCH PASO 1'!P55</f>
        <v>0</v>
      </c>
      <c r="B341" s="1"/>
      <c r="C341" s="1" t="str">
        <f>IFERROR((VLOOKUP($A341,'CODIGOS D'!$A$3:$S$451,2,FALSE)),"0")</f>
        <v>0</v>
      </c>
      <c r="D341" s="24">
        <f>+'PROGRAMA DRENCH PASO 1'!Q55</f>
        <v>0</v>
      </c>
      <c r="E341" s="1"/>
      <c r="F341" s="1"/>
      <c r="G341" s="1"/>
      <c r="H341" s="5">
        <f t="shared" si="30"/>
        <v>0</v>
      </c>
      <c r="I341" s="1"/>
      <c r="J341" s="1"/>
      <c r="K341" s="11" t="e">
        <f>VLOOKUP(H341,'Inf Bloques'!$A$1:$J$453,10,FALSE)</f>
        <v>#N/A</v>
      </c>
      <c r="L341" s="13"/>
    </row>
    <row r="342" spans="1:12" hidden="1" x14ac:dyDescent="0.2">
      <c r="A342" s="1">
        <f>+'PROGRAMA DRENCH PASO 1'!T55</f>
        <v>0</v>
      </c>
      <c r="B342" s="1"/>
      <c r="C342" s="1" t="str">
        <f>IFERROR((VLOOKUP($A342,'CODIGOS D'!$A$3:$S$451,2,FALSE)),"0")</f>
        <v>0</v>
      </c>
      <c r="D342" s="24">
        <f>+'PROGRAMA DRENCH PASO 1'!U55</f>
        <v>0</v>
      </c>
      <c r="E342" s="1"/>
      <c r="F342" s="1"/>
      <c r="G342" s="1"/>
      <c r="H342" s="5">
        <f t="shared" si="30"/>
        <v>0</v>
      </c>
      <c r="I342" s="1"/>
      <c r="J342" s="1"/>
      <c r="K342" s="11" t="e">
        <f>VLOOKUP(H342,'Inf Bloques'!$A$1:$J$453,10,FALSE)</f>
        <v>#N/A</v>
      </c>
      <c r="L342" s="13"/>
    </row>
    <row r="343" spans="1:12" hidden="1" x14ac:dyDescent="0.2">
      <c r="A343" s="1">
        <f>+'PROGRAMA DRENCH PASO 1'!X55</f>
        <v>0</v>
      </c>
      <c r="B343" s="1"/>
      <c r="C343" s="1" t="str">
        <f>IFERROR((VLOOKUP($A343,'CODIGOS D'!$A$3:$S$451,2,FALSE)),"0")</f>
        <v>0</v>
      </c>
      <c r="D343" s="24">
        <f>+'PROGRAMA DRENCH PASO 1'!Y55</f>
        <v>0</v>
      </c>
      <c r="E343" s="1"/>
      <c r="F343" s="1"/>
      <c r="G343" s="1"/>
      <c r="H343" s="5">
        <f t="shared" si="30"/>
        <v>0</v>
      </c>
      <c r="I343" s="1"/>
      <c r="J343" s="1"/>
      <c r="K343" s="11" t="e">
        <f>VLOOKUP(H343,'Inf Bloques'!$A$1:$J$453,10,FALSE)</f>
        <v>#N/A</v>
      </c>
      <c r="L343" s="13"/>
    </row>
    <row r="344" spans="1:12" hidden="1" x14ac:dyDescent="0.2">
      <c r="A344" s="1">
        <f>+'PROGRAMA DRENCH PASO 1'!AB55</f>
        <v>0</v>
      </c>
      <c r="B344" s="1"/>
      <c r="C344" s="1" t="str">
        <f>IFERROR((VLOOKUP($A344,'CODIGOS D'!$A$3:$S$451,2,FALSE)),"0")</f>
        <v>0</v>
      </c>
      <c r="D344" s="24">
        <f>+'PROGRAMA DRENCH PASO 1'!AC55</f>
        <v>0</v>
      </c>
      <c r="E344" s="1"/>
      <c r="F344" s="1"/>
      <c r="G344" s="1"/>
      <c r="H344" s="5">
        <f t="shared" si="30"/>
        <v>0</v>
      </c>
      <c r="I344" s="1"/>
      <c r="J344" s="1"/>
      <c r="K344" s="11" t="e">
        <f>VLOOKUP(H344,'Inf Bloques'!$A$1:$J$453,10,FALSE)</f>
        <v>#N/A</v>
      </c>
      <c r="L344" s="13"/>
    </row>
    <row r="345" spans="1:12" hidden="1" x14ac:dyDescent="0.2">
      <c r="A345" s="1">
        <f>+'PROGRAMA DRENCH PASO 1'!AF55</f>
        <v>0</v>
      </c>
      <c r="B345" s="1"/>
      <c r="C345" s="1" t="str">
        <f>IFERROR((VLOOKUP($A345,'CODIGOS D'!$A$3:$S$451,2,FALSE)),"0")</f>
        <v>0</v>
      </c>
      <c r="D345" s="24">
        <f>+'PROGRAMA DRENCH PASO 1'!AG55</f>
        <v>0</v>
      </c>
      <c r="E345" s="1"/>
      <c r="F345" s="1"/>
      <c r="G345" s="1"/>
      <c r="H345" s="5">
        <f t="shared" si="30"/>
        <v>0</v>
      </c>
      <c r="I345" s="1"/>
      <c r="J345" s="1"/>
      <c r="K345" s="11" t="e">
        <f>VLOOKUP(H345,'Inf Bloques'!$A$1:$J$453,10,FALSE)</f>
        <v>#N/A</v>
      </c>
      <c r="L345" s="13"/>
    </row>
    <row r="346" spans="1:12" hidden="1" x14ac:dyDescent="0.2">
      <c r="A346" s="1">
        <f>+'PROGRAMA DRENCH PASO 1'!P56</f>
        <v>0</v>
      </c>
      <c r="B346" s="1"/>
      <c r="C346" s="1" t="str">
        <f>IFERROR((VLOOKUP($A346,'CODIGOS D'!$A$3:$S$451,2,FALSE)),"0")</f>
        <v>0</v>
      </c>
      <c r="D346" s="24">
        <f>+'PROGRAMA DRENCH PASO 1'!Q56</f>
        <v>0</v>
      </c>
      <c r="E346" s="1"/>
      <c r="F346" s="1"/>
      <c r="G346" s="1"/>
      <c r="H346" s="5">
        <f t="shared" si="30"/>
        <v>0</v>
      </c>
      <c r="I346" s="1"/>
      <c r="J346" s="1"/>
      <c r="K346" s="11" t="e">
        <f>VLOOKUP(H346,'Inf Bloques'!$A$1:$J$453,10,FALSE)</f>
        <v>#N/A</v>
      </c>
      <c r="L346" s="13"/>
    </row>
    <row r="347" spans="1:12" hidden="1" x14ac:dyDescent="0.2">
      <c r="A347" s="1">
        <f>+'PROGRAMA DRENCH PASO 1'!T56</f>
        <v>0</v>
      </c>
      <c r="B347" s="1"/>
      <c r="C347" s="1" t="str">
        <f>IFERROR((VLOOKUP($A347,'CODIGOS D'!$A$3:$S$451,2,FALSE)),"0")</f>
        <v>0</v>
      </c>
      <c r="D347" s="24">
        <f>+'PROGRAMA DRENCH PASO 1'!U56</f>
        <v>0</v>
      </c>
      <c r="E347" s="1"/>
      <c r="F347" s="1"/>
      <c r="G347" s="1"/>
      <c r="H347" s="5">
        <f t="shared" si="30"/>
        <v>0</v>
      </c>
      <c r="I347" s="1"/>
      <c r="J347" s="1"/>
      <c r="K347" s="11" t="e">
        <f>VLOOKUP(H347,'Inf Bloques'!$A$1:$J$453,10,FALSE)</f>
        <v>#N/A</v>
      </c>
      <c r="L347" s="13"/>
    </row>
    <row r="348" spans="1:12" hidden="1" x14ac:dyDescent="0.2">
      <c r="A348" s="1">
        <f>+'PROGRAMA DRENCH PASO 1'!X56</f>
        <v>0</v>
      </c>
      <c r="B348" s="1"/>
      <c r="C348" s="1" t="str">
        <f>IFERROR((VLOOKUP($A348,'CODIGOS D'!$A$3:$S$451,2,FALSE)),"0")</f>
        <v>0</v>
      </c>
      <c r="D348" s="24">
        <f>+'PROGRAMA DRENCH PASO 1'!Y56</f>
        <v>0</v>
      </c>
      <c r="E348" s="1"/>
      <c r="F348" s="1"/>
      <c r="G348" s="1"/>
      <c r="H348" s="5">
        <f t="shared" si="30"/>
        <v>0</v>
      </c>
      <c r="I348" s="1"/>
      <c r="J348" s="1"/>
      <c r="K348" s="11" t="e">
        <f>VLOOKUP(H348,'Inf Bloques'!$A$1:$J$453,10,FALSE)</f>
        <v>#N/A</v>
      </c>
      <c r="L348" s="13"/>
    </row>
    <row r="349" spans="1:12" hidden="1" x14ac:dyDescent="0.2">
      <c r="A349" s="1">
        <f>+'PROGRAMA DRENCH PASO 1'!AB56</f>
        <v>0</v>
      </c>
      <c r="B349" s="1"/>
      <c r="C349" s="1" t="str">
        <f>IFERROR((VLOOKUP($A349,'CODIGOS D'!$A$3:$S$451,2,FALSE)),"0")</f>
        <v>0</v>
      </c>
      <c r="D349" s="24">
        <f>+'PROGRAMA DRENCH PASO 1'!AC56</f>
        <v>0</v>
      </c>
      <c r="E349" s="1"/>
      <c r="F349" s="1"/>
      <c r="G349" s="1"/>
      <c r="H349" s="5">
        <f t="shared" si="30"/>
        <v>0</v>
      </c>
      <c r="I349" s="1"/>
      <c r="J349" s="1"/>
      <c r="K349" s="11" t="e">
        <f>VLOOKUP(H349,'Inf Bloques'!$A$1:$J$453,10,FALSE)</f>
        <v>#N/A</v>
      </c>
      <c r="L349" s="13"/>
    </row>
    <row r="350" spans="1:12" hidden="1" x14ac:dyDescent="0.2">
      <c r="A350" s="1">
        <f>+'PROGRAMA DRENCH PASO 1'!AF56</f>
        <v>0</v>
      </c>
      <c r="B350" s="1"/>
      <c r="C350" s="1" t="str">
        <f>IFERROR((VLOOKUP($A350,'CODIGOS D'!$A$3:$S$451,2,FALSE)),"0")</f>
        <v>0</v>
      </c>
      <c r="D350" s="24">
        <f>+'PROGRAMA DRENCH PASO 1'!AG56</f>
        <v>0</v>
      </c>
      <c r="E350" s="1"/>
      <c r="F350" s="1"/>
      <c r="G350" s="1"/>
      <c r="H350" s="5">
        <f t="shared" si="30"/>
        <v>0</v>
      </c>
      <c r="I350" s="1"/>
      <c r="J350" s="1"/>
      <c r="K350" s="11" t="e">
        <f>VLOOKUP(H350,'Inf Bloques'!$A$1:$J$453,10,FALSE)</f>
        <v>#N/A</v>
      </c>
      <c r="L350" s="13"/>
    </row>
    <row r="351" spans="1:12" hidden="1" x14ac:dyDescent="0.2">
      <c r="A351" s="1">
        <f>+'PROGRAMA DRENCH PASO 1'!P57</f>
        <v>0</v>
      </c>
      <c r="B351" s="1"/>
      <c r="C351" s="1" t="str">
        <f>IFERROR((VLOOKUP($A351,'CODIGOS D'!$A$3:$S$451,2,FALSE)),"0")</f>
        <v>0</v>
      </c>
      <c r="D351" s="24">
        <f>+'PROGRAMA DRENCH PASO 1'!Q57</f>
        <v>0</v>
      </c>
      <c r="E351" s="1"/>
      <c r="F351" s="1"/>
      <c r="G351" s="1"/>
      <c r="H351" s="5">
        <f t="shared" si="30"/>
        <v>0</v>
      </c>
      <c r="I351" s="1"/>
      <c r="J351" s="1"/>
      <c r="K351" s="11" t="e">
        <f>VLOOKUP(H351,'Inf Bloques'!$A$1:$J$453,10,FALSE)</f>
        <v>#N/A</v>
      </c>
      <c r="L351" s="13"/>
    </row>
    <row r="352" spans="1:12" hidden="1" x14ac:dyDescent="0.2">
      <c r="A352" s="1">
        <f>+'PROGRAMA DRENCH PASO 1'!T57</f>
        <v>0</v>
      </c>
      <c r="B352" s="1"/>
      <c r="C352" s="1" t="str">
        <f>IFERROR((VLOOKUP($A352,'CODIGOS D'!$A$3:$S$451,2,FALSE)),"0")</f>
        <v>0</v>
      </c>
      <c r="D352" s="24">
        <f>+'PROGRAMA DRENCH PASO 1'!U57</f>
        <v>0</v>
      </c>
      <c r="E352" s="1"/>
      <c r="F352" s="1"/>
      <c r="G352" s="1"/>
      <c r="H352" s="5">
        <f t="shared" si="30"/>
        <v>0</v>
      </c>
      <c r="I352" s="1"/>
      <c r="J352" s="1"/>
      <c r="K352" s="11" t="e">
        <f>VLOOKUP(H352,'Inf Bloques'!$A$1:$J$453,10,FALSE)</f>
        <v>#N/A</v>
      </c>
      <c r="L352" s="13"/>
    </row>
    <row r="353" spans="1:12" hidden="1" x14ac:dyDescent="0.2">
      <c r="A353" s="1">
        <f>+'PROGRAMA DRENCH PASO 1'!X57</f>
        <v>0</v>
      </c>
      <c r="B353" s="1"/>
      <c r="C353" s="1" t="str">
        <f>IFERROR((VLOOKUP($A353,'CODIGOS D'!$A$3:$S$451,2,FALSE)),"0")</f>
        <v>0</v>
      </c>
      <c r="D353" s="24">
        <f>+'PROGRAMA DRENCH PASO 1'!Y57</f>
        <v>0</v>
      </c>
      <c r="E353" s="1"/>
      <c r="F353" s="1"/>
      <c r="G353" s="1"/>
      <c r="H353" s="5">
        <f t="shared" si="30"/>
        <v>0</v>
      </c>
      <c r="I353" s="1"/>
      <c r="J353" s="1"/>
      <c r="K353" s="11" t="e">
        <f>VLOOKUP(H353,'Inf Bloques'!$A$1:$J$453,10,FALSE)</f>
        <v>#N/A</v>
      </c>
      <c r="L353" s="13"/>
    </row>
    <row r="354" spans="1:12" hidden="1" x14ac:dyDescent="0.2">
      <c r="A354" s="1">
        <f>+'PROGRAMA DRENCH PASO 1'!AB57</f>
        <v>0</v>
      </c>
      <c r="B354" s="1"/>
      <c r="C354" s="1" t="str">
        <f>IFERROR((VLOOKUP($A354,'CODIGOS D'!$A$3:$S$451,2,FALSE)),"0")</f>
        <v>0</v>
      </c>
      <c r="D354" s="24">
        <f>+'PROGRAMA DRENCH PASO 1'!AC57</f>
        <v>0</v>
      </c>
      <c r="E354" s="1"/>
      <c r="F354" s="1"/>
      <c r="G354" s="1"/>
      <c r="H354" s="5">
        <f t="shared" si="30"/>
        <v>0</v>
      </c>
      <c r="I354" s="1"/>
      <c r="J354" s="1"/>
      <c r="K354" s="11" t="e">
        <f>VLOOKUP(H354,'Inf Bloques'!$A$1:$J$453,10,FALSE)</f>
        <v>#N/A</v>
      </c>
      <c r="L354" s="13"/>
    </row>
    <row r="355" spans="1:12" hidden="1" x14ac:dyDescent="0.2">
      <c r="A355" s="1">
        <f>+'PROGRAMA DRENCH PASO 1'!AF57</f>
        <v>0</v>
      </c>
      <c r="B355" s="1"/>
      <c r="C355" s="1" t="str">
        <f>IFERROR((VLOOKUP($A355,'CODIGOS D'!$A$3:$S$451,2,FALSE)),"0")</f>
        <v>0</v>
      </c>
      <c r="D355" s="24">
        <f>+'PROGRAMA DRENCH PASO 1'!AG57</f>
        <v>0</v>
      </c>
      <c r="E355" s="1"/>
      <c r="F355" s="1"/>
      <c r="G355" s="1"/>
      <c r="H355" s="5">
        <f t="shared" si="30"/>
        <v>0</v>
      </c>
      <c r="I355" s="1"/>
      <c r="J355" s="1"/>
      <c r="K355" s="11" t="e">
        <f>VLOOKUP(H355,'Inf Bloques'!$A$1:$J$453,10,FALSE)</f>
        <v>#N/A</v>
      </c>
      <c r="L355" s="13"/>
    </row>
    <row r="356" spans="1:12" hidden="1" x14ac:dyDescent="0.2">
      <c r="A356" s="1">
        <f>+'PROGRAMA DRENCH PASO 1'!P58</f>
        <v>0</v>
      </c>
      <c r="B356" s="1"/>
      <c r="C356" s="1" t="str">
        <f>IFERROR((VLOOKUP($A356,'CODIGOS D'!$A$3:$S$451,2,FALSE)),"0")</f>
        <v>0</v>
      </c>
      <c r="D356" s="24">
        <f>+'PROGRAMA DRENCH PASO 1'!Q58</f>
        <v>0</v>
      </c>
      <c r="E356" s="1"/>
      <c r="F356" s="1"/>
      <c r="G356" s="1"/>
      <c r="H356" s="5">
        <f t="shared" si="30"/>
        <v>0</v>
      </c>
      <c r="I356" s="1"/>
      <c r="J356" s="1"/>
      <c r="K356" s="11" t="e">
        <f>VLOOKUP(H356,'Inf Bloques'!$A$1:$J$453,10,FALSE)</f>
        <v>#N/A</v>
      </c>
      <c r="L356" s="13"/>
    </row>
    <row r="357" spans="1:12" hidden="1" x14ac:dyDescent="0.2">
      <c r="A357" s="1">
        <f>+'PROGRAMA DRENCH PASO 1'!T58</f>
        <v>0</v>
      </c>
      <c r="B357" s="1"/>
      <c r="C357" s="1" t="str">
        <f>IFERROR((VLOOKUP($A357,'CODIGOS D'!$A$3:$S$451,2,FALSE)),"0")</f>
        <v>0</v>
      </c>
      <c r="D357" s="24">
        <f>+'PROGRAMA DRENCH PASO 1'!U58</f>
        <v>0</v>
      </c>
      <c r="E357" s="1"/>
      <c r="F357" s="1"/>
      <c r="G357" s="1"/>
      <c r="H357" s="5">
        <f t="shared" si="30"/>
        <v>0</v>
      </c>
      <c r="I357" s="1"/>
      <c r="J357" s="1"/>
      <c r="K357" s="11" t="e">
        <f>VLOOKUP(H357,'Inf Bloques'!$A$1:$J$453,10,FALSE)</f>
        <v>#N/A</v>
      </c>
      <c r="L357" s="13"/>
    </row>
    <row r="358" spans="1:12" hidden="1" x14ac:dyDescent="0.2">
      <c r="A358" s="1">
        <f>+'PROGRAMA DRENCH PASO 1'!X58</f>
        <v>0</v>
      </c>
      <c r="B358" s="1"/>
      <c r="C358" s="1" t="str">
        <f>IFERROR((VLOOKUP($A358,'CODIGOS D'!$A$3:$S$451,2,FALSE)),"0")</f>
        <v>0</v>
      </c>
      <c r="D358" s="24">
        <f>+'PROGRAMA DRENCH PASO 1'!Y58</f>
        <v>0</v>
      </c>
      <c r="E358" s="1"/>
      <c r="F358" s="1"/>
      <c r="G358" s="1"/>
      <c r="H358" s="5">
        <f t="shared" si="30"/>
        <v>0</v>
      </c>
      <c r="I358" s="1"/>
      <c r="J358" s="1"/>
      <c r="K358" s="11" t="e">
        <f>VLOOKUP(H358,'Inf Bloques'!$A$1:$J$453,10,FALSE)</f>
        <v>#N/A</v>
      </c>
      <c r="L358" s="13"/>
    </row>
    <row r="359" spans="1:12" hidden="1" x14ac:dyDescent="0.2">
      <c r="A359" s="1">
        <f>+'PROGRAMA DRENCH PASO 1'!AB58</f>
        <v>0</v>
      </c>
      <c r="B359" s="1"/>
      <c r="C359" s="1" t="str">
        <f>IFERROR((VLOOKUP($A359,'CODIGOS D'!$A$3:$S$451,2,FALSE)),"0")</f>
        <v>0</v>
      </c>
      <c r="D359" s="24">
        <f>+'PROGRAMA DRENCH PASO 1'!AC58</f>
        <v>0</v>
      </c>
      <c r="E359" s="1"/>
      <c r="F359" s="1"/>
      <c r="G359" s="1"/>
      <c r="H359" s="5">
        <f t="shared" si="30"/>
        <v>0</v>
      </c>
      <c r="I359" s="1"/>
      <c r="J359" s="1"/>
      <c r="K359" s="11" t="e">
        <f>VLOOKUP(H359,'Inf Bloques'!$A$1:$J$453,10,FALSE)</f>
        <v>#N/A</v>
      </c>
      <c r="L359" s="13"/>
    </row>
    <row r="360" spans="1:12" hidden="1" x14ac:dyDescent="0.2">
      <c r="A360" s="1">
        <f>+'PROGRAMA DRENCH PASO 1'!AF58</f>
        <v>0</v>
      </c>
      <c r="B360" s="1"/>
      <c r="C360" s="1" t="str">
        <f>IFERROR((VLOOKUP($A360,'CODIGOS D'!$A$3:$S$451,2,FALSE)),"0")</f>
        <v>0</v>
      </c>
      <c r="D360" s="24">
        <f>+'PROGRAMA DRENCH PASO 1'!AG58</f>
        <v>0</v>
      </c>
      <c r="E360" s="1"/>
      <c r="F360" s="1"/>
      <c r="G360" s="1"/>
      <c r="H360" s="5">
        <f t="shared" ref="H360:H423" si="31">+H359</f>
        <v>0</v>
      </c>
      <c r="I360" s="1"/>
      <c r="J360" s="1"/>
      <c r="K360" s="11" t="e">
        <f>VLOOKUP(H360,'Inf Bloques'!$A$1:$J$453,10,FALSE)</f>
        <v>#N/A</v>
      </c>
      <c r="L360" s="13"/>
    </row>
    <row r="361" spans="1:12" hidden="1" x14ac:dyDescent="0.2">
      <c r="A361" s="1">
        <f>+'PROGRAMA DRENCH PASO 1'!P59</f>
        <v>0</v>
      </c>
      <c r="B361" s="1"/>
      <c r="C361" s="1" t="str">
        <f>IFERROR((VLOOKUP($A361,'CODIGOS D'!$A$3:$S$451,2,FALSE)),"0")</f>
        <v>0</v>
      </c>
      <c r="D361" s="24">
        <f>+'PROGRAMA DRENCH PASO 1'!Q59</f>
        <v>0</v>
      </c>
      <c r="E361" s="1"/>
      <c r="F361" s="1"/>
      <c r="G361" s="1"/>
      <c r="H361" s="5">
        <f t="shared" si="31"/>
        <v>0</v>
      </c>
      <c r="I361" s="1"/>
      <c r="J361" s="1"/>
      <c r="K361" s="11" t="e">
        <f>VLOOKUP(H361,'Inf Bloques'!$A$1:$J$453,10,FALSE)</f>
        <v>#N/A</v>
      </c>
      <c r="L361" s="13"/>
    </row>
    <row r="362" spans="1:12" hidden="1" x14ac:dyDescent="0.2">
      <c r="A362" s="1">
        <f>+'PROGRAMA DRENCH PASO 1'!T59</f>
        <v>0</v>
      </c>
      <c r="B362" s="1"/>
      <c r="C362" s="1" t="str">
        <f>IFERROR((VLOOKUP($A362,'CODIGOS D'!$A$3:$S$451,2,FALSE)),"0")</f>
        <v>0</v>
      </c>
      <c r="D362" s="24">
        <f>+'PROGRAMA DRENCH PASO 1'!U59</f>
        <v>0</v>
      </c>
      <c r="E362" s="1"/>
      <c r="F362" s="1"/>
      <c r="G362" s="1"/>
      <c r="H362" s="5">
        <f t="shared" si="31"/>
        <v>0</v>
      </c>
      <c r="I362" s="1"/>
      <c r="J362" s="1"/>
      <c r="K362" s="11" t="e">
        <f>VLOOKUP(H362,'Inf Bloques'!$A$1:$J$453,10,FALSE)</f>
        <v>#N/A</v>
      </c>
      <c r="L362" s="13"/>
    </row>
    <row r="363" spans="1:12" hidden="1" x14ac:dyDescent="0.2">
      <c r="A363" s="1">
        <f>+'PROGRAMA DRENCH PASO 1'!X59</f>
        <v>0</v>
      </c>
      <c r="B363" s="1"/>
      <c r="C363" s="1" t="str">
        <f>IFERROR((VLOOKUP($A363,'CODIGOS D'!$A$3:$S$451,2,FALSE)),"0")</f>
        <v>0</v>
      </c>
      <c r="D363" s="24">
        <f>+'PROGRAMA DRENCH PASO 1'!Y59</f>
        <v>0</v>
      </c>
      <c r="E363" s="1"/>
      <c r="F363" s="1"/>
      <c r="G363" s="1"/>
      <c r="H363" s="5">
        <f t="shared" si="31"/>
        <v>0</v>
      </c>
      <c r="I363" s="1"/>
      <c r="J363" s="1"/>
      <c r="K363" s="11" t="e">
        <f>VLOOKUP(H363,'Inf Bloques'!$A$1:$J$453,10,FALSE)</f>
        <v>#N/A</v>
      </c>
      <c r="L363" s="13"/>
    </row>
    <row r="364" spans="1:12" hidden="1" x14ac:dyDescent="0.2">
      <c r="A364" s="1">
        <f>+'PROGRAMA DRENCH PASO 1'!AB59</f>
        <v>0</v>
      </c>
      <c r="B364" s="1"/>
      <c r="C364" s="1" t="str">
        <f>IFERROR((VLOOKUP($A364,'CODIGOS D'!$A$3:$S$451,2,FALSE)),"0")</f>
        <v>0</v>
      </c>
      <c r="D364" s="24">
        <f>+'PROGRAMA DRENCH PASO 1'!AC59</f>
        <v>0</v>
      </c>
      <c r="E364" s="1"/>
      <c r="F364" s="1"/>
      <c r="G364" s="1"/>
      <c r="H364" s="5">
        <f t="shared" si="31"/>
        <v>0</v>
      </c>
      <c r="I364" s="1"/>
      <c r="J364" s="1"/>
      <c r="K364" s="11" t="e">
        <f>VLOOKUP(H364,'Inf Bloques'!$A$1:$J$453,10,FALSE)</f>
        <v>#N/A</v>
      </c>
      <c r="L364" s="13"/>
    </row>
    <row r="365" spans="1:12" hidden="1" x14ac:dyDescent="0.2">
      <c r="A365" s="1">
        <f>+'PROGRAMA DRENCH PASO 1'!AF59</f>
        <v>0</v>
      </c>
      <c r="B365" s="1"/>
      <c r="C365" s="1" t="str">
        <f>IFERROR((VLOOKUP($A365,'CODIGOS D'!$A$3:$S$451,2,FALSE)),"0")</f>
        <v>0</v>
      </c>
      <c r="D365" s="24">
        <f>+'PROGRAMA DRENCH PASO 1'!AG59</f>
        <v>0</v>
      </c>
      <c r="E365" s="1"/>
      <c r="F365" s="1"/>
      <c r="G365" s="1"/>
      <c r="H365" s="5">
        <f t="shared" si="31"/>
        <v>0</v>
      </c>
      <c r="I365" s="1"/>
      <c r="J365" s="1"/>
      <c r="K365" s="11" t="e">
        <f>VLOOKUP(H365,'Inf Bloques'!$A$1:$J$453,10,FALSE)</f>
        <v>#N/A</v>
      </c>
      <c r="L365" s="13"/>
    </row>
    <row r="366" spans="1:12" hidden="1" x14ac:dyDescent="0.2">
      <c r="A366" s="1">
        <f>+'PROGRAMA DRENCH PASO 1'!P60</f>
        <v>0</v>
      </c>
      <c r="B366" s="1"/>
      <c r="C366" s="1" t="str">
        <f>IFERROR((VLOOKUP($A366,'CODIGOS D'!$A$3:$S$451,2,FALSE)),"0")</f>
        <v>0</v>
      </c>
      <c r="D366" s="24">
        <f>+'PROGRAMA DRENCH PASO 1'!Q60</f>
        <v>0</v>
      </c>
      <c r="E366" s="1"/>
      <c r="F366" s="1"/>
      <c r="G366" s="1"/>
      <c r="H366" s="5">
        <f t="shared" si="31"/>
        <v>0</v>
      </c>
      <c r="I366" s="1"/>
      <c r="J366" s="1"/>
      <c r="K366" s="11" t="e">
        <f>VLOOKUP(H366,'Inf Bloques'!$A$1:$J$453,10,FALSE)</f>
        <v>#N/A</v>
      </c>
      <c r="L366" s="13"/>
    </row>
    <row r="367" spans="1:12" hidden="1" x14ac:dyDescent="0.2">
      <c r="A367" s="1">
        <f>+'PROGRAMA DRENCH PASO 1'!T60</f>
        <v>0</v>
      </c>
      <c r="B367" s="1"/>
      <c r="C367" s="1" t="str">
        <f>IFERROR((VLOOKUP($A367,'CODIGOS D'!$A$3:$S$451,2,FALSE)),"0")</f>
        <v>0</v>
      </c>
      <c r="D367" s="24">
        <f>+'PROGRAMA DRENCH PASO 1'!U60</f>
        <v>0</v>
      </c>
      <c r="E367" s="1"/>
      <c r="F367" s="1"/>
      <c r="G367" s="1"/>
      <c r="H367" s="5">
        <f t="shared" si="31"/>
        <v>0</v>
      </c>
      <c r="I367" s="1"/>
      <c r="J367" s="1"/>
      <c r="K367" s="11" t="e">
        <f>VLOOKUP(H367,'Inf Bloques'!$A$1:$J$453,10,FALSE)</f>
        <v>#N/A</v>
      </c>
      <c r="L367" s="13"/>
    </row>
    <row r="368" spans="1:12" hidden="1" x14ac:dyDescent="0.2">
      <c r="A368" s="1">
        <f>+'PROGRAMA DRENCH PASO 1'!X60</f>
        <v>0</v>
      </c>
      <c r="B368" s="1"/>
      <c r="C368" s="1" t="str">
        <f>IFERROR((VLOOKUP($A368,'CODIGOS D'!$A$3:$S$451,2,FALSE)),"0")</f>
        <v>0</v>
      </c>
      <c r="D368" s="24">
        <f>+'PROGRAMA DRENCH PASO 1'!Y60</f>
        <v>0</v>
      </c>
      <c r="E368" s="1"/>
      <c r="F368" s="1"/>
      <c r="G368" s="1"/>
      <c r="H368" s="5">
        <f t="shared" si="31"/>
        <v>0</v>
      </c>
      <c r="I368" s="1"/>
      <c r="J368" s="1"/>
      <c r="K368" s="11" t="e">
        <f>VLOOKUP(H368,'Inf Bloques'!$A$1:$J$453,10,FALSE)</f>
        <v>#N/A</v>
      </c>
      <c r="L368" s="13"/>
    </row>
    <row r="369" spans="1:12" hidden="1" x14ac:dyDescent="0.2">
      <c r="A369" s="1">
        <f>+'PROGRAMA DRENCH PASO 1'!AB60</f>
        <v>0</v>
      </c>
      <c r="B369" s="1"/>
      <c r="C369" s="1" t="str">
        <f>IFERROR((VLOOKUP($A369,'CODIGOS D'!$A$3:$S$451,2,FALSE)),"0")</f>
        <v>0</v>
      </c>
      <c r="D369" s="24">
        <f>+'PROGRAMA DRENCH PASO 1'!AC60</f>
        <v>0</v>
      </c>
      <c r="E369" s="1"/>
      <c r="F369" s="1"/>
      <c r="G369" s="1"/>
      <c r="H369" s="5">
        <f t="shared" si="31"/>
        <v>0</v>
      </c>
      <c r="I369" s="1"/>
      <c r="J369" s="1"/>
      <c r="K369" s="11" t="e">
        <f>VLOOKUP(H369,'Inf Bloques'!$A$1:$J$453,10,FALSE)</f>
        <v>#N/A</v>
      </c>
      <c r="L369" s="13"/>
    </row>
    <row r="370" spans="1:12" hidden="1" x14ac:dyDescent="0.2">
      <c r="A370" s="1">
        <f>+'PROGRAMA DRENCH PASO 1'!AF60</f>
        <v>0</v>
      </c>
      <c r="B370" s="1"/>
      <c r="C370" s="1" t="str">
        <f>IFERROR((VLOOKUP($A370,'CODIGOS D'!$A$3:$S$451,2,FALSE)),"0")</f>
        <v>0</v>
      </c>
      <c r="D370" s="24">
        <f>+'PROGRAMA DRENCH PASO 1'!AG60</f>
        <v>0</v>
      </c>
      <c r="E370" s="1"/>
      <c r="F370" s="1"/>
      <c r="G370" s="1"/>
      <c r="H370" s="5">
        <f t="shared" si="31"/>
        <v>0</v>
      </c>
      <c r="I370" s="1"/>
      <c r="J370" s="1"/>
      <c r="K370" s="11" t="e">
        <f>VLOOKUP(H370,'Inf Bloques'!$A$1:$J$453,10,FALSE)</f>
        <v>#N/A</v>
      </c>
      <c r="L370" s="13"/>
    </row>
    <row r="371" spans="1:12" hidden="1" x14ac:dyDescent="0.2">
      <c r="A371" s="1">
        <f>+'PROGRAMA DRENCH PASO 1'!P61</f>
        <v>0</v>
      </c>
      <c r="B371" s="1"/>
      <c r="C371" s="1" t="str">
        <f>IFERROR((VLOOKUP($A371,'CODIGOS D'!$A$3:$S$451,2,FALSE)),"0")</f>
        <v>0</v>
      </c>
      <c r="D371" s="24">
        <f>+'PROGRAMA DRENCH PASO 1'!Q61</f>
        <v>0</v>
      </c>
      <c r="E371" s="1"/>
      <c r="F371" s="1"/>
      <c r="G371" s="1"/>
      <c r="H371" s="5">
        <f t="shared" si="31"/>
        <v>0</v>
      </c>
      <c r="I371" s="1"/>
      <c r="J371" s="1"/>
      <c r="K371" s="11" t="e">
        <f>VLOOKUP(H371,'Inf Bloques'!$A$1:$J$453,10,FALSE)</f>
        <v>#N/A</v>
      </c>
      <c r="L371" s="13"/>
    </row>
    <row r="372" spans="1:12" hidden="1" x14ac:dyDescent="0.2">
      <c r="A372" s="1">
        <f>+'PROGRAMA DRENCH PASO 1'!T61</f>
        <v>0</v>
      </c>
      <c r="B372" s="1"/>
      <c r="C372" s="1" t="str">
        <f>IFERROR((VLOOKUP($A372,'CODIGOS D'!$A$3:$S$451,2,FALSE)),"0")</f>
        <v>0</v>
      </c>
      <c r="D372" s="24">
        <f>+'PROGRAMA DRENCH PASO 1'!U61</f>
        <v>0</v>
      </c>
      <c r="E372" s="1"/>
      <c r="F372" s="1"/>
      <c r="G372" s="1"/>
      <c r="H372" s="5">
        <f t="shared" si="31"/>
        <v>0</v>
      </c>
      <c r="I372" s="1"/>
      <c r="J372" s="1"/>
      <c r="K372" s="11" t="e">
        <f>VLOOKUP(H372,'Inf Bloques'!$A$1:$J$453,10,FALSE)</f>
        <v>#N/A</v>
      </c>
      <c r="L372" s="13"/>
    </row>
    <row r="373" spans="1:12" hidden="1" x14ac:dyDescent="0.2">
      <c r="A373" s="1">
        <f>+'PROGRAMA DRENCH PASO 1'!X61</f>
        <v>0</v>
      </c>
      <c r="B373" s="1"/>
      <c r="C373" s="1" t="str">
        <f>IFERROR((VLOOKUP($A373,'CODIGOS D'!$A$3:$S$451,2,FALSE)),"0")</f>
        <v>0</v>
      </c>
      <c r="D373" s="24">
        <f>+'PROGRAMA DRENCH PASO 1'!Y61</f>
        <v>0</v>
      </c>
      <c r="E373" s="1"/>
      <c r="F373" s="1"/>
      <c r="G373" s="1"/>
      <c r="H373" s="5">
        <f t="shared" si="31"/>
        <v>0</v>
      </c>
      <c r="I373" s="1"/>
      <c r="J373" s="1"/>
      <c r="K373" s="11" t="e">
        <f>VLOOKUP(H373,'Inf Bloques'!$A$1:$J$453,10,FALSE)</f>
        <v>#N/A</v>
      </c>
      <c r="L373" s="13"/>
    </row>
    <row r="374" spans="1:12" hidden="1" x14ac:dyDescent="0.2">
      <c r="A374" s="1">
        <f>+'PROGRAMA DRENCH PASO 1'!AB61</f>
        <v>0</v>
      </c>
      <c r="B374" s="1"/>
      <c r="C374" s="1" t="str">
        <f>IFERROR((VLOOKUP($A374,'CODIGOS D'!$A$3:$S$451,2,FALSE)),"0")</f>
        <v>0</v>
      </c>
      <c r="D374" s="24">
        <f>+'PROGRAMA DRENCH PASO 1'!AC61</f>
        <v>0</v>
      </c>
      <c r="E374" s="1"/>
      <c r="F374" s="1"/>
      <c r="G374" s="1"/>
      <c r="H374" s="5">
        <f t="shared" si="31"/>
        <v>0</v>
      </c>
      <c r="I374" s="1"/>
      <c r="J374" s="1"/>
      <c r="K374" s="11" t="e">
        <f>VLOOKUP(H374,'Inf Bloques'!$A$1:$J$453,10,FALSE)</f>
        <v>#N/A</v>
      </c>
      <c r="L374" s="13"/>
    </row>
    <row r="375" spans="1:12" hidden="1" x14ac:dyDescent="0.2">
      <c r="A375" s="1">
        <f>+'PROGRAMA DRENCH PASO 1'!AF61</f>
        <v>0</v>
      </c>
      <c r="B375" s="1"/>
      <c r="C375" s="1" t="str">
        <f>IFERROR((VLOOKUP($A375,'CODIGOS D'!$A$3:$S$451,2,FALSE)),"0")</f>
        <v>0</v>
      </c>
      <c r="D375" s="24">
        <f>+'PROGRAMA DRENCH PASO 1'!AG61</f>
        <v>0</v>
      </c>
      <c r="E375" s="1"/>
      <c r="F375" s="1"/>
      <c r="G375" s="1"/>
      <c r="H375" s="5">
        <f t="shared" si="31"/>
        <v>0</v>
      </c>
      <c r="I375" s="1"/>
      <c r="J375" s="1"/>
      <c r="K375" s="11" t="e">
        <f>VLOOKUP(H375,'Inf Bloques'!$A$1:$J$453,10,FALSE)</f>
        <v>#N/A</v>
      </c>
      <c r="L375" s="13"/>
    </row>
    <row r="376" spans="1:12" hidden="1" x14ac:dyDescent="0.2">
      <c r="A376" s="1">
        <f>+'PROGRAMA DRENCH PASO 1'!P62</f>
        <v>0</v>
      </c>
      <c r="B376" s="1"/>
      <c r="C376" s="1" t="str">
        <f>IFERROR((VLOOKUP($A376,'CODIGOS D'!$A$3:$S$451,2,FALSE)),"0")</f>
        <v>0</v>
      </c>
      <c r="D376" s="24">
        <f>+'PROGRAMA DRENCH PASO 1'!Q62</f>
        <v>0</v>
      </c>
      <c r="E376" s="1"/>
      <c r="F376" s="1"/>
      <c r="G376" s="1"/>
      <c r="H376" s="5">
        <f t="shared" si="31"/>
        <v>0</v>
      </c>
      <c r="I376" s="1"/>
      <c r="J376" s="1"/>
      <c r="K376" s="11" t="e">
        <f>VLOOKUP(H376,'Inf Bloques'!$A$1:$J$453,10,FALSE)</f>
        <v>#N/A</v>
      </c>
      <c r="L376" s="13"/>
    </row>
    <row r="377" spans="1:12" hidden="1" x14ac:dyDescent="0.2">
      <c r="A377" s="1">
        <f>+'PROGRAMA DRENCH PASO 1'!T62</f>
        <v>0</v>
      </c>
      <c r="B377" s="1"/>
      <c r="C377" s="1" t="str">
        <f>IFERROR((VLOOKUP($A377,'CODIGOS D'!$A$3:$S$451,2,FALSE)),"0")</f>
        <v>0</v>
      </c>
      <c r="D377" s="24">
        <f>+'PROGRAMA DRENCH PASO 1'!U62</f>
        <v>0</v>
      </c>
      <c r="E377" s="1"/>
      <c r="F377" s="1"/>
      <c r="G377" s="1"/>
      <c r="H377" s="5">
        <f t="shared" si="31"/>
        <v>0</v>
      </c>
      <c r="I377" s="1"/>
      <c r="J377" s="1"/>
      <c r="K377" s="11" t="e">
        <f>VLOOKUP(H377,'Inf Bloques'!$A$1:$J$453,10,FALSE)</f>
        <v>#N/A</v>
      </c>
      <c r="L377" s="13"/>
    </row>
    <row r="378" spans="1:12" hidden="1" x14ac:dyDescent="0.2">
      <c r="A378" s="1">
        <f>+'PROGRAMA DRENCH PASO 1'!X62</f>
        <v>0</v>
      </c>
      <c r="B378" s="1"/>
      <c r="C378" s="1" t="str">
        <f>IFERROR((VLOOKUP($A378,'CODIGOS D'!$A$3:$S$451,2,FALSE)),"0")</f>
        <v>0</v>
      </c>
      <c r="D378" s="24">
        <f>+'PROGRAMA DRENCH PASO 1'!Y62</f>
        <v>0</v>
      </c>
      <c r="E378" s="1"/>
      <c r="F378" s="1"/>
      <c r="G378" s="1"/>
      <c r="H378" s="5">
        <f t="shared" si="31"/>
        <v>0</v>
      </c>
      <c r="I378" s="1"/>
      <c r="J378" s="1"/>
      <c r="K378" s="11" t="e">
        <f>VLOOKUP(H378,'Inf Bloques'!$A$1:$J$453,10,FALSE)</f>
        <v>#N/A</v>
      </c>
      <c r="L378" s="13"/>
    </row>
    <row r="379" spans="1:12" hidden="1" x14ac:dyDescent="0.2">
      <c r="A379" s="1">
        <f>+'PROGRAMA DRENCH PASO 1'!AB62</f>
        <v>0</v>
      </c>
      <c r="B379" s="1"/>
      <c r="C379" s="1" t="str">
        <f>IFERROR((VLOOKUP($A379,'CODIGOS D'!$A$3:$S$451,2,FALSE)),"0")</f>
        <v>0</v>
      </c>
      <c r="D379" s="24">
        <f>+'PROGRAMA DRENCH PASO 1'!AC62</f>
        <v>0</v>
      </c>
      <c r="E379" s="1"/>
      <c r="F379" s="1"/>
      <c r="G379" s="1"/>
      <c r="H379" s="5">
        <f t="shared" si="31"/>
        <v>0</v>
      </c>
      <c r="I379" s="1"/>
      <c r="J379" s="1"/>
      <c r="K379" s="11" t="e">
        <f>VLOOKUP(H379,'Inf Bloques'!$A$1:$J$453,10,FALSE)</f>
        <v>#N/A</v>
      </c>
      <c r="L379" s="13"/>
    </row>
    <row r="380" spans="1:12" hidden="1" x14ac:dyDescent="0.2">
      <c r="A380" s="1">
        <f>+'PROGRAMA DRENCH PASO 1'!AF62</f>
        <v>0</v>
      </c>
      <c r="B380" s="1"/>
      <c r="C380" s="1" t="str">
        <f>IFERROR((VLOOKUP($A380,'CODIGOS D'!$A$3:$S$451,2,FALSE)),"0")</f>
        <v>0</v>
      </c>
      <c r="D380" s="24">
        <f>+'PROGRAMA DRENCH PASO 1'!AG62</f>
        <v>0</v>
      </c>
      <c r="E380" s="1"/>
      <c r="F380" s="1"/>
      <c r="G380" s="1"/>
      <c r="H380" s="5">
        <f t="shared" si="31"/>
        <v>0</v>
      </c>
      <c r="I380" s="1"/>
      <c r="J380" s="1"/>
      <c r="K380" s="11" t="e">
        <f>VLOOKUP(H380,'Inf Bloques'!$A$1:$J$453,10,FALSE)</f>
        <v>#N/A</v>
      </c>
      <c r="L380" s="13"/>
    </row>
    <row r="381" spans="1:12" hidden="1" x14ac:dyDescent="0.2">
      <c r="A381" s="1">
        <f>+'PROGRAMA DRENCH PASO 1'!P63</f>
        <v>0</v>
      </c>
      <c r="B381" s="1"/>
      <c r="C381" s="1" t="str">
        <f>IFERROR((VLOOKUP($A381,'CODIGOS D'!$A$3:$S$451,2,FALSE)),"0")</f>
        <v>0</v>
      </c>
      <c r="D381" s="24">
        <f>+'PROGRAMA DRENCH PASO 1'!Q63</f>
        <v>0</v>
      </c>
      <c r="E381" s="1"/>
      <c r="F381" s="1"/>
      <c r="G381" s="1"/>
      <c r="H381" s="5">
        <f t="shared" si="31"/>
        <v>0</v>
      </c>
      <c r="I381" s="1"/>
      <c r="J381" s="1"/>
      <c r="K381" s="11" t="e">
        <f>VLOOKUP(H381,'Inf Bloques'!$A$1:$J$453,10,FALSE)</f>
        <v>#N/A</v>
      </c>
      <c r="L381" s="13"/>
    </row>
    <row r="382" spans="1:12" hidden="1" x14ac:dyDescent="0.2">
      <c r="A382" s="1">
        <f>+'PROGRAMA DRENCH PASO 1'!T63</f>
        <v>0</v>
      </c>
      <c r="B382" s="1"/>
      <c r="C382" s="1" t="str">
        <f>IFERROR((VLOOKUP($A382,'CODIGOS D'!$A$3:$S$451,2,FALSE)),"0")</f>
        <v>0</v>
      </c>
      <c r="D382" s="24">
        <f>+'PROGRAMA DRENCH PASO 1'!U63</f>
        <v>0</v>
      </c>
      <c r="E382" s="1"/>
      <c r="F382" s="1"/>
      <c r="G382" s="1"/>
      <c r="H382" s="5">
        <f t="shared" si="31"/>
        <v>0</v>
      </c>
      <c r="I382" s="1"/>
      <c r="J382" s="1"/>
      <c r="K382" s="11" t="e">
        <f>VLOOKUP(H382,'Inf Bloques'!$A$1:$J$453,10,FALSE)</f>
        <v>#N/A</v>
      </c>
      <c r="L382" s="13"/>
    </row>
    <row r="383" spans="1:12" hidden="1" x14ac:dyDescent="0.2">
      <c r="A383" s="1">
        <f>+'PROGRAMA DRENCH PASO 1'!X63</f>
        <v>0</v>
      </c>
      <c r="B383" s="1"/>
      <c r="C383" s="1" t="str">
        <f>IFERROR((VLOOKUP($A383,'CODIGOS D'!$A$3:$S$451,2,FALSE)),"0")</f>
        <v>0</v>
      </c>
      <c r="D383" s="24">
        <f>+'PROGRAMA DRENCH PASO 1'!Y63</f>
        <v>0</v>
      </c>
      <c r="E383" s="1"/>
      <c r="F383" s="1"/>
      <c r="G383" s="1"/>
      <c r="H383" s="5">
        <f t="shared" si="31"/>
        <v>0</v>
      </c>
      <c r="I383" s="1"/>
      <c r="J383" s="1"/>
      <c r="K383" s="11" t="e">
        <f>VLOOKUP(H383,'Inf Bloques'!$A$1:$J$453,10,FALSE)</f>
        <v>#N/A</v>
      </c>
      <c r="L383" s="13"/>
    </row>
    <row r="384" spans="1:12" hidden="1" x14ac:dyDescent="0.2">
      <c r="A384" s="1">
        <f>+'PROGRAMA DRENCH PASO 1'!AB63</f>
        <v>0</v>
      </c>
      <c r="B384" s="1"/>
      <c r="C384" s="1" t="str">
        <f>IFERROR((VLOOKUP($A384,'CODIGOS D'!$A$3:$S$451,2,FALSE)),"0")</f>
        <v>0</v>
      </c>
      <c r="D384" s="24">
        <f>+'PROGRAMA DRENCH PASO 1'!AC63</f>
        <v>0</v>
      </c>
      <c r="E384" s="1"/>
      <c r="F384" s="1"/>
      <c r="G384" s="1"/>
      <c r="H384" s="5">
        <f t="shared" si="31"/>
        <v>0</v>
      </c>
      <c r="I384" s="1"/>
      <c r="J384" s="1"/>
      <c r="K384" s="11" t="e">
        <f>VLOOKUP(H384,'Inf Bloques'!$A$1:$J$453,10,FALSE)</f>
        <v>#N/A</v>
      </c>
      <c r="L384" s="13"/>
    </row>
    <row r="385" spans="1:12" hidden="1" x14ac:dyDescent="0.2">
      <c r="A385" s="1">
        <f>+'PROGRAMA DRENCH PASO 1'!AF63</f>
        <v>0</v>
      </c>
      <c r="B385" s="1"/>
      <c r="C385" s="1" t="str">
        <f>IFERROR((VLOOKUP($A385,'CODIGOS D'!$A$3:$S$451,2,FALSE)),"0")</f>
        <v>0</v>
      </c>
      <c r="D385" s="24">
        <f>+'PROGRAMA DRENCH PASO 1'!AG63</f>
        <v>0</v>
      </c>
      <c r="E385" s="1"/>
      <c r="F385" s="1"/>
      <c r="G385" s="1"/>
      <c r="H385" s="5">
        <f t="shared" si="31"/>
        <v>0</v>
      </c>
      <c r="I385" s="1"/>
      <c r="J385" s="1"/>
      <c r="K385" s="11" t="e">
        <f>VLOOKUP(H385,'Inf Bloques'!$A$1:$J$453,10,FALSE)</f>
        <v>#N/A</v>
      </c>
      <c r="L385" s="13"/>
    </row>
    <row r="386" spans="1:12" hidden="1" x14ac:dyDescent="0.2">
      <c r="A386" s="1">
        <f>+'PROGRAMA DRENCH PASO 1'!P64</f>
        <v>0</v>
      </c>
      <c r="B386" s="1"/>
      <c r="C386" s="1" t="str">
        <f>IFERROR((VLOOKUP($A386,'CODIGOS D'!$A$3:$S$451,2,FALSE)),"0")</f>
        <v>0</v>
      </c>
      <c r="D386" s="24">
        <f>+'PROGRAMA DRENCH PASO 1'!Q64</f>
        <v>0</v>
      </c>
      <c r="E386" s="1"/>
      <c r="F386" s="1"/>
      <c r="G386" s="1"/>
      <c r="H386" s="5">
        <f t="shared" si="31"/>
        <v>0</v>
      </c>
      <c r="I386" s="1"/>
      <c r="J386" s="1"/>
      <c r="K386" s="11" t="e">
        <f>VLOOKUP(H386,'Inf Bloques'!$A$1:$J$453,10,FALSE)</f>
        <v>#N/A</v>
      </c>
      <c r="L386" s="13"/>
    </row>
    <row r="387" spans="1:12" hidden="1" x14ac:dyDescent="0.2">
      <c r="A387" s="1">
        <f>+'PROGRAMA DRENCH PASO 1'!T64</f>
        <v>0</v>
      </c>
      <c r="B387" s="1"/>
      <c r="C387" s="1" t="str">
        <f>IFERROR((VLOOKUP($A387,'CODIGOS D'!$A$3:$S$451,2,FALSE)),"0")</f>
        <v>0</v>
      </c>
      <c r="D387" s="24">
        <f>+'PROGRAMA DRENCH PASO 1'!U64</f>
        <v>0</v>
      </c>
      <c r="E387" s="1"/>
      <c r="F387" s="1"/>
      <c r="G387" s="1"/>
      <c r="H387" s="5">
        <f t="shared" si="31"/>
        <v>0</v>
      </c>
      <c r="I387" s="1"/>
      <c r="J387" s="1"/>
      <c r="K387" s="11" t="e">
        <f>VLOOKUP(H387,'Inf Bloques'!$A$1:$J$453,10,FALSE)</f>
        <v>#N/A</v>
      </c>
      <c r="L387" s="13"/>
    </row>
    <row r="388" spans="1:12" hidden="1" x14ac:dyDescent="0.2">
      <c r="A388" s="1">
        <f>+'PROGRAMA DRENCH PASO 1'!X64</f>
        <v>0</v>
      </c>
      <c r="B388" s="1"/>
      <c r="C388" s="1" t="str">
        <f>IFERROR((VLOOKUP($A388,'CODIGOS D'!$A$3:$S$451,2,FALSE)),"0")</f>
        <v>0</v>
      </c>
      <c r="D388" s="24">
        <f>+'PROGRAMA DRENCH PASO 1'!Y64</f>
        <v>0</v>
      </c>
      <c r="E388" s="1"/>
      <c r="F388" s="1"/>
      <c r="G388" s="1"/>
      <c r="H388" s="5">
        <f t="shared" si="31"/>
        <v>0</v>
      </c>
      <c r="I388" s="1"/>
      <c r="J388" s="1"/>
      <c r="K388" s="11" t="e">
        <f>VLOOKUP(H388,'Inf Bloques'!$A$1:$J$453,10,FALSE)</f>
        <v>#N/A</v>
      </c>
      <c r="L388" s="13"/>
    </row>
    <row r="389" spans="1:12" hidden="1" x14ac:dyDescent="0.2">
      <c r="A389" s="1">
        <f>+'PROGRAMA DRENCH PASO 1'!AB64</f>
        <v>0</v>
      </c>
      <c r="B389" s="1"/>
      <c r="C389" s="1" t="str">
        <f>IFERROR((VLOOKUP($A389,'CODIGOS D'!$A$3:$S$451,2,FALSE)),"0")</f>
        <v>0</v>
      </c>
      <c r="D389" s="24">
        <f>+'PROGRAMA DRENCH PASO 1'!AC64</f>
        <v>0</v>
      </c>
      <c r="E389" s="1"/>
      <c r="F389" s="1"/>
      <c r="G389" s="1"/>
      <c r="H389" s="5">
        <f t="shared" si="31"/>
        <v>0</v>
      </c>
      <c r="I389" s="1"/>
      <c r="J389" s="1"/>
      <c r="K389" s="11" t="e">
        <f>VLOOKUP(H389,'Inf Bloques'!$A$1:$J$453,10,FALSE)</f>
        <v>#N/A</v>
      </c>
      <c r="L389" s="13"/>
    </row>
    <row r="390" spans="1:12" hidden="1" x14ac:dyDescent="0.2">
      <c r="A390" s="1">
        <f>+'PROGRAMA DRENCH PASO 1'!AF64</f>
        <v>0</v>
      </c>
      <c r="B390" s="1"/>
      <c r="C390" s="1" t="str">
        <f>IFERROR((VLOOKUP($A390,'CODIGOS D'!$A$3:$S$451,2,FALSE)),"0")</f>
        <v>0</v>
      </c>
      <c r="D390" s="24">
        <f>+'PROGRAMA DRENCH PASO 1'!AG64</f>
        <v>0</v>
      </c>
      <c r="E390" s="1"/>
      <c r="F390" s="1"/>
      <c r="G390" s="1"/>
      <c r="H390" s="5">
        <f t="shared" si="31"/>
        <v>0</v>
      </c>
      <c r="I390" s="1"/>
      <c r="J390" s="1"/>
      <c r="K390" s="11" t="e">
        <f>VLOOKUP(H390,'Inf Bloques'!$A$1:$J$453,10,FALSE)</f>
        <v>#N/A</v>
      </c>
      <c r="L390" s="13"/>
    </row>
    <row r="391" spans="1:12" hidden="1" x14ac:dyDescent="0.2">
      <c r="A391" s="1">
        <f>+'PROGRAMA DRENCH PASO 1'!P65</f>
        <v>0</v>
      </c>
      <c r="B391" s="1"/>
      <c r="C391" s="1" t="str">
        <f>IFERROR((VLOOKUP($A391,'CODIGOS D'!$A$3:$S$451,2,FALSE)),"0")</f>
        <v>0</v>
      </c>
      <c r="D391" s="24">
        <f>+'PROGRAMA DRENCH PASO 1'!Q65</f>
        <v>0</v>
      </c>
      <c r="E391" s="1"/>
      <c r="F391" s="1"/>
      <c r="G391" s="1"/>
      <c r="H391" s="5">
        <f t="shared" si="31"/>
        <v>0</v>
      </c>
      <c r="I391" s="1"/>
      <c r="J391" s="1"/>
      <c r="K391" s="11" t="e">
        <f>VLOOKUP(H391,'Inf Bloques'!$A$1:$J$453,10,FALSE)</f>
        <v>#N/A</v>
      </c>
      <c r="L391" s="13"/>
    </row>
    <row r="392" spans="1:12" hidden="1" x14ac:dyDescent="0.2">
      <c r="A392" s="1">
        <f>+'PROGRAMA DRENCH PASO 1'!T65</f>
        <v>0</v>
      </c>
      <c r="B392" s="1"/>
      <c r="C392" s="1" t="str">
        <f>IFERROR((VLOOKUP($A392,'CODIGOS D'!$A$3:$S$451,2,FALSE)),"0")</f>
        <v>0</v>
      </c>
      <c r="D392" s="24">
        <f>+'PROGRAMA DRENCH PASO 1'!U65</f>
        <v>0</v>
      </c>
      <c r="E392" s="1"/>
      <c r="F392" s="1"/>
      <c r="G392" s="1"/>
      <c r="H392" s="5">
        <f t="shared" si="31"/>
        <v>0</v>
      </c>
      <c r="I392" s="1"/>
      <c r="J392" s="1"/>
      <c r="K392" s="11" t="e">
        <f>VLOOKUP(H392,'Inf Bloques'!$A$1:$J$453,10,FALSE)</f>
        <v>#N/A</v>
      </c>
      <c r="L392" s="13"/>
    </row>
    <row r="393" spans="1:12" hidden="1" x14ac:dyDescent="0.2">
      <c r="A393" s="1">
        <f>+'PROGRAMA DRENCH PASO 1'!X65</f>
        <v>0</v>
      </c>
      <c r="B393" s="1"/>
      <c r="C393" s="1" t="str">
        <f>IFERROR((VLOOKUP($A393,'CODIGOS D'!$A$3:$S$451,2,FALSE)),"0")</f>
        <v>0</v>
      </c>
      <c r="D393" s="24">
        <f>+'PROGRAMA DRENCH PASO 1'!Y65</f>
        <v>0</v>
      </c>
      <c r="E393" s="1"/>
      <c r="F393" s="1"/>
      <c r="G393" s="1"/>
      <c r="H393" s="5">
        <f t="shared" si="31"/>
        <v>0</v>
      </c>
      <c r="I393" s="1"/>
      <c r="J393" s="1"/>
      <c r="K393" s="11" t="e">
        <f>VLOOKUP(H393,'Inf Bloques'!$A$1:$J$453,10,FALSE)</f>
        <v>#N/A</v>
      </c>
      <c r="L393" s="13"/>
    </row>
    <row r="394" spans="1:12" hidden="1" x14ac:dyDescent="0.2">
      <c r="A394" s="1">
        <f>+'PROGRAMA DRENCH PASO 1'!AB65</f>
        <v>0</v>
      </c>
      <c r="B394" s="1"/>
      <c r="C394" s="1" t="str">
        <f>IFERROR((VLOOKUP($A394,'CODIGOS D'!$A$3:$S$451,2,FALSE)),"0")</f>
        <v>0</v>
      </c>
      <c r="D394" s="24">
        <f>+'PROGRAMA DRENCH PASO 1'!AC65</f>
        <v>0</v>
      </c>
      <c r="E394" s="1"/>
      <c r="F394" s="1"/>
      <c r="G394" s="1"/>
      <c r="H394" s="5">
        <f t="shared" si="31"/>
        <v>0</v>
      </c>
      <c r="I394" s="1"/>
      <c r="J394" s="1"/>
      <c r="K394" s="11" t="e">
        <f>VLOOKUP(H394,'Inf Bloques'!$A$1:$J$453,10,FALSE)</f>
        <v>#N/A</v>
      </c>
      <c r="L394" s="13"/>
    </row>
    <row r="395" spans="1:12" hidden="1" x14ac:dyDescent="0.2">
      <c r="A395" s="1">
        <f>+'PROGRAMA DRENCH PASO 1'!AF65</f>
        <v>0</v>
      </c>
      <c r="B395" s="1"/>
      <c r="C395" s="1" t="str">
        <f>IFERROR((VLOOKUP($A395,'CODIGOS D'!$A$3:$S$451,2,FALSE)),"0")</f>
        <v>0</v>
      </c>
      <c r="D395" s="24">
        <f>+'PROGRAMA DRENCH PASO 1'!AG65</f>
        <v>0</v>
      </c>
      <c r="E395" s="1"/>
      <c r="F395" s="1"/>
      <c r="G395" s="1"/>
      <c r="H395" s="5">
        <f t="shared" si="31"/>
        <v>0</v>
      </c>
      <c r="I395" s="1"/>
      <c r="J395" s="1"/>
      <c r="K395" s="11" t="e">
        <f>VLOOKUP(H395,'Inf Bloques'!$A$1:$J$453,10,FALSE)</f>
        <v>#N/A</v>
      </c>
      <c r="L395" s="13"/>
    </row>
    <row r="396" spans="1:12" hidden="1" x14ac:dyDescent="0.2">
      <c r="A396" s="1">
        <f>+'PROGRAMA DRENCH PASO 1'!P66</f>
        <v>0</v>
      </c>
      <c r="B396" s="1"/>
      <c r="C396" s="1" t="str">
        <f>IFERROR((VLOOKUP($A396,'CODIGOS D'!$A$3:$S$451,2,FALSE)),"0")</f>
        <v>0</v>
      </c>
      <c r="D396" s="24">
        <f>+'PROGRAMA DRENCH PASO 1'!Q66</f>
        <v>0</v>
      </c>
      <c r="E396" s="1"/>
      <c r="F396" s="1"/>
      <c r="G396" s="1"/>
      <c r="H396" s="5">
        <f t="shared" si="31"/>
        <v>0</v>
      </c>
      <c r="I396" s="1"/>
      <c r="J396" s="1"/>
      <c r="K396" s="11" t="e">
        <f>VLOOKUP(H396,'Inf Bloques'!$A$1:$J$453,10,FALSE)</f>
        <v>#N/A</v>
      </c>
      <c r="L396" s="13"/>
    </row>
    <row r="397" spans="1:12" hidden="1" x14ac:dyDescent="0.2">
      <c r="A397" s="1">
        <f>+'PROGRAMA DRENCH PASO 1'!T66</f>
        <v>0</v>
      </c>
      <c r="B397" s="1"/>
      <c r="C397" s="1" t="str">
        <f>IFERROR((VLOOKUP($A397,'CODIGOS D'!$A$3:$S$451,2,FALSE)),"0")</f>
        <v>0</v>
      </c>
      <c r="D397" s="24">
        <f>+'PROGRAMA DRENCH PASO 1'!U66</f>
        <v>0</v>
      </c>
      <c r="E397" s="1"/>
      <c r="F397" s="1"/>
      <c r="G397" s="1"/>
      <c r="H397" s="5">
        <f t="shared" si="31"/>
        <v>0</v>
      </c>
      <c r="I397" s="1"/>
      <c r="J397" s="1"/>
      <c r="K397" s="11" t="e">
        <f>VLOOKUP(H397,'Inf Bloques'!$A$1:$J$453,10,FALSE)</f>
        <v>#N/A</v>
      </c>
      <c r="L397" s="13"/>
    </row>
    <row r="398" spans="1:12" hidden="1" x14ac:dyDescent="0.2">
      <c r="A398" s="1">
        <f>+'PROGRAMA DRENCH PASO 1'!X66</f>
        <v>0</v>
      </c>
      <c r="B398" s="1"/>
      <c r="C398" s="1" t="str">
        <f>IFERROR((VLOOKUP($A398,'CODIGOS D'!$A$3:$S$451,2,FALSE)),"0")</f>
        <v>0</v>
      </c>
      <c r="D398" s="24">
        <f>+'PROGRAMA DRENCH PASO 1'!Y66</f>
        <v>0</v>
      </c>
      <c r="E398" s="1"/>
      <c r="F398" s="1"/>
      <c r="G398" s="1"/>
      <c r="H398" s="5">
        <f t="shared" si="31"/>
        <v>0</v>
      </c>
      <c r="I398" s="1"/>
      <c r="J398" s="1"/>
      <c r="K398" s="11" t="e">
        <f>VLOOKUP(H398,'Inf Bloques'!$A$1:$J$453,10,FALSE)</f>
        <v>#N/A</v>
      </c>
      <c r="L398" s="13"/>
    </row>
    <row r="399" spans="1:12" hidden="1" x14ac:dyDescent="0.2">
      <c r="A399" s="1">
        <f>+'PROGRAMA DRENCH PASO 1'!AB66</f>
        <v>0</v>
      </c>
      <c r="B399" s="1"/>
      <c r="C399" s="1" t="str">
        <f>IFERROR((VLOOKUP($A399,'CODIGOS D'!$A$3:$S$451,2,FALSE)),"0")</f>
        <v>0</v>
      </c>
      <c r="D399" s="24">
        <f>+'PROGRAMA DRENCH PASO 1'!AC66</f>
        <v>0</v>
      </c>
      <c r="E399" s="1"/>
      <c r="F399" s="1"/>
      <c r="G399" s="1"/>
      <c r="H399" s="5">
        <f t="shared" si="31"/>
        <v>0</v>
      </c>
      <c r="I399" s="1"/>
      <c r="J399" s="1"/>
      <c r="K399" s="11" t="e">
        <f>VLOOKUP(H399,'Inf Bloques'!$A$1:$J$453,10,FALSE)</f>
        <v>#N/A</v>
      </c>
      <c r="L399" s="13"/>
    </row>
    <row r="400" spans="1:12" hidden="1" x14ac:dyDescent="0.2">
      <c r="A400" s="1">
        <f>+'PROGRAMA DRENCH PASO 1'!AF66</f>
        <v>0</v>
      </c>
      <c r="B400" s="1"/>
      <c r="C400" s="1" t="str">
        <f>IFERROR((VLOOKUP($A400,'CODIGOS D'!$A$3:$S$451,2,FALSE)),"0")</f>
        <v>0</v>
      </c>
      <c r="D400" s="24">
        <f>+'PROGRAMA DRENCH PASO 1'!AG66</f>
        <v>0</v>
      </c>
      <c r="E400" s="1"/>
      <c r="F400" s="1"/>
      <c r="G400" s="1"/>
      <c r="H400" s="5">
        <f t="shared" si="31"/>
        <v>0</v>
      </c>
      <c r="I400" s="1"/>
      <c r="J400" s="1"/>
      <c r="K400" s="11" t="e">
        <f>VLOOKUP(H400,'Inf Bloques'!$A$1:$J$453,10,FALSE)</f>
        <v>#N/A</v>
      </c>
      <c r="L400" s="13"/>
    </row>
    <row r="401" spans="1:12" hidden="1" x14ac:dyDescent="0.2">
      <c r="A401" s="1">
        <f>+'PROGRAMA DRENCH PASO 1'!P67</f>
        <v>0</v>
      </c>
      <c r="B401" s="1"/>
      <c r="C401" s="1" t="str">
        <f>IFERROR((VLOOKUP($A401,'CODIGOS D'!$A$3:$S$451,2,FALSE)),"0")</f>
        <v>0</v>
      </c>
      <c r="D401" s="24">
        <f>+'PROGRAMA DRENCH PASO 1'!Q67</f>
        <v>0</v>
      </c>
      <c r="E401" s="1"/>
      <c r="F401" s="1"/>
      <c r="G401" s="1"/>
      <c r="H401" s="5">
        <f t="shared" si="31"/>
        <v>0</v>
      </c>
      <c r="I401" s="1"/>
      <c r="J401" s="1"/>
      <c r="K401" s="11" t="e">
        <f>VLOOKUP(H401,'Inf Bloques'!$A$1:$J$453,10,FALSE)</f>
        <v>#N/A</v>
      </c>
      <c r="L401" s="13"/>
    </row>
    <row r="402" spans="1:12" hidden="1" x14ac:dyDescent="0.2">
      <c r="A402" s="1">
        <f>+'PROGRAMA DRENCH PASO 1'!T67</f>
        <v>0</v>
      </c>
      <c r="B402" s="1"/>
      <c r="C402" s="1" t="str">
        <f>IFERROR((VLOOKUP($A402,'CODIGOS D'!$A$3:$S$451,2,FALSE)),"0")</f>
        <v>0</v>
      </c>
      <c r="D402" s="24">
        <f>+'PROGRAMA DRENCH PASO 1'!U67</f>
        <v>0</v>
      </c>
      <c r="E402" s="1"/>
      <c r="F402" s="1"/>
      <c r="G402" s="1"/>
      <c r="H402" s="5">
        <f t="shared" si="31"/>
        <v>0</v>
      </c>
      <c r="I402" s="1"/>
      <c r="J402" s="1"/>
      <c r="K402" s="11" t="e">
        <f>VLOOKUP(H402,'Inf Bloques'!$A$1:$J$453,10,FALSE)</f>
        <v>#N/A</v>
      </c>
      <c r="L402" s="13"/>
    </row>
    <row r="403" spans="1:12" hidden="1" x14ac:dyDescent="0.2">
      <c r="A403" s="1">
        <f>+'PROGRAMA DRENCH PASO 1'!X67</f>
        <v>0</v>
      </c>
      <c r="B403" s="1"/>
      <c r="C403" s="1" t="str">
        <f>IFERROR((VLOOKUP($A403,'CODIGOS D'!$A$3:$S$451,2,FALSE)),"0")</f>
        <v>0</v>
      </c>
      <c r="D403" s="24">
        <f>+'PROGRAMA DRENCH PASO 1'!Y67</f>
        <v>0</v>
      </c>
      <c r="E403" s="1"/>
      <c r="F403" s="1"/>
      <c r="G403" s="1"/>
      <c r="H403" s="5">
        <f t="shared" si="31"/>
        <v>0</v>
      </c>
      <c r="I403" s="1"/>
      <c r="J403" s="1"/>
      <c r="K403" s="11" t="e">
        <f>VLOOKUP(H403,'Inf Bloques'!$A$1:$J$453,10,FALSE)</f>
        <v>#N/A</v>
      </c>
      <c r="L403" s="13"/>
    </row>
    <row r="404" spans="1:12" hidden="1" x14ac:dyDescent="0.2">
      <c r="A404" s="1">
        <f>+'PROGRAMA DRENCH PASO 1'!AB67</f>
        <v>0</v>
      </c>
      <c r="B404" s="1"/>
      <c r="C404" s="1" t="str">
        <f>IFERROR((VLOOKUP($A404,'CODIGOS D'!$A$3:$S$451,2,FALSE)),"0")</f>
        <v>0</v>
      </c>
      <c r="D404" s="24">
        <f>+'PROGRAMA DRENCH PASO 1'!AC67</f>
        <v>0</v>
      </c>
      <c r="E404" s="1"/>
      <c r="F404" s="1"/>
      <c r="G404" s="1"/>
      <c r="H404" s="5">
        <f t="shared" si="31"/>
        <v>0</v>
      </c>
      <c r="I404" s="1"/>
      <c r="J404" s="1"/>
      <c r="K404" s="11" t="e">
        <f>VLOOKUP(H404,'Inf Bloques'!$A$1:$J$453,10,FALSE)</f>
        <v>#N/A</v>
      </c>
      <c r="L404" s="13"/>
    </row>
    <row r="405" spans="1:12" hidden="1" x14ac:dyDescent="0.2">
      <c r="A405" s="1">
        <f>+'PROGRAMA DRENCH PASO 1'!AF67</f>
        <v>0</v>
      </c>
      <c r="B405" s="1"/>
      <c r="C405" s="1" t="str">
        <f>IFERROR((VLOOKUP($A405,'CODIGOS D'!$A$3:$S$451,2,FALSE)),"0")</f>
        <v>0</v>
      </c>
      <c r="D405" s="24">
        <f>+'PROGRAMA DRENCH PASO 1'!AG67</f>
        <v>0</v>
      </c>
      <c r="E405" s="1"/>
      <c r="F405" s="1"/>
      <c r="G405" s="1"/>
      <c r="H405" s="5">
        <f t="shared" si="31"/>
        <v>0</v>
      </c>
      <c r="I405" s="1"/>
      <c r="J405" s="1"/>
      <c r="K405" s="11" t="e">
        <f>VLOOKUP(H405,'Inf Bloques'!$A$1:$J$453,10,FALSE)</f>
        <v>#N/A</v>
      </c>
      <c r="L405" s="13"/>
    </row>
    <row r="406" spans="1:12" hidden="1" x14ac:dyDescent="0.2">
      <c r="A406" s="1">
        <f>+'PROGRAMA DRENCH PASO 1'!P68</f>
        <v>0</v>
      </c>
      <c r="B406" s="1"/>
      <c r="C406" s="1" t="str">
        <f>IFERROR((VLOOKUP($A406,'CODIGOS D'!$A$3:$S$451,2,FALSE)),"0")</f>
        <v>0</v>
      </c>
      <c r="D406" s="24">
        <f>+'PROGRAMA DRENCH PASO 1'!Q68</f>
        <v>0</v>
      </c>
      <c r="E406" s="1"/>
      <c r="F406" s="1"/>
      <c r="G406" s="1"/>
      <c r="H406" s="5">
        <f t="shared" si="31"/>
        <v>0</v>
      </c>
      <c r="I406" s="1"/>
      <c r="J406" s="1"/>
      <c r="K406" s="11" t="e">
        <f>VLOOKUP(H406,'Inf Bloques'!$A$1:$J$453,10,FALSE)</f>
        <v>#N/A</v>
      </c>
      <c r="L406" s="13"/>
    </row>
    <row r="407" spans="1:12" hidden="1" x14ac:dyDescent="0.2">
      <c r="A407" s="1">
        <f>+'PROGRAMA DRENCH PASO 1'!T68</f>
        <v>0</v>
      </c>
      <c r="B407" s="1"/>
      <c r="C407" s="1" t="str">
        <f>IFERROR((VLOOKUP($A407,'CODIGOS D'!$A$3:$S$451,2,FALSE)),"0")</f>
        <v>0</v>
      </c>
      <c r="D407" s="24">
        <f>+'PROGRAMA DRENCH PASO 1'!U68</f>
        <v>0</v>
      </c>
      <c r="E407" s="1"/>
      <c r="F407" s="1"/>
      <c r="G407" s="1"/>
      <c r="H407" s="5">
        <f t="shared" si="31"/>
        <v>0</v>
      </c>
      <c r="I407" s="1"/>
      <c r="J407" s="1"/>
      <c r="K407" s="11" t="e">
        <f>VLOOKUP(H407,'Inf Bloques'!$A$1:$J$453,10,FALSE)</f>
        <v>#N/A</v>
      </c>
      <c r="L407" s="13"/>
    </row>
    <row r="408" spans="1:12" hidden="1" x14ac:dyDescent="0.2">
      <c r="A408" s="1">
        <f>+'PROGRAMA DRENCH PASO 1'!X68</f>
        <v>0</v>
      </c>
      <c r="B408" s="1"/>
      <c r="C408" s="1" t="str">
        <f>IFERROR((VLOOKUP($A408,'CODIGOS D'!$A$3:$S$451,2,FALSE)),"0")</f>
        <v>0</v>
      </c>
      <c r="D408" s="24">
        <f>+'PROGRAMA DRENCH PASO 1'!Y68</f>
        <v>0</v>
      </c>
      <c r="E408" s="1"/>
      <c r="F408" s="1"/>
      <c r="G408" s="1"/>
      <c r="H408" s="5">
        <f t="shared" si="31"/>
        <v>0</v>
      </c>
      <c r="I408" s="1"/>
      <c r="J408" s="1"/>
      <c r="K408" s="11" t="e">
        <f>VLOOKUP(H408,'Inf Bloques'!$A$1:$J$453,10,FALSE)</f>
        <v>#N/A</v>
      </c>
      <c r="L408" s="13"/>
    </row>
    <row r="409" spans="1:12" hidden="1" x14ac:dyDescent="0.2">
      <c r="A409" s="1">
        <f>+'PROGRAMA DRENCH PASO 1'!AB68</f>
        <v>0</v>
      </c>
      <c r="B409" s="1"/>
      <c r="C409" s="1" t="str">
        <f>IFERROR((VLOOKUP($A409,'CODIGOS D'!$A$3:$S$451,2,FALSE)),"0")</f>
        <v>0</v>
      </c>
      <c r="D409" s="24">
        <f>+'PROGRAMA DRENCH PASO 1'!AC68</f>
        <v>0</v>
      </c>
      <c r="E409" s="1"/>
      <c r="F409" s="1"/>
      <c r="G409" s="1"/>
      <c r="H409" s="5">
        <f t="shared" si="31"/>
        <v>0</v>
      </c>
      <c r="I409" s="1"/>
      <c r="J409" s="1"/>
      <c r="K409" s="11" t="e">
        <f>VLOOKUP(H409,'Inf Bloques'!$A$1:$J$453,10,FALSE)</f>
        <v>#N/A</v>
      </c>
      <c r="L409" s="13"/>
    </row>
    <row r="410" spans="1:12" hidden="1" x14ac:dyDescent="0.2">
      <c r="A410" s="1">
        <f>+'PROGRAMA DRENCH PASO 1'!AF68</f>
        <v>0</v>
      </c>
      <c r="B410" s="1"/>
      <c r="C410" s="1" t="str">
        <f>IFERROR((VLOOKUP($A410,'CODIGOS D'!$A$3:$S$451,2,FALSE)),"0")</f>
        <v>0</v>
      </c>
      <c r="D410" s="24">
        <f>+'PROGRAMA DRENCH PASO 1'!AG68</f>
        <v>0</v>
      </c>
      <c r="E410" s="1"/>
      <c r="F410" s="1"/>
      <c r="G410" s="1"/>
      <c r="H410" s="5">
        <f t="shared" si="31"/>
        <v>0</v>
      </c>
      <c r="I410" s="1"/>
      <c r="J410" s="1"/>
      <c r="K410" s="11" t="e">
        <f>VLOOKUP(H410,'Inf Bloques'!$A$1:$J$453,10,FALSE)</f>
        <v>#N/A</v>
      </c>
      <c r="L410" s="13"/>
    </row>
    <row r="411" spans="1:12" hidden="1" x14ac:dyDescent="0.2">
      <c r="A411" s="1">
        <f>+'PROGRAMA DRENCH PASO 1'!P69</f>
        <v>0</v>
      </c>
      <c r="B411" s="1"/>
      <c r="C411" s="1" t="str">
        <f>IFERROR((VLOOKUP($A411,'CODIGOS D'!$A$3:$S$451,2,FALSE)),"0")</f>
        <v>0</v>
      </c>
      <c r="D411" s="24">
        <f>+'PROGRAMA DRENCH PASO 1'!Q69</f>
        <v>0</v>
      </c>
      <c r="E411" s="1"/>
      <c r="F411" s="1"/>
      <c r="G411" s="1"/>
      <c r="H411" s="5">
        <f t="shared" si="31"/>
        <v>0</v>
      </c>
      <c r="I411" s="1"/>
      <c r="J411" s="1"/>
      <c r="K411" s="11" t="e">
        <f>VLOOKUP(H411,'Inf Bloques'!$A$1:$J$453,10,FALSE)</f>
        <v>#N/A</v>
      </c>
      <c r="L411" s="13"/>
    </row>
    <row r="412" spans="1:12" hidden="1" x14ac:dyDescent="0.2">
      <c r="A412" s="1">
        <f>+'PROGRAMA DRENCH PASO 1'!T69</f>
        <v>0</v>
      </c>
      <c r="B412" s="1"/>
      <c r="C412" s="1" t="str">
        <f>IFERROR((VLOOKUP($A412,'CODIGOS D'!$A$3:$S$451,2,FALSE)),"0")</f>
        <v>0</v>
      </c>
      <c r="D412" s="24">
        <f>+'PROGRAMA DRENCH PASO 1'!U69</f>
        <v>0</v>
      </c>
      <c r="E412" s="1"/>
      <c r="F412" s="1"/>
      <c r="G412" s="1"/>
      <c r="H412" s="5">
        <f t="shared" si="31"/>
        <v>0</v>
      </c>
      <c r="I412" s="1"/>
      <c r="J412" s="1"/>
      <c r="K412" s="11" t="e">
        <f>VLOOKUP(H412,'Inf Bloques'!$A$1:$J$453,10,FALSE)</f>
        <v>#N/A</v>
      </c>
      <c r="L412" s="13"/>
    </row>
    <row r="413" spans="1:12" hidden="1" x14ac:dyDescent="0.2">
      <c r="A413" s="1">
        <f>+'PROGRAMA DRENCH PASO 1'!X69</f>
        <v>0</v>
      </c>
      <c r="B413" s="1"/>
      <c r="C413" s="1" t="str">
        <f>IFERROR((VLOOKUP($A413,'CODIGOS D'!$A$3:$S$451,2,FALSE)),"0")</f>
        <v>0</v>
      </c>
      <c r="D413" s="24">
        <f>+'PROGRAMA DRENCH PASO 1'!Y69</f>
        <v>0</v>
      </c>
      <c r="E413" s="1"/>
      <c r="F413" s="1"/>
      <c r="G413" s="1"/>
      <c r="H413" s="5">
        <f t="shared" si="31"/>
        <v>0</v>
      </c>
      <c r="I413" s="1"/>
      <c r="J413" s="1"/>
      <c r="K413" s="11" t="e">
        <f>VLOOKUP(H413,'Inf Bloques'!$A$1:$J$453,10,FALSE)</f>
        <v>#N/A</v>
      </c>
      <c r="L413" s="13"/>
    </row>
    <row r="414" spans="1:12" hidden="1" x14ac:dyDescent="0.2">
      <c r="A414" s="1">
        <f>+'PROGRAMA DRENCH PASO 1'!AB69</f>
        <v>0</v>
      </c>
      <c r="B414" s="1"/>
      <c r="C414" s="1" t="str">
        <f>IFERROR((VLOOKUP($A414,'CODIGOS D'!$A$3:$S$451,2,FALSE)),"0")</f>
        <v>0</v>
      </c>
      <c r="D414" s="24">
        <f>+'PROGRAMA DRENCH PASO 1'!AC69</f>
        <v>0</v>
      </c>
      <c r="E414" s="1"/>
      <c r="F414" s="1"/>
      <c r="G414" s="1"/>
      <c r="H414" s="5">
        <f t="shared" si="31"/>
        <v>0</v>
      </c>
      <c r="I414" s="1"/>
      <c r="J414" s="1"/>
      <c r="K414" s="11" t="e">
        <f>VLOOKUP(H414,'Inf Bloques'!$A$1:$J$453,10,FALSE)</f>
        <v>#N/A</v>
      </c>
      <c r="L414" s="13"/>
    </row>
    <row r="415" spans="1:12" hidden="1" x14ac:dyDescent="0.2">
      <c r="A415" s="1">
        <f>+'PROGRAMA DRENCH PASO 1'!AF69</f>
        <v>0</v>
      </c>
      <c r="B415" s="1"/>
      <c r="C415" s="1" t="str">
        <f>IFERROR((VLOOKUP($A415,'CODIGOS D'!$A$3:$S$451,2,FALSE)),"0")</f>
        <v>0</v>
      </c>
      <c r="D415" s="24">
        <f>+'PROGRAMA DRENCH PASO 1'!AG69</f>
        <v>0</v>
      </c>
      <c r="E415" s="1"/>
      <c r="F415" s="1"/>
      <c r="G415" s="1"/>
      <c r="H415" s="5">
        <f t="shared" si="31"/>
        <v>0</v>
      </c>
      <c r="I415" s="1"/>
      <c r="J415" s="1"/>
      <c r="K415" s="11" t="e">
        <f>VLOOKUP(H415,'Inf Bloques'!$A$1:$J$453,10,FALSE)</f>
        <v>#N/A</v>
      </c>
      <c r="L415" s="13"/>
    </row>
    <row r="416" spans="1:12" hidden="1" x14ac:dyDescent="0.2">
      <c r="A416" s="1">
        <f>+'PROGRAMA DRENCH PASO 1'!P70</f>
        <v>0</v>
      </c>
      <c r="B416" s="1"/>
      <c r="C416" s="1" t="str">
        <f>IFERROR((VLOOKUP($A416,'CODIGOS D'!$A$3:$S$451,2,FALSE)),"0")</f>
        <v>0</v>
      </c>
      <c r="D416" s="24">
        <f>+'PROGRAMA DRENCH PASO 1'!Q70</f>
        <v>0</v>
      </c>
      <c r="E416" s="1"/>
      <c r="F416" s="1"/>
      <c r="G416" s="1"/>
      <c r="H416" s="5">
        <f t="shared" si="31"/>
        <v>0</v>
      </c>
      <c r="I416" s="1"/>
      <c r="J416" s="1"/>
      <c r="K416" s="11" t="e">
        <f>VLOOKUP(H416,'Inf Bloques'!$A$1:$J$453,10,FALSE)</f>
        <v>#N/A</v>
      </c>
      <c r="L416" s="13"/>
    </row>
    <row r="417" spans="1:12" hidden="1" x14ac:dyDescent="0.2">
      <c r="A417" s="1">
        <f>+'PROGRAMA DRENCH PASO 1'!T70</f>
        <v>0</v>
      </c>
      <c r="B417" s="1"/>
      <c r="C417" s="1" t="str">
        <f>IFERROR((VLOOKUP($A417,'CODIGOS D'!$A$3:$S$451,2,FALSE)),"0")</f>
        <v>0</v>
      </c>
      <c r="D417" s="24">
        <f>+'PROGRAMA DRENCH PASO 1'!U70</f>
        <v>0</v>
      </c>
      <c r="E417" s="1"/>
      <c r="F417" s="1"/>
      <c r="G417" s="1"/>
      <c r="H417" s="5">
        <f t="shared" si="31"/>
        <v>0</v>
      </c>
      <c r="I417" s="1"/>
      <c r="J417" s="1"/>
      <c r="K417" s="11" t="e">
        <f>VLOOKUP(H417,'Inf Bloques'!$A$1:$J$453,10,FALSE)</f>
        <v>#N/A</v>
      </c>
      <c r="L417" s="13"/>
    </row>
    <row r="418" spans="1:12" hidden="1" x14ac:dyDescent="0.2">
      <c r="A418" s="1">
        <f>+'PROGRAMA DRENCH PASO 1'!X70</f>
        <v>0</v>
      </c>
      <c r="B418" s="1"/>
      <c r="C418" s="1" t="str">
        <f>IFERROR((VLOOKUP($A418,'CODIGOS D'!$A$3:$S$451,2,FALSE)),"0")</f>
        <v>0</v>
      </c>
      <c r="D418" s="24">
        <f>+'PROGRAMA DRENCH PASO 1'!Y70</f>
        <v>0</v>
      </c>
      <c r="E418" s="1"/>
      <c r="F418" s="1"/>
      <c r="G418" s="1"/>
      <c r="H418" s="5">
        <f t="shared" si="31"/>
        <v>0</v>
      </c>
      <c r="I418" s="1"/>
      <c r="J418" s="1"/>
      <c r="K418" s="11" t="e">
        <f>VLOOKUP(H418,'Inf Bloques'!$A$1:$J$453,10,FALSE)</f>
        <v>#N/A</v>
      </c>
      <c r="L418" s="13"/>
    </row>
    <row r="419" spans="1:12" hidden="1" x14ac:dyDescent="0.2">
      <c r="A419" s="1">
        <f>+'PROGRAMA DRENCH PASO 1'!AB70</f>
        <v>0</v>
      </c>
      <c r="B419" s="1"/>
      <c r="C419" s="1" t="str">
        <f>IFERROR((VLOOKUP($A419,'CODIGOS D'!$A$3:$S$451,2,FALSE)),"0")</f>
        <v>0</v>
      </c>
      <c r="D419" s="24">
        <f>+'PROGRAMA DRENCH PASO 1'!AC70</f>
        <v>0</v>
      </c>
      <c r="E419" s="1"/>
      <c r="F419" s="1"/>
      <c r="G419" s="1"/>
      <c r="H419" s="5">
        <f t="shared" si="31"/>
        <v>0</v>
      </c>
      <c r="I419" s="1"/>
      <c r="J419" s="1"/>
      <c r="K419" s="11" t="e">
        <f>VLOOKUP(H419,'Inf Bloques'!$A$1:$J$453,10,FALSE)</f>
        <v>#N/A</v>
      </c>
      <c r="L419" s="13"/>
    </row>
    <row r="420" spans="1:12" hidden="1" x14ac:dyDescent="0.2">
      <c r="A420" s="1">
        <f>+'PROGRAMA DRENCH PASO 1'!AF70</f>
        <v>0</v>
      </c>
      <c r="B420" s="1"/>
      <c r="C420" s="1" t="str">
        <f>IFERROR((VLOOKUP($A420,'CODIGOS D'!$A$3:$S$451,2,FALSE)),"0")</f>
        <v>0</v>
      </c>
      <c r="D420" s="24">
        <f>+'PROGRAMA DRENCH PASO 1'!AG70</f>
        <v>0</v>
      </c>
      <c r="E420" s="1"/>
      <c r="F420" s="1"/>
      <c r="G420" s="1"/>
      <c r="H420" s="5">
        <f t="shared" si="31"/>
        <v>0</v>
      </c>
      <c r="I420" s="1"/>
      <c r="J420" s="1"/>
      <c r="K420" s="11" t="e">
        <f>VLOOKUP(H420,'Inf Bloques'!$A$1:$J$453,10,FALSE)</f>
        <v>#N/A</v>
      </c>
      <c r="L420" s="13"/>
    </row>
    <row r="421" spans="1:12" hidden="1" x14ac:dyDescent="0.2">
      <c r="A421" s="1">
        <f>+'PROGRAMA DRENCH PASO 1'!P71</f>
        <v>0</v>
      </c>
      <c r="B421" s="1"/>
      <c r="C421" s="1" t="str">
        <f>IFERROR((VLOOKUP($A421,'CODIGOS D'!$A$3:$S$451,2,FALSE)),"0")</f>
        <v>0</v>
      </c>
      <c r="D421" s="24">
        <f>+'PROGRAMA DRENCH PASO 1'!Q71</f>
        <v>0</v>
      </c>
      <c r="E421" s="1"/>
      <c r="F421" s="1"/>
      <c r="G421" s="1"/>
      <c r="H421" s="5">
        <f t="shared" si="31"/>
        <v>0</v>
      </c>
      <c r="I421" s="1"/>
      <c r="J421" s="1"/>
      <c r="K421" s="11" t="e">
        <f>VLOOKUP(H421,'Inf Bloques'!$A$1:$J$453,10,FALSE)</f>
        <v>#N/A</v>
      </c>
      <c r="L421" s="13"/>
    </row>
    <row r="422" spans="1:12" hidden="1" x14ac:dyDescent="0.2">
      <c r="A422" s="1">
        <f>+'PROGRAMA DRENCH PASO 1'!T71</f>
        <v>0</v>
      </c>
      <c r="B422" s="1"/>
      <c r="C422" s="1" t="str">
        <f>IFERROR((VLOOKUP($A422,'CODIGOS D'!$A$3:$S$451,2,FALSE)),"0")</f>
        <v>0</v>
      </c>
      <c r="D422" s="24">
        <f>+'PROGRAMA DRENCH PASO 1'!U71</f>
        <v>0</v>
      </c>
      <c r="E422" s="1"/>
      <c r="F422" s="1"/>
      <c r="G422" s="1"/>
      <c r="H422" s="5">
        <f t="shared" si="31"/>
        <v>0</v>
      </c>
      <c r="I422" s="1"/>
      <c r="J422" s="1"/>
      <c r="K422" s="11" t="e">
        <f>VLOOKUP(H422,'Inf Bloques'!$A$1:$J$453,10,FALSE)</f>
        <v>#N/A</v>
      </c>
      <c r="L422" s="13"/>
    </row>
    <row r="423" spans="1:12" hidden="1" x14ac:dyDescent="0.2">
      <c r="A423" s="1">
        <f>+'PROGRAMA DRENCH PASO 1'!X71</f>
        <v>0</v>
      </c>
      <c r="B423" s="1"/>
      <c r="C423" s="1" t="str">
        <f>IFERROR((VLOOKUP($A423,'CODIGOS D'!$A$3:$S$451,2,FALSE)),"0")</f>
        <v>0</v>
      </c>
      <c r="D423" s="24">
        <f>+'PROGRAMA DRENCH PASO 1'!Y71</f>
        <v>0</v>
      </c>
      <c r="E423" s="1"/>
      <c r="F423" s="1"/>
      <c r="G423" s="1"/>
      <c r="H423" s="5">
        <f t="shared" si="31"/>
        <v>0</v>
      </c>
      <c r="I423" s="1"/>
      <c r="J423" s="1"/>
      <c r="K423" s="11" t="e">
        <f>VLOOKUP(H423,'Inf Bloques'!$A$1:$J$453,10,FALSE)</f>
        <v>#N/A</v>
      </c>
      <c r="L423" s="13"/>
    </row>
    <row r="424" spans="1:12" hidden="1" x14ac:dyDescent="0.2">
      <c r="A424" s="1">
        <f>+'PROGRAMA DRENCH PASO 1'!AB71</f>
        <v>0</v>
      </c>
      <c r="B424" s="1"/>
      <c r="C424" s="1" t="str">
        <f>IFERROR((VLOOKUP($A424,'CODIGOS D'!$A$3:$S$451,2,FALSE)),"0")</f>
        <v>0</v>
      </c>
      <c r="D424" s="24">
        <f>+'PROGRAMA DRENCH PASO 1'!AC71</f>
        <v>0</v>
      </c>
      <c r="E424" s="1"/>
      <c r="F424" s="1"/>
      <c r="G424" s="1"/>
      <c r="H424" s="5">
        <f t="shared" ref="H424:H470" si="32">+H423</f>
        <v>0</v>
      </c>
      <c r="I424" s="1"/>
      <c r="J424" s="1"/>
      <c r="K424" s="11" t="e">
        <f>VLOOKUP(H424,'Inf Bloques'!$A$1:$J$453,10,FALSE)</f>
        <v>#N/A</v>
      </c>
      <c r="L424" s="13"/>
    </row>
    <row r="425" spans="1:12" hidden="1" x14ac:dyDescent="0.2">
      <c r="A425" s="1">
        <f>+'PROGRAMA DRENCH PASO 1'!AF71</f>
        <v>0</v>
      </c>
      <c r="B425" s="1"/>
      <c r="C425" s="1" t="str">
        <f>IFERROR((VLOOKUP($A425,'CODIGOS D'!$A$3:$S$451,2,FALSE)),"0")</f>
        <v>0</v>
      </c>
      <c r="D425" s="24">
        <f>+'PROGRAMA DRENCH PASO 1'!AG71</f>
        <v>0</v>
      </c>
      <c r="E425" s="1"/>
      <c r="F425" s="1"/>
      <c r="G425" s="1"/>
      <c r="H425" s="5">
        <f t="shared" si="32"/>
        <v>0</v>
      </c>
      <c r="I425" s="1"/>
      <c r="J425" s="1"/>
      <c r="K425" s="11" t="e">
        <f>VLOOKUP(H425,'Inf Bloques'!$A$1:$J$453,10,FALSE)</f>
        <v>#N/A</v>
      </c>
      <c r="L425" s="13"/>
    </row>
    <row r="426" spans="1:12" hidden="1" x14ac:dyDescent="0.2">
      <c r="A426" s="1">
        <f>+'PROGRAMA DRENCH PASO 1'!P72</f>
        <v>0</v>
      </c>
      <c r="B426" s="1"/>
      <c r="C426" s="1" t="str">
        <f>IFERROR((VLOOKUP($A426,'CODIGOS D'!$A$3:$S$451,2,FALSE)),"0")</f>
        <v>0</v>
      </c>
      <c r="D426" s="24">
        <f>+'PROGRAMA DRENCH PASO 1'!Q72</f>
        <v>0</v>
      </c>
      <c r="E426" s="1"/>
      <c r="F426" s="1"/>
      <c r="G426" s="1"/>
      <c r="H426" s="5">
        <f t="shared" si="32"/>
        <v>0</v>
      </c>
      <c r="I426" s="1"/>
      <c r="J426" s="1"/>
      <c r="K426" s="11" t="e">
        <f>VLOOKUP(H426,'Inf Bloques'!$A$1:$J$453,10,FALSE)</f>
        <v>#N/A</v>
      </c>
      <c r="L426" s="13"/>
    </row>
    <row r="427" spans="1:12" hidden="1" x14ac:dyDescent="0.2">
      <c r="A427" s="1">
        <f>+'PROGRAMA DRENCH PASO 1'!T72</f>
        <v>0</v>
      </c>
      <c r="B427" s="1"/>
      <c r="C427" s="1" t="str">
        <f>IFERROR((VLOOKUP($A427,'CODIGOS D'!$A$3:$S$451,2,FALSE)),"0")</f>
        <v>0</v>
      </c>
      <c r="D427" s="24">
        <f>+'PROGRAMA DRENCH PASO 1'!U72</f>
        <v>0</v>
      </c>
      <c r="E427" s="1"/>
      <c r="F427" s="1"/>
      <c r="G427" s="1"/>
      <c r="H427" s="5">
        <f t="shared" si="32"/>
        <v>0</v>
      </c>
      <c r="I427" s="1"/>
      <c r="J427" s="1"/>
      <c r="K427" s="11" t="e">
        <f>VLOOKUP(H427,'Inf Bloques'!$A$1:$J$453,10,FALSE)</f>
        <v>#N/A</v>
      </c>
      <c r="L427" s="13"/>
    </row>
    <row r="428" spans="1:12" hidden="1" x14ac:dyDescent="0.2">
      <c r="A428" s="1">
        <f>+'PROGRAMA DRENCH PASO 1'!X72</f>
        <v>0</v>
      </c>
      <c r="B428" s="1"/>
      <c r="C428" s="1" t="str">
        <f>IFERROR((VLOOKUP($A428,'CODIGOS D'!$A$3:$S$451,2,FALSE)),"0")</f>
        <v>0</v>
      </c>
      <c r="D428" s="24">
        <f>+'PROGRAMA DRENCH PASO 1'!Y72</f>
        <v>0</v>
      </c>
      <c r="E428" s="1"/>
      <c r="F428" s="1"/>
      <c r="G428" s="1"/>
      <c r="H428" s="5">
        <f t="shared" si="32"/>
        <v>0</v>
      </c>
      <c r="I428" s="1"/>
      <c r="J428" s="1"/>
      <c r="K428" s="11" t="e">
        <f>VLOOKUP(H428,'Inf Bloques'!$A$1:$J$453,10,FALSE)</f>
        <v>#N/A</v>
      </c>
      <c r="L428" s="13"/>
    </row>
    <row r="429" spans="1:12" hidden="1" x14ac:dyDescent="0.2">
      <c r="A429" s="1">
        <f>+'PROGRAMA DRENCH PASO 1'!AB72</f>
        <v>0</v>
      </c>
      <c r="B429" s="1"/>
      <c r="C429" s="1" t="str">
        <f>IFERROR((VLOOKUP($A429,'CODIGOS D'!$A$3:$S$451,2,FALSE)),"0")</f>
        <v>0</v>
      </c>
      <c r="D429" s="24">
        <f>+'PROGRAMA DRENCH PASO 1'!AC72</f>
        <v>0</v>
      </c>
      <c r="E429" s="1"/>
      <c r="F429" s="1"/>
      <c r="G429" s="1"/>
      <c r="H429" s="5">
        <f t="shared" si="32"/>
        <v>0</v>
      </c>
      <c r="I429" s="1"/>
      <c r="J429" s="1"/>
      <c r="K429" s="11" t="e">
        <f>VLOOKUP(H429,'Inf Bloques'!$A$1:$J$453,10,FALSE)</f>
        <v>#N/A</v>
      </c>
      <c r="L429" s="13"/>
    </row>
    <row r="430" spans="1:12" hidden="1" x14ac:dyDescent="0.2">
      <c r="A430" s="1">
        <f>+'PROGRAMA DRENCH PASO 1'!AF72</f>
        <v>0</v>
      </c>
      <c r="B430" s="1"/>
      <c r="C430" s="1" t="str">
        <f>IFERROR((VLOOKUP($A430,'CODIGOS D'!$A$3:$S$451,2,FALSE)),"0")</f>
        <v>0</v>
      </c>
      <c r="D430" s="24">
        <f>+'PROGRAMA DRENCH PASO 1'!AG72</f>
        <v>0</v>
      </c>
      <c r="E430" s="1"/>
      <c r="F430" s="1"/>
      <c r="G430" s="1"/>
      <c r="H430" s="5">
        <f t="shared" si="32"/>
        <v>0</v>
      </c>
      <c r="I430" s="1"/>
      <c r="J430" s="1"/>
      <c r="K430" s="11" t="e">
        <f>VLOOKUP(H430,'Inf Bloques'!$A$1:$J$453,10,FALSE)</f>
        <v>#N/A</v>
      </c>
      <c r="L430" s="13"/>
    </row>
    <row r="431" spans="1:12" hidden="1" x14ac:dyDescent="0.2">
      <c r="A431" s="1">
        <f>+'PROGRAMA DRENCH PASO 1'!P73</f>
        <v>0</v>
      </c>
      <c r="B431" s="1"/>
      <c r="C431" s="1" t="str">
        <f>IFERROR((VLOOKUP($A431,'CODIGOS D'!$A$3:$S$451,2,FALSE)),"0")</f>
        <v>0</v>
      </c>
      <c r="D431" s="24">
        <f>+'PROGRAMA DRENCH PASO 1'!Q73</f>
        <v>0</v>
      </c>
      <c r="E431" s="1"/>
      <c r="F431" s="1"/>
      <c r="G431" s="1"/>
      <c r="H431" s="5">
        <f t="shared" si="32"/>
        <v>0</v>
      </c>
      <c r="I431" s="1"/>
      <c r="J431" s="1"/>
      <c r="K431" s="11" t="e">
        <f>VLOOKUP(H431,'Inf Bloques'!$A$1:$J$453,10,FALSE)</f>
        <v>#N/A</v>
      </c>
      <c r="L431" s="13"/>
    </row>
    <row r="432" spans="1:12" hidden="1" x14ac:dyDescent="0.2">
      <c r="A432" s="1">
        <f>+'PROGRAMA DRENCH PASO 1'!T73</f>
        <v>0</v>
      </c>
      <c r="B432" s="1"/>
      <c r="C432" s="1" t="str">
        <f>IFERROR((VLOOKUP($A432,'CODIGOS D'!$A$3:$S$451,2,FALSE)),"0")</f>
        <v>0</v>
      </c>
      <c r="D432" s="24">
        <f>+'PROGRAMA DRENCH PASO 1'!U73</f>
        <v>0</v>
      </c>
      <c r="E432" s="1"/>
      <c r="F432" s="1"/>
      <c r="G432" s="1"/>
      <c r="H432" s="5">
        <f t="shared" si="32"/>
        <v>0</v>
      </c>
      <c r="I432" s="1"/>
      <c r="J432" s="1"/>
      <c r="K432" s="11" t="e">
        <f>VLOOKUP(H432,'Inf Bloques'!$A$1:$J$453,10,FALSE)</f>
        <v>#N/A</v>
      </c>
      <c r="L432" s="13"/>
    </row>
    <row r="433" spans="1:12" hidden="1" x14ac:dyDescent="0.2">
      <c r="A433" s="1">
        <f>+'PROGRAMA DRENCH PASO 1'!X73</f>
        <v>0</v>
      </c>
      <c r="B433" s="1"/>
      <c r="C433" s="1" t="str">
        <f>IFERROR((VLOOKUP($A433,'CODIGOS D'!$A$3:$S$451,2,FALSE)),"0")</f>
        <v>0</v>
      </c>
      <c r="D433" s="24">
        <f>+'PROGRAMA DRENCH PASO 1'!Y73</f>
        <v>0</v>
      </c>
      <c r="E433" s="1"/>
      <c r="F433" s="1"/>
      <c r="G433" s="1"/>
      <c r="H433" s="5">
        <f t="shared" si="32"/>
        <v>0</v>
      </c>
      <c r="I433" s="1"/>
      <c r="J433" s="1"/>
      <c r="K433" s="11" t="e">
        <f>VLOOKUP(H433,'Inf Bloques'!$A$1:$J$453,10,FALSE)</f>
        <v>#N/A</v>
      </c>
      <c r="L433" s="13"/>
    </row>
    <row r="434" spans="1:12" hidden="1" x14ac:dyDescent="0.2">
      <c r="A434" s="1">
        <f>+'PROGRAMA DRENCH PASO 1'!AB73</f>
        <v>0</v>
      </c>
      <c r="B434" s="1"/>
      <c r="C434" s="1" t="str">
        <f>IFERROR((VLOOKUP($A434,'CODIGOS D'!$A$3:$S$451,2,FALSE)),"0")</f>
        <v>0</v>
      </c>
      <c r="D434" s="24">
        <f>+'PROGRAMA DRENCH PASO 1'!AC73</f>
        <v>0</v>
      </c>
      <c r="E434" s="1"/>
      <c r="F434" s="1"/>
      <c r="G434" s="1"/>
      <c r="H434" s="5">
        <f t="shared" si="32"/>
        <v>0</v>
      </c>
      <c r="I434" s="1"/>
      <c r="J434" s="1"/>
      <c r="K434" s="11" t="e">
        <f>VLOOKUP(H434,'Inf Bloques'!$A$1:$J$453,10,FALSE)</f>
        <v>#N/A</v>
      </c>
      <c r="L434" s="13"/>
    </row>
    <row r="435" spans="1:12" hidden="1" x14ac:dyDescent="0.2">
      <c r="A435" s="1">
        <f>+'PROGRAMA DRENCH PASO 1'!AF73</f>
        <v>0</v>
      </c>
      <c r="B435" s="1"/>
      <c r="C435" s="1" t="str">
        <f>IFERROR((VLOOKUP($A435,'CODIGOS D'!$A$3:$S$451,2,FALSE)),"0")</f>
        <v>0</v>
      </c>
      <c r="D435" s="24">
        <f>+'PROGRAMA DRENCH PASO 1'!AG73</f>
        <v>0</v>
      </c>
      <c r="E435" s="1"/>
      <c r="F435" s="1"/>
      <c r="G435" s="1"/>
      <c r="H435" s="5">
        <f t="shared" si="32"/>
        <v>0</v>
      </c>
      <c r="I435" s="1"/>
      <c r="J435" s="1"/>
      <c r="K435" s="11" t="e">
        <f>VLOOKUP(H435,'Inf Bloques'!$A$1:$J$453,10,FALSE)</f>
        <v>#N/A</v>
      </c>
      <c r="L435" s="13"/>
    </row>
    <row r="436" spans="1:12" hidden="1" x14ac:dyDescent="0.2">
      <c r="A436" s="1">
        <f>+'PROGRAMA DRENCH PASO 1'!P74</f>
        <v>0</v>
      </c>
      <c r="B436" s="1"/>
      <c r="C436" s="1" t="str">
        <f>IFERROR((VLOOKUP($A436,'CODIGOS D'!$A$3:$S$451,2,FALSE)),"0")</f>
        <v>0</v>
      </c>
      <c r="D436" s="24">
        <f>+'PROGRAMA DRENCH PASO 1'!Q74</f>
        <v>0</v>
      </c>
      <c r="E436" s="1"/>
      <c r="F436" s="1"/>
      <c r="G436" s="1"/>
      <c r="H436" s="5">
        <f t="shared" si="32"/>
        <v>0</v>
      </c>
      <c r="I436" s="1"/>
      <c r="J436" s="1"/>
      <c r="K436" s="11" t="e">
        <f>VLOOKUP(H436,'Inf Bloques'!$A$1:$J$453,10,FALSE)</f>
        <v>#N/A</v>
      </c>
      <c r="L436" s="13"/>
    </row>
    <row r="437" spans="1:12" hidden="1" x14ac:dyDescent="0.2">
      <c r="A437" s="1">
        <f>+'PROGRAMA DRENCH PASO 1'!T74</f>
        <v>0</v>
      </c>
      <c r="B437" s="1"/>
      <c r="C437" s="1" t="str">
        <f>IFERROR((VLOOKUP($A437,'CODIGOS D'!$A$3:$S$451,2,FALSE)),"0")</f>
        <v>0</v>
      </c>
      <c r="D437" s="24">
        <f>+'PROGRAMA DRENCH PASO 1'!U74</f>
        <v>0</v>
      </c>
      <c r="E437" s="1"/>
      <c r="F437" s="1"/>
      <c r="G437" s="1"/>
      <c r="H437" s="5">
        <f t="shared" si="32"/>
        <v>0</v>
      </c>
      <c r="I437" s="1"/>
      <c r="J437" s="1"/>
      <c r="K437" s="11" t="e">
        <f>VLOOKUP(H437,'Inf Bloques'!$A$1:$J$453,10,FALSE)</f>
        <v>#N/A</v>
      </c>
      <c r="L437" s="13"/>
    </row>
    <row r="438" spans="1:12" hidden="1" x14ac:dyDescent="0.2">
      <c r="A438" s="1">
        <f>+'PROGRAMA DRENCH PASO 1'!X74</f>
        <v>0</v>
      </c>
      <c r="B438" s="1"/>
      <c r="C438" s="1" t="str">
        <f>IFERROR((VLOOKUP($A438,'CODIGOS D'!$A$3:$S$451,2,FALSE)),"0")</f>
        <v>0</v>
      </c>
      <c r="D438" s="24">
        <f>+'PROGRAMA DRENCH PASO 1'!Y74</f>
        <v>0</v>
      </c>
      <c r="E438" s="1"/>
      <c r="F438" s="1"/>
      <c r="G438" s="1"/>
      <c r="H438" s="5">
        <f t="shared" si="32"/>
        <v>0</v>
      </c>
      <c r="I438" s="1"/>
      <c r="J438" s="1"/>
      <c r="K438" s="11" t="e">
        <f>VLOOKUP(H438,'Inf Bloques'!$A$1:$J$453,10,FALSE)</f>
        <v>#N/A</v>
      </c>
      <c r="L438" s="13"/>
    </row>
    <row r="439" spans="1:12" hidden="1" x14ac:dyDescent="0.2">
      <c r="A439" s="1">
        <f>+'PROGRAMA DRENCH PASO 1'!AB74</f>
        <v>0</v>
      </c>
      <c r="B439" s="1"/>
      <c r="C439" s="1" t="str">
        <f>IFERROR((VLOOKUP($A439,'CODIGOS D'!$A$3:$S$451,2,FALSE)),"0")</f>
        <v>0</v>
      </c>
      <c r="D439" s="24">
        <f>+'PROGRAMA DRENCH PASO 1'!AC74</f>
        <v>0</v>
      </c>
      <c r="E439" s="1"/>
      <c r="F439" s="1"/>
      <c r="G439" s="1"/>
      <c r="H439" s="5">
        <f t="shared" si="32"/>
        <v>0</v>
      </c>
      <c r="I439" s="1"/>
      <c r="J439" s="1"/>
      <c r="K439" s="11" t="e">
        <f>VLOOKUP(H439,'Inf Bloques'!$A$1:$J$453,10,FALSE)</f>
        <v>#N/A</v>
      </c>
      <c r="L439" s="13"/>
    </row>
    <row r="440" spans="1:12" hidden="1" x14ac:dyDescent="0.2">
      <c r="A440" s="1">
        <f>+'PROGRAMA DRENCH PASO 1'!AF74</f>
        <v>0</v>
      </c>
      <c r="B440" s="1"/>
      <c r="C440" s="1" t="str">
        <f>IFERROR((VLOOKUP($A440,'CODIGOS D'!$A$3:$S$451,2,FALSE)),"0")</f>
        <v>0</v>
      </c>
      <c r="D440" s="24">
        <f>+'PROGRAMA DRENCH PASO 1'!AG74</f>
        <v>0</v>
      </c>
      <c r="E440" s="1"/>
      <c r="F440" s="1"/>
      <c r="G440" s="1"/>
      <c r="H440" s="5">
        <f t="shared" si="32"/>
        <v>0</v>
      </c>
      <c r="I440" s="1"/>
      <c r="J440" s="1"/>
      <c r="K440" s="11" t="e">
        <f>VLOOKUP(H440,'Inf Bloques'!$A$1:$J$453,10,FALSE)</f>
        <v>#N/A</v>
      </c>
      <c r="L440" s="13"/>
    </row>
    <row r="441" spans="1:12" hidden="1" x14ac:dyDescent="0.2">
      <c r="A441" s="1">
        <f>+'PROGRAMA DRENCH PASO 1'!P75</f>
        <v>0</v>
      </c>
      <c r="B441" s="1"/>
      <c r="C441" s="1" t="str">
        <f>IFERROR((VLOOKUP($A441,'CODIGOS D'!$A$3:$S$451,2,FALSE)),"0")</f>
        <v>0</v>
      </c>
      <c r="D441" s="24">
        <f>+'PROGRAMA DRENCH PASO 1'!Q75</f>
        <v>0</v>
      </c>
      <c r="E441" s="1"/>
      <c r="F441" s="1"/>
      <c r="G441" s="1"/>
      <c r="H441" s="5">
        <f t="shared" si="32"/>
        <v>0</v>
      </c>
      <c r="I441" s="1"/>
      <c r="J441" s="1"/>
      <c r="K441" s="11" t="e">
        <f>VLOOKUP(H441,'Inf Bloques'!$A$1:$J$453,10,FALSE)</f>
        <v>#N/A</v>
      </c>
      <c r="L441" s="13"/>
    </row>
    <row r="442" spans="1:12" hidden="1" x14ac:dyDescent="0.2">
      <c r="A442" s="1">
        <f>+'PROGRAMA DRENCH PASO 1'!T75</f>
        <v>0</v>
      </c>
      <c r="B442" s="1"/>
      <c r="C442" s="1" t="str">
        <f>IFERROR((VLOOKUP($A442,'CODIGOS D'!$A$3:$S$451,2,FALSE)),"0")</f>
        <v>0</v>
      </c>
      <c r="D442" s="24">
        <f>+'PROGRAMA DRENCH PASO 1'!U75</f>
        <v>0</v>
      </c>
      <c r="E442" s="1"/>
      <c r="F442" s="1"/>
      <c r="G442" s="1"/>
      <c r="H442" s="5">
        <f t="shared" si="32"/>
        <v>0</v>
      </c>
      <c r="I442" s="1"/>
      <c r="J442" s="1"/>
      <c r="K442" s="11" t="e">
        <f>VLOOKUP(H442,'Inf Bloques'!$A$1:$J$453,10,FALSE)</f>
        <v>#N/A</v>
      </c>
      <c r="L442" s="13"/>
    </row>
    <row r="443" spans="1:12" hidden="1" x14ac:dyDescent="0.2">
      <c r="A443" s="1">
        <f>+'PROGRAMA DRENCH PASO 1'!X75</f>
        <v>0</v>
      </c>
      <c r="B443" s="1"/>
      <c r="C443" s="1" t="str">
        <f>IFERROR((VLOOKUP($A443,'CODIGOS D'!$A$3:$S$451,2,FALSE)),"0")</f>
        <v>0</v>
      </c>
      <c r="D443" s="24">
        <f>+'PROGRAMA DRENCH PASO 1'!Y75</f>
        <v>0</v>
      </c>
      <c r="E443" s="1"/>
      <c r="F443" s="1"/>
      <c r="G443" s="1"/>
      <c r="H443" s="5">
        <f t="shared" si="32"/>
        <v>0</v>
      </c>
      <c r="I443" s="1"/>
      <c r="J443" s="1"/>
      <c r="K443" s="11" t="e">
        <f>VLOOKUP(H443,'Inf Bloques'!$A$1:$J$453,10,FALSE)</f>
        <v>#N/A</v>
      </c>
      <c r="L443" s="13"/>
    </row>
    <row r="444" spans="1:12" hidden="1" x14ac:dyDescent="0.2">
      <c r="A444" s="1">
        <f>+'PROGRAMA DRENCH PASO 1'!AB75</f>
        <v>0</v>
      </c>
      <c r="B444" s="1"/>
      <c r="C444" s="1" t="str">
        <f>IFERROR((VLOOKUP($A444,'CODIGOS D'!$A$3:$S$451,2,FALSE)),"0")</f>
        <v>0</v>
      </c>
      <c r="D444" s="24">
        <f>+'PROGRAMA DRENCH PASO 1'!AC75</f>
        <v>0</v>
      </c>
      <c r="E444" s="1"/>
      <c r="F444" s="1"/>
      <c r="G444" s="1"/>
      <c r="H444" s="5">
        <f t="shared" si="32"/>
        <v>0</v>
      </c>
      <c r="I444" s="1"/>
      <c r="J444" s="1"/>
      <c r="K444" s="11" t="e">
        <f>VLOOKUP(H444,'Inf Bloques'!$A$1:$J$453,10,FALSE)</f>
        <v>#N/A</v>
      </c>
      <c r="L444" s="13"/>
    </row>
    <row r="445" spans="1:12" hidden="1" x14ac:dyDescent="0.2">
      <c r="A445" s="1">
        <f>+'PROGRAMA DRENCH PASO 1'!AF75</f>
        <v>0</v>
      </c>
      <c r="B445" s="1"/>
      <c r="C445" s="1" t="str">
        <f>IFERROR((VLOOKUP($A445,'CODIGOS D'!$A$3:$S$451,2,FALSE)),"0")</f>
        <v>0</v>
      </c>
      <c r="D445" s="24">
        <f>+'PROGRAMA DRENCH PASO 1'!AG75</f>
        <v>0</v>
      </c>
      <c r="E445" s="1"/>
      <c r="F445" s="1"/>
      <c r="G445" s="1"/>
      <c r="H445" s="5">
        <f t="shared" si="32"/>
        <v>0</v>
      </c>
      <c r="I445" s="1"/>
      <c r="J445" s="1"/>
      <c r="K445" s="11" t="e">
        <f>VLOOKUP(H445,'Inf Bloques'!$A$1:$J$453,10,FALSE)</f>
        <v>#N/A</v>
      </c>
      <c r="L445" s="13"/>
    </row>
    <row r="446" spans="1:12" hidden="1" x14ac:dyDescent="0.2">
      <c r="A446" s="56">
        <f>+'PROGRAMA DRENCH PASO 1'!P76</f>
        <v>0</v>
      </c>
      <c r="B446" s="1"/>
      <c r="C446" s="1" t="str">
        <f>IFERROR((VLOOKUP($A446,'CODIGOS D'!$A$3:$S$451,2,FALSE)),"0")</f>
        <v>0</v>
      </c>
      <c r="D446" s="24">
        <f>+'PROGRAMA DRENCH PASO 1'!Q76</f>
        <v>0</v>
      </c>
      <c r="E446" s="1"/>
      <c r="F446" s="1"/>
      <c r="G446" s="1"/>
      <c r="H446" s="5">
        <f t="shared" si="32"/>
        <v>0</v>
      </c>
      <c r="I446" s="1"/>
      <c r="J446" s="1"/>
      <c r="K446" s="11" t="e">
        <f>VLOOKUP(H446,'Inf Bloques'!$A$1:$J$453,10,FALSE)</f>
        <v>#N/A</v>
      </c>
      <c r="L446" s="13"/>
    </row>
    <row r="447" spans="1:12" hidden="1" x14ac:dyDescent="0.2">
      <c r="A447" s="56">
        <f>+'PROGRAMA DRENCH PASO 1'!T76</f>
        <v>0</v>
      </c>
      <c r="B447" s="1"/>
      <c r="C447" s="1" t="str">
        <f>IFERROR((VLOOKUP($A447,'CODIGOS D'!$A$3:$S$451,2,FALSE)),"0")</f>
        <v>0</v>
      </c>
      <c r="D447" s="24">
        <f>+'PROGRAMA DRENCH PASO 1'!U76</f>
        <v>0</v>
      </c>
      <c r="E447" s="1"/>
      <c r="F447" s="1"/>
      <c r="G447" s="1"/>
      <c r="H447" s="5">
        <f t="shared" si="32"/>
        <v>0</v>
      </c>
      <c r="I447" s="1"/>
      <c r="J447" s="1"/>
      <c r="K447" s="11" t="e">
        <f>VLOOKUP(H447,'Inf Bloques'!$A$1:$J$453,10,FALSE)</f>
        <v>#N/A</v>
      </c>
      <c r="L447" s="13"/>
    </row>
    <row r="448" spans="1:12" hidden="1" x14ac:dyDescent="0.2">
      <c r="A448" s="56">
        <f>+'PROGRAMA DRENCH PASO 1'!X76</f>
        <v>0</v>
      </c>
      <c r="B448" s="1"/>
      <c r="C448" s="1" t="str">
        <f>IFERROR((VLOOKUP($A448,'CODIGOS D'!$A$3:$S$451,2,FALSE)),"0")</f>
        <v>0</v>
      </c>
      <c r="D448" s="24">
        <f>+'PROGRAMA DRENCH PASO 1'!Y76</f>
        <v>0</v>
      </c>
      <c r="E448" s="1"/>
      <c r="F448" s="1"/>
      <c r="G448" s="1"/>
      <c r="H448" s="5">
        <f t="shared" si="32"/>
        <v>0</v>
      </c>
      <c r="I448" s="1"/>
      <c r="J448" s="1"/>
      <c r="K448" s="11" t="e">
        <f>VLOOKUP(H448,'Inf Bloques'!$A$1:$J$453,10,FALSE)</f>
        <v>#N/A</v>
      </c>
      <c r="L448" s="13"/>
    </row>
    <row r="449" spans="1:12" hidden="1" x14ac:dyDescent="0.2">
      <c r="A449" s="56">
        <f>+'PROGRAMA DRENCH PASO 1'!AB76</f>
        <v>0</v>
      </c>
      <c r="B449" s="1"/>
      <c r="C449" s="1" t="str">
        <f>IFERROR((VLOOKUP($A449,'CODIGOS D'!$A$3:$S$451,2,FALSE)),"0")</f>
        <v>0</v>
      </c>
      <c r="D449" s="24">
        <f>+'PROGRAMA DRENCH PASO 1'!AC76</f>
        <v>0</v>
      </c>
      <c r="E449" s="1"/>
      <c r="F449" s="1"/>
      <c r="G449" s="1"/>
      <c r="H449" s="5">
        <f t="shared" si="32"/>
        <v>0</v>
      </c>
      <c r="I449" s="1"/>
      <c r="J449" s="1"/>
      <c r="K449" s="11" t="e">
        <f>VLOOKUP(H449,'Inf Bloques'!$A$1:$J$453,10,FALSE)</f>
        <v>#N/A</v>
      </c>
      <c r="L449" s="13"/>
    </row>
    <row r="450" spans="1:12" hidden="1" x14ac:dyDescent="0.2">
      <c r="A450" s="56">
        <f>+'PROGRAMA DRENCH PASO 1'!AF76</f>
        <v>0</v>
      </c>
      <c r="B450" s="1"/>
      <c r="C450" s="1" t="str">
        <f>IFERROR((VLOOKUP($A450,'CODIGOS D'!$A$3:$S$451,2,FALSE)),"0")</f>
        <v>0</v>
      </c>
      <c r="D450" s="24">
        <f>+'PROGRAMA DRENCH PASO 1'!AG76</f>
        <v>0</v>
      </c>
      <c r="E450" s="1"/>
      <c r="F450" s="1"/>
      <c r="G450" s="1"/>
      <c r="H450" s="5">
        <f t="shared" si="32"/>
        <v>0</v>
      </c>
      <c r="I450" s="1"/>
      <c r="J450" s="1"/>
      <c r="K450" s="11" t="e">
        <f>VLOOKUP(H450,'Inf Bloques'!$A$1:$J$453,10,FALSE)</f>
        <v>#N/A</v>
      </c>
      <c r="L450" s="13"/>
    </row>
    <row r="451" spans="1:12" hidden="1" x14ac:dyDescent="0.2">
      <c r="A451" s="1">
        <f>+'PROGRAMA DRENCH PASO 1'!P77</f>
        <v>0</v>
      </c>
      <c r="B451" s="1"/>
      <c r="C451" s="1" t="str">
        <f>IFERROR((VLOOKUP($A451,'CODIGOS D'!$A$3:$S$451,2,FALSE)),"0")</f>
        <v>0</v>
      </c>
      <c r="D451" s="24">
        <f>+'PROGRAMA DRENCH PASO 1'!Q77</f>
        <v>0</v>
      </c>
      <c r="E451" s="1"/>
      <c r="F451" s="1"/>
      <c r="G451" s="1"/>
      <c r="H451" s="5">
        <f t="shared" si="32"/>
        <v>0</v>
      </c>
      <c r="I451" s="1"/>
      <c r="J451" s="1"/>
      <c r="K451" s="11" t="e">
        <f>VLOOKUP(H451,'Inf Bloques'!$A$1:$J$453,10,FALSE)</f>
        <v>#N/A</v>
      </c>
      <c r="L451" s="13"/>
    </row>
    <row r="452" spans="1:12" hidden="1" x14ac:dyDescent="0.2">
      <c r="A452" s="1">
        <f>+'PROGRAMA DRENCH PASO 1'!T77</f>
        <v>0</v>
      </c>
      <c r="B452" s="1"/>
      <c r="C452" s="1" t="str">
        <f>IFERROR((VLOOKUP($A452,'CODIGOS D'!$A$3:$S$451,2,FALSE)),"0")</f>
        <v>0</v>
      </c>
      <c r="D452" s="24">
        <f>+'PROGRAMA DRENCH PASO 1'!U77</f>
        <v>0</v>
      </c>
      <c r="E452" s="1"/>
      <c r="F452" s="1"/>
      <c r="G452" s="1"/>
      <c r="H452" s="5">
        <f t="shared" si="32"/>
        <v>0</v>
      </c>
      <c r="I452" s="1"/>
      <c r="J452" s="1"/>
      <c r="K452" s="11" t="e">
        <f>VLOOKUP(H452,'Inf Bloques'!$A$1:$J$453,10,FALSE)</f>
        <v>#N/A</v>
      </c>
      <c r="L452" s="13"/>
    </row>
    <row r="453" spans="1:12" hidden="1" x14ac:dyDescent="0.2">
      <c r="A453" s="1">
        <f>+'PROGRAMA DRENCH PASO 1'!X77</f>
        <v>0</v>
      </c>
      <c r="B453" s="1"/>
      <c r="C453" s="1" t="str">
        <f>IFERROR((VLOOKUP($A453,'CODIGOS D'!$A$3:$S$451,2,FALSE)),"0")</f>
        <v>0</v>
      </c>
      <c r="D453" s="24">
        <f>+'PROGRAMA DRENCH PASO 1'!Y77</f>
        <v>0</v>
      </c>
      <c r="E453" s="1"/>
      <c r="F453" s="1"/>
      <c r="G453" s="1"/>
      <c r="H453" s="5">
        <f t="shared" si="32"/>
        <v>0</v>
      </c>
      <c r="I453" s="1"/>
      <c r="J453" s="1"/>
      <c r="K453" s="11" t="e">
        <f>VLOOKUP(H453,'Inf Bloques'!$A$1:$J$453,10,FALSE)</f>
        <v>#N/A</v>
      </c>
      <c r="L453" s="13"/>
    </row>
    <row r="454" spans="1:12" hidden="1" x14ac:dyDescent="0.2">
      <c r="A454" s="1">
        <f>+'PROGRAMA DRENCH PASO 1'!AB77</f>
        <v>0</v>
      </c>
      <c r="B454" s="1"/>
      <c r="C454" s="1" t="str">
        <f>IFERROR((VLOOKUP($A454,'CODIGOS D'!$A$3:$S$451,2,FALSE)),"0")</f>
        <v>0</v>
      </c>
      <c r="D454" s="24">
        <f>+'PROGRAMA DRENCH PASO 1'!AC77</f>
        <v>0</v>
      </c>
      <c r="E454" s="1"/>
      <c r="F454" s="1"/>
      <c r="G454" s="1"/>
      <c r="H454" s="5">
        <f t="shared" si="32"/>
        <v>0</v>
      </c>
      <c r="I454" s="1"/>
      <c r="J454" s="1"/>
      <c r="K454" s="11" t="e">
        <f>VLOOKUP(H454,'Inf Bloques'!$A$1:$J$453,10,FALSE)</f>
        <v>#N/A</v>
      </c>
      <c r="L454" s="13"/>
    </row>
    <row r="455" spans="1:12" hidden="1" x14ac:dyDescent="0.2">
      <c r="A455" s="1">
        <f>+'PROGRAMA DRENCH PASO 1'!AF77</f>
        <v>0</v>
      </c>
      <c r="B455" s="1"/>
      <c r="C455" s="1" t="str">
        <f>IFERROR((VLOOKUP($A455,'CODIGOS D'!$A$3:$S$451,2,FALSE)),"0")</f>
        <v>0</v>
      </c>
      <c r="D455" s="24">
        <f>+'PROGRAMA DRENCH PASO 1'!AG77</f>
        <v>0</v>
      </c>
      <c r="E455" s="1"/>
      <c r="F455" s="1"/>
      <c r="G455" s="1"/>
      <c r="H455" s="5">
        <f t="shared" si="32"/>
        <v>0</v>
      </c>
      <c r="I455" s="1"/>
      <c r="J455" s="1"/>
      <c r="K455" s="11" t="e">
        <f>VLOOKUP(H455,'Inf Bloques'!$A$1:$J$453,10,FALSE)</f>
        <v>#N/A</v>
      </c>
      <c r="L455" s="13"/>
    </row>
    <row r="456" spans="1:12" hidden="1" x14ac:dyDescent="0.2">
      <c r="A456" s="1">
        <f>+'PROGRAMA DRENCH PASO 1'!P78</f>
        <v>0</v>
      </c>
      <c r="B456" s="1"/>
      <c r="C456" s="1" t="str">
        <f>IFERROR((VLOOKUP($A456,'CODIGOS D'!$A$3:$S$451,2,FALSE)),"0")</f>
        <v>0</v>
      </c>
      <c r="D456" s="24">
        <f>+'PROGRAMA DRENCH PASO 1'!Q78</f>
        <v>0</v>
      </c>
      <c r="E456" s="1"/>
      <c r="F456" s="1"/>
      <c r="G456" s="1"/>
      <c r="H456" s="5">
        <f t="shared" si="32"/>
        <v>0</v>
      </c>
      <c r="I456" s="1"/>
      <c r="J456" s="1"/>
      <c r="K456" s="11" t="e">
        <f>VLOOKUP(H456,'Inf Bloques'!$A$1:$J$453,10,FALSE)</f>
        <v>#N/A</v>
      </c>
      <c r="L456" s="13"/>
    </row>
    <row r="457" spans="1:12" hidden="1" x14ac:dyDescent="0.2">
      <c r="A457" s="1">
        <f>+'PROGRAMA DRENCH PASO 1'!T78</f>
        <v>0</v>
      </c>
      <c r="B457" s="1"/>
      <c r="C457" s="1" t="str">
        <f>IFERROR((VLOOKUP($A457,'CODIGOS D'!$A$3:$S$451,2,FALSE)),"0")</f>
        <v>0</v>
      </c>
      <c r="D457" s="24">
        <f>+'PROGRAMA DRENCH PASO 1'!U78</f>
        <v>0</v>
      </c>
      <c r="E457" s="1"/>
      <c r="F457" s="1"/>
      <c r="G457" s="1"/>
      <c r="H457" s="5">
        <f t="shared" si="32"/>
        <v>0</v>
      </c>
      <c r="I457" s="1"/>
      <c r="J457" s="1"/>
      <c r="K457" s="11" t="e">
        <f>VLOOKUP(H457,'Inf Bloques'!$A$1:$J$453,10,FALSE)</f>
        <v>#N/A</v>
      </c>
      <c r="L457" s="13"/>
    </row>
    <row r="458" spans="1:12" hidden="1" x14ac:dyDescent="0.2">
      <c r="A458" s="1">
        <f>+'PROGRAMA DRENCH PASO 1'!X78</f>
        <v>0</v>
      </c>
      <c r="B458" s="1"/>
      <c r="C458" s="1" t="str">
        <f>IFERROR((VLOOKUP($A458,'CODIGOS D'!$A$3:$S$451,2,FALSE)),"0")</f>
        <v>0</v>
      </c>
      <c r="D458" s="24">
        <f>+'PROGRAMA DRENCH PASO 1'!Y78</f>
        <v>0</v>
      </c>
      <c r="E458" s="1"/>
      <c r="F458" s="1"/>
      <c r="G458" s="1"/>
      <c r="H458" s="5">
        <f t="shared" si="32"/>
        <v>0</v>
      </c>
      <c r="I458" s="1"/>
      <c r="J458" s="1"/>
      <c r="K458" s="11" t="e">
        <f>VLOOKUP(H458,'Inf Bloques'!$A$1:$J$453,10,FALSE)</f>
        <v>#N/A</v>
      </c>
      <c r="L458" s="13"/>
    </row>
    <row r="459" spans="1:12" hidden="1" x14ac:dyDescent="0.2">
      <c r="A459" s="1">
        <f>+'PROGRAMA DRENCH PASO 1'!AB78</f>
        <v>0</v>
      </c>
      <c r="B459" s="1"/>
      <c r="C459" s="1" t="str">
        <f>IFERROR((VLOOKUP($A459,'CODIGOS D'!$A$3:$S$451,2,FALSE)),"0")</f>
        <v>0</v>
      </c>
      <c r="D459" s="24">
        <f>+'PROGRAMA DRENCH PASO 1'!AC78</f>
        <v>0</v>
      </c>
      <c r="E459" s="1"/>
      <c r="F459" s="1"/>
      <c r="G459" s="1"/>
      <c r="H459" s="5">
        <f t="shared" si="32"/>
        <v>0</v>
      </c>
      <c r="I459" s="1"/>
      <c r="J459" s="1"/>
      <c r="K459" s="11" t="e">
        <f>VLOOKUP(H459,'Inf Bloques'!$A$1:$J$453,10,FALSE)</f>
        <v>#N/A</v>
      </c>
      <c r="L459" s="13"/>
    </row>
    <row r="460" spans="1:12" hidden="1" x14ac:dyDescent="0.2">
      <c r="A460" s="1">
        <f>+'PROGRAMA DRENCH PASO 1'!AF78</f>
        <v>0</v>
      </c>
      <c r="B460" s="1"/>
      <c r="C460" s="1" t="str">
        <f>IFERROR((VLOOKUP($A460,'CODIGOS D'!$A$3:$S$451,2,FALSE)),"0")</f>
        <v>0</v>
      </c>
      <c r="D460" s="24">
        <f>+'PROGRAMA DRENCH PASO 1'!AG78</f>
        <v>0</v>
      </c>
      <c r="E460" s="1"/>
      <c r="F460" s="1"/>
      <c r="G460" s="1"/>
      <c r="H460" s="5">
        <f t="shared" si="32"/>
        <v>0</v>
      </c>
      <c r="I460" s="1"/>
      <c r="J460" s="1"/>
      <c r="K460" s="11" t="e">
        <f>VLOOKUP(H460,'Inf Bloques'!$A$1:$J$453,10,FALSE)</f>
        <v>#N/A</v>
      </c>
      <c r="L460" s="13"/>
    </row>
    <row r="461" spans="1:12" hidden="1" x14ac:dyDescent="0.2">
      <c r="A461" s="1">
        <f>+'PROGRAMA DRENCH PASO 1'!P79</f>
        <v>0</v>
      </c>
      <c r="B461" s="1"/>
      <c r="C461" s="1" t="str">
        <f>IFERROR((VLOOKUP($A461,'CODIGOS D'!$A$3:$S$451,2,FALSE)),"0")</f>
        <v>0</v>
      </c>
      <c r="D461" s="24">
        <f>+'PROGRAMA DRENCH PASO 1'!Q79</f>
        <v>0</v>
      </c>
      <c r="E461" s="1"/>
      <c r="F461" s="1"/>
      <c r="G461" s="1"/>
      <c r="H461" s="5">
        <f t="shared" si="32"/>
        <v>0</v>
      </c>
      <c r="I461" s="1"/>
      <c r="J461" s="1"/>
      <c r="K461" s="11" t="e">
        <f>VLOOKUP(H461,'Inf Bloques'!$A$1:$J$453,10,FALSE)</f>
        <v>#N/A</v>
      </c>
      <c r="L461" s="13"/>
    </row>
    <row r="462" spans="1:12" hidden="1" x14ac:dyDescent="0.2">
      <c r="A462" s="1">
        <f>+'PROGRAMA DRENCH PASO 1'!T79</f>
        <v>0</v>
      </c>
      <c r="B462" s="1"/>
      <c r="C462" s="1" t="str">
        <f>IFERROR((VLOOKUP($A462,'CODIGOS D'!$A$3:$S$451,2,FALSE)),"0")</f>
        <v>0</v>
      </c>
      <c r="D462" s="24">
        <f>+'PROGRAMA DRENCH PASO 1'!U79</f>
        <v>0</v>
      </c>
      <c r="E462" s="1"/>
      <c r="F462" s="1"/>
      <c r="G462" s="1"/>
      <c r="H462" s="5">
        <f t="shared" si="32"/>
        <v>0</v>
      </c>
      <c r="I462" s="1"/>
      <c r="J462" s="1"/>
      <c r="K462" s="11" t="e">
        <f>VLOOKUP(H462,'Inf Bloques'!$A$1:$J$453,10,FALSE)</f>
        <v>#N/A</v>
      </c>
      <c r="L462" s="13"/>
    </row>
    <row r="463" spans="1:12" hidden="1" x14ac:dyDescent="0.2">
      <c r="A463" s="1">
        <f>+'PROGRAMA DRENCH PASO 1'!X79</f>
        <v>0</v>
      </c>
      <c r="B463" s="1"/>
      <c r="C463" s="1" t="str">
        <f>IFERROR((VLOOKUP($A463,'CODIGOS D'!$A$3:$S$451,2,FALSE)),"0")</f>
        <v>0</v>
      </c>
      <c r="D463" s="24">
        <f>+'PROGRAMA DRENCH PASO 1'!Y79</f>
        <v>0</v>
      </c>
      <c r="E463" s="1"/>
      <c r="F463" s="1"/>
      <c r="G463" s="1"/>
      <c r="H463" s="5">
        <f t="shared" si="32"/>
        <v>0</v>
      </c>
      <c r="I463" s="1"/>
      <c r="J463" s="1"/>
      <c r="K463" s="11" t="e">
        <f>VLOOKUP(H463,'Inf Bloques'!$A$1:$J$453,10,FALSE)</f>
        <v>#N/A</v>
      </c>
      <c r="L463" s="13"/>
    </row>
    <row r="464" spans="1:12" hidden="1" x14ac:dyDescent="0.2">
      <c r="A464" s="1">
        <f>+'PROGRAMA DRENCH PASO 1'!AB79</f>
        <v>0</v>
      </c>
      <c r="B464" s="1"/>
      <c r="C464" s="1" t="str">
        <f>IFERROR((VLOOKUP($A464,'CODIGOS D'!$A$3:$S$451,2,FALSE)),"0")</f>
        <v>0</v>
      </c>
      <c r="D464" s="24">
        <f>+'PROGRAMA DRENCH PASO 1'!AC79</f>
        <v>0</v>
      </c>
      <c r="E464" s="1"/>
      <c r="F464" s="1"/>
      <c r="G464" s="1"/>
      <c r="H464" s="5">
        <f t="shared" si="32"/>
        <v>0</v>
      </c>
      <c r="I464" s="1"/>
      <c r="J464" s="1"/>
      <c r="K464" s="11" t="e">
        <f>VLOOKUP(H464,'Inf Bloques'!$A$1:$J$453,10,FALSE)</f>
        <v>#N/A</v>
      </c>
      <c r="L464" s="13"/>
    </row>
    <row r="465" spans="1:12" hidden="1" x14ac:dyDescent="0.2">
      <c r="A465" s="1">
        <f>+'PROGRAMA DRENCH PASO 1'!AF79</f>
        <v>0</v>
      </c>
      <c r="B465" s="1"/>
      <c r="C465" s="1" t="str">
        <f>IFERROR((VLOOKUP($A465,'CODIGOS D'!$A$3:$S$451,2,FALSE)),"0")</f>
        <v>0</v>
      </c>
      <c r="D465" s="24">
        <f>+'PROGRAMA DRENCH PASO 1'!AG79</f>
        <v>0</v>
      </c>
      <c r="E465" s="1"/>
      <c r="F465" s="1"/>
      <c r="G465" s="1"/>
      <c r="H465" s="5">
        <f t="shared" si="32"/>
        <v>0</v>
      </c>
      <c r="I465" s="1"/>
      <c r="J465" s="1"/>
      <c r="K465" s="11" t="e">
        <f>VLOOKUP(H465,'Inf Bloques'!$A$1:$J$453,10,FALSE)</f>
        <v>#N/A</v>
      </c>
      <c r="L465" s="13"/>
    </row>
    <row r="466" spans="1:12" hidden="1" x14ac:dyDescent="0.2">
      <c r="A466" s="1">
        <f>+'PROGRAMA DRENCH PASO 1'!P80</f>
        <v>0</v>
      </c>
      <c r="B466" s="1"/>
      <c r="C466" s="1" t="str">
        <f>IFERROR((VLOOKUP($A466,'CODIGOS D'!$A$3:$S$451,2,FALSE)),"0")</f>
        <v>0</v>
      </c>
      <c r="D466" s="24">
        <f>+'PROGRAMA DRENCH PASO 1'!Q80</f>
        <v>0</v>
      </c>
      <c r="E466" s="1"/>
      <c r="F466" s="1"/>
      <c r="G466" s="1"/>
      <c r="H466" s="5">
        <f t="shared" si="32"/>
        <v>0</v>
      </c>
      <c r="I466" s="1"/>
      <c r="J466" s="1"/>
      <c r="K466" s="11" t="e">
        <f>VLOOKUP(H466,'Inf Bloques'!$A$1:$J$453,10,FALSE)</f>
        <v>#N/A</v>
      </c>
      <c r="L466" s="13"/>
    </row>
    <row r="467" spans="1:12" hidden="1" x14ac:dyDescent="0.2">
      <c r="A467" s="1">
        <f>+'PROGRAMA DRENCH PASO 1'!T80</f>
        <v>0</v>
      </c>
      <c r="B467" s="1"/>
      <c r="C467" s="1" t="str">
        <f>IFERROR((VLOOKUP($A467,'CODIGOS D'!$A$3:$S$451,2,FALSE)),"0")</f>
        <v>0</v>
      </c>
      <c r="D467" s="24">
        <f>+'PROGRAMA DRENCH PASO 1'!U80</f>
        <v>0</v>
      </c>
      <c r="E467" s="1"/>
      <c r="F467" s="1"/>
      <c r="G467" s="1"/>
      <c r="H467" s="5">
        <f t="shared" si="32"/>
        <v>0</v>
      </c>
      <c r="I467" s="1"/>
      <c r="J467" s="1"/>
      <c r="K467" s="11" t="e">
        <f>VLOOKUP(H467,'Inf Bloques'!$A$1:$J$453,10,FALSE)</f>
        <v>#N/A</v>
      </c>
      <c r="L467" s="13"/>
    </row>
    <row r="468" spans="1:12" hidden="1" x14ac:dyDescent="0.2">
      <c r="A468" s="1">
        <f>+'PROGRAMA DRENCH PASO 1'!X80</f>
        <v>0</v>
      </c>
      <c r="B468" s="1"/>
      <c r="C468" s="1" t="str">
        <f>IFERROR((VLOOKUP($A468,'CODIGOS D'!$A$3:$S$451,2,FALSE)),"0")</f>
        <v>0</v>
      </c>
      <c r="D468" s="24">
        <f>+'PROGRAMA DRENCH PASO 1'!Y80</f>
        <v>0</v>
      </c>
      <c r="E468" s="1"/>
      <c r="F468" s="1"/>
      <c r="G468" s="1"/>
      <c r="H468" s="5">
        <f t="shared" si="32"/>
        <v>0</v>
      </c>
      <c r="I468" s="1"/>
      <c r="J468" s="1"/>
      <c r="K468" s="11" t="e">
        <f>VLOOKUP(H468,'Inf Bloques'!$A$1:$J$453,10,FALSE)</f>
        <v>#N/A</v>
      </c>
      <c r="L468" s="13"/>
    </row>
    <row r="469" spans="1:12" hidden="1" x14ac:dyDescent="0.2">
      <c r="A469" s="1">
        <f>+'PROGRAMA DRENCH PASO 1'!AB80</f>
        <v>0</v>
      </c>
      <c r="B469" s="1"/>
      <c r="C469" s="1" t="str">
        <f>IFERROR((VLOOKUP($A469,'CODIGOS D'!$A$3:$S$451,2,FALSE)),"0")</f>
        <v>0</v>
      </c>
      <c r="D469" s="24">
        <f>+'PROGRAMA DRENCH PASO 1'!AC80</f>
        <v>0</v>
      </c>
      <c r="E469" s="1"/>
      <c r="F469" s="1"/>
      <c r="G469" s="1"/>
      <c r="H469" s="5">
        <f t="shared" si="32"/>
        <v>0</v>
      </c>
      <c r="I469" s="1"/>
      <c r="J469" s="1"/>
      <c r="K469" s="11" t="e">
        <f>VLOOKUP(H469,'Inf Bloques'!$A$1:$J$453,10,FALSE)</f>
        <v>#N/A</v>
      </c>
      <c r="L469" s="13"/>
    </row>
    <row r="470" spans="1:12" hidden="1" x14ac:dyDescent="0.2">
      <c r="A470" s="1">
        <f>+'PROGRAMA DRENCH PASO 1'!AF80</f>
        <v>0</v>
      </c>
      <c r="B470" s="1"/>
      <c r="C470" s="1" t="str">
        <f>IFERROR((VLOOKUP($A470,'CODIGOS D'!$A$3:$S$451,2,FALSE)),"0")</f>
        <v>0</v>
      </c>
      <c r="D470" s="24">
        <f>+'PROGRAMA DRENCH PASO 1'!AG80</f>
        <v>0</v>
      </c>
      <c r="E470" s="1"/>
      <c r="F470" s="1"/>
      <c r="G470" s="1"/>
      <c r="H470" s="5">
        <f t="shared" si="32"/>
        <v>0</v>
      </c>
      <c r="I470" s="1"/>
      <c r="J470" s="1"/>
      <c r="K470" s="11" t="e">
        <f>VLOOKUP(H470,'Inf Bloques'!$A$1:$J$453,10,FALSE)</f>
        <v>#N/A</v>
      </c>
      <c r="L470" s="13"/>
    </row>
    <row r="471" spans="1:12" s="2" customFormat="1" x14ac:dyDescent="0.2"/>
    <row r="472" spans="1:12" x14ac:dyDescent="0.2">
      <c r="A472" s="26" t="s">
        <v>309</v>
      </c>
      <c r="D472" s="27">
        <f>SUBTOTAL(9,D3:D470)</f>
        <v>29751.499999999996</v>
      </c>
    </row>
  </sheetData>
  <autoFilter ref="A2:L470" xr:uid="{00000000-0009-0000-0000-000003000000}">
    <filterColumn colId="0">
      <filters>
        <filter val="ALCAPLANT"/>
        <filter val="Alto 100"/>
        <filter val="Beauveria"/>
        <filter val="Mertec"/>
        <filter val="NAKAR 20 EC"/>
        <filter val="OZONIC"/>
        <filter val="RAIZA"/>
        <filter val="Vitavax flo"/>
      </filters>
    </filterColumn>
    <filterColumn colId="7">
      <colorFilter dxfId="7"/>
    </filterColumn>
  </autoFilter>
  <mergeCells count="1">
    <mergeCell ref="A1:L1"/>
  </mergeCells>
  <printOptions horizontalCentered="1" verticalCentered="1"/>
  <pageMargins left="0" right="0" top="0.74803149606299213" bottom="0.74803149606299213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68"/>
  <sheetViews>
    <sheetView zoomScale="115" zoomScaleNormal="115" workbookViewId="0">
      <pane xSplit="1" ySplit="3" topLeftCell="B4" activePane="bottomRight" state="frozen"/>
      <selection activeCell="O12" sqref="O12"/>
      <selection pane="topRight" activeCell="O12" sqref="O12"/>
      <selection pane="bottomLeft" activeCell="O12" sqref="O12"/>
      <selection pane="bottomRight" activeCell="B11" sqref="B11"/>
    </sheetView>
  </sheetViews>
  <sheetFormatPr baseColWidth="10" defaultRowHeight="12.75" x14ac:dyDescent="0.2"/>
  <cols>
    <col min="1" max="1" width="14.140625" customWidth="1"/>
    <col min="2" max="2" width="28.42578125" customWidth="1"/>
    <col min="3" max="3" width="12.5703125" customWidth="1"/>
    <col min="4" max="4" width="11" customWidth="1"/>
  </cols>
  <sheetData>
    <row r="1" spans="1:4" x14ac:dyDescent="0.2">
      <c r="A1" s="62" t="s">
        <v>23</v>
      </c>
      <c r="B1" t="s">
        <v>1215</v>
      </c>
    </row>
    <row r="3" spans="1:4" x14ac:dyDescent="0.2">
      <c r="A3" s="62" t="s">
        <v>0</v>
      </c>
      <c r="B3" s="62" t="s">
        <v>20</v>
      </c>
      <c r="C3" s="84" t="s">
        <v>1</v>
      </c>
      <c r="D3" t="s">
        <v>1113</v>
      </c>
    </row>
    <row r="4" spans="1:4" x14ac:dyDescent="0.2">
      <c r="A4" s="85" t="s">
        <v>1219</v>
      </c>
      <c r="B4" t="s">
        <v>1219</v>
      </c>
      <c r="C4" t="s">
        <v>1219</v>
      </c>
      <c r="D4" s="63"/>
    </row>
    <row r="5" spans="1:4" x14ac:dyDescent="0.2">
      <c r="A5" s="85" t="s">
        <v>1220</v>
      </c>
      <c r="D5" s="63">
        <v>10648.2</v>
      </c>
    </row>
    <row r="6" spans="1:4" x14ac:dyDescent="0.2">
      <c r="A6" t="s">
        <v>299</v>
      </c>
      <c r="B6" t="s">
        <v>300</v>
      </c>
      <c r="C6">
        <v>13</v>
      </c>
      <c r="D6" s="63">
        <v>2013.0000000000002</v>
      </c>
    </row>
    <row r="7" spans="1:4" x14ac:dyDescent="0.2">
      <c r="A7" t="s">
        <v>299</v>
      </c>
      <c r="B7" t="s">
        <v>300</v>
      </c>
      <c r="C7">
        <v>319</v>
      </c>
      <c r="D7" s="63">
        <v>2343</v>
      </c>
    </row>
    <row r="8" spans="1:4" x14ac:dyDescent="0.2">
      <c r="A8" t="s">
        <v>299</v>
      </c>
      <c r="B8" t="s">
        <v>300</v>
      </c>
      <c r="C8">
        <v>320</v>
      </c>
      <c r="D8" s="63">
        <v>2387</v>
      </c>
    </row>
    <row r="9" spans="1:4" x14ac:dyDescent="0.2">
      <c r="A9" t="s">
        <v>299</v>
      </c>
      <c r="B9" t="s">
        <v>300</v>
      </c>
      <c r="C9">
        <v>322</v>
      </c>
      <c r="D9" s="63">
        <v>1925.0000000000002</v>
      </c>
    </row>
    <row r="10" spans="1:4" x14ac:dyDescent="0.2">
      <c r="A10" t="s">
        <v>299</v>
      </c>
      <c r="B10" t="s">
        <v>300</v>
      </c>
      <c r="C10">
        <v>327</v>
      </c>
      <c r="D10" s="63">
        <v>1892.0000000000002</v>
      </c>
    </row>
    <row r="11" spans="1:4" x14ac:dyDescent="0.2">
      <c r="A11" t="s">
        <v>299</v>
      </c>
      <c r="B11" t="s">
        <v>300</v>
      </c>
      <c r="C11">
        <v>335</v>
      </c>
      <c r="D11" s="63">
        <v>3124.0000000000005</v>
      </c>
    </row>
    <row r="12" spans="1:4" x14ac:dyDescent="0.2">
      <c r="A12" t="s">
        <v>299</v>
      </c>
      <c r="B12" t="s">
        <v>300</v>
      </c>
      <c r="C12">
        <v>338</v>
      </c>
      <c r="D12" s="63">
        <v>3333.0000000000005</v>
      </c>
    </row>
    <row r="13" spans="1:4" x14ac:dyDescent="0.2">
      <c r="A13" t="s">
        <v>299</v>
      </c>
      <c r="B13" t="s">
        <v>300</v>
      </c>
      <c r="C13">
        <v>14</v>
      </c>
      <c r="D13" s="63">
        <v>2420</v>
      </c>
    </row>
    <row r="14" spans="1:4" x14ac:dyDescent="0.2">
      <c r="A14" t="s">
        <v>299</v>
      </c>
      <c r="B14" t="s">
        <v>300</v>
      </c>
      <c r="C14">
        <v>10</v>
      </c>
      <c r="D14" s="63">
        <v>2354</v>
      </c>
    </row>
    <row r="15" spans="1:4" x14ac:dyDescent="0.2">
      <c r="A15" t="s">
        <v>299</v>
      </c>
      <c r="B15" t="s">
        <v>300</v>
      </c>
      <c r="C15">
        <v>312</v>
      </c>
      <c r="D15" s="63">
        <v>2420</v>
      </c>
    </row>
    <row r="16" spans="1:4" x14ac:dyDescent="0.2">
      <c r="A16" t="s">
        <v>299</v>
      </c>
      <c r="B16" t="s">
        <v>300</v>
      </c>
      <c r="C16" t="s">
        <v>1877</v>
      </c>
      <c r="D16" s="63">
        <v>1463.0000000000002</v>
      </c>
    </row>
    <row r="17" spans="1:4" x14ac:dyDescent="0.2">
      <c r="A17" t="s">
        <v>299</v>
      </c>
      <c r="B17" t="s">
        <v>300</v>
      </c>
      <c r="C17">
        <v>25</v>
      </c>
      <c r="D17" s="63">
        <v>2068</v>
      </c>
    </row>
    <row r="18" spans="1:4" x14ac:dyDescent="0.2">
      <c r="A18" t="s">
        <v>299</v>
      </c>
      <c r="B18" t="s">
        <v>300</v>
      </c>
      <c r="C18" t="s">
        <v>930</v>
      </c>
      <c r="D18" s="63">
        <v>2044.5</v>
      </c>
    </row>
    <row r="19" spans="1:4" x14ac:dyDescent="0.2">
      <c r="A19" t="s">
        <v>299</v>
      </c>
      <c r="B19" t="s">
        <v>300</v>
      </c>
      <c r="C19" t="s">
        <v>931</v>
      </c>
      <c r="D19" s="63">
        <v>2030</v>
      </c>
    </row>
    <row r="20" spans="1:4" x14ac:dyDescent="0.2">
      <c r="A20" t="s">
        <v>1110</v>
      </c>
      <c r="B20" t="s">
        <v>916</v>
      </c>
      <c r="C20">
        <v>6</v>
      </c>
      <c r="D20" s="63">
        <v>720</v>
      </c>
    </row>
    <row r="21" spans="1:4" x14ac:dyDescent="0.2">
      <c r="A21" t="s">
        <v>1110</v>
      </c>
      <c r="B21" t="s">
        <v>916</v>
      </c>
      <c r="C21">
        <v>11</v>
      </c>
      <c r="D21" s="63">
        <v>820</v>
      </c>
    </row>
    <row r="22" spans="1:4" x14ac:dyDescent="0.2">
      <c r="A22" t="s">
        <v>1110</v>
      </c>
      <c r="B22" t="s">
        <v>916</v>
      </c>
      <c r="C22">
        <v>308</v>
      </c>
      <c r="D22" s="63">
        <v>1000</v>
      </c>
    </row>
    <row r="23" spans="1:4" x14ac:dyDescent="0.2">
      <c r="A23" t="s">
        <v>1110</v>
      </c>
      <c r="B23" t="s">
        <v>916</v>
      </c>
      <c r="C23">
        <v>21</v>
      </c>
      <c r="D23" s="63">
        <v>300</v>
      </c>
    </row>
    <row r="24" spans="1:4" x14ac:dyDescent="0.2">
      <c r="A24" t="s">
        <v>1110</v>
      </c>
      <c r="B24" t="s">
        <v>916</v>
      </c>
      <c r="C24" t="s">
        <v>932</v>
      </c>
      <c r="D24" s="63">
        <v>540</v>
      </c>
    </row>
    <row r="25" spans="1:4" x14ac:dyDescent="0.2">
      <c r="A25" t="s">
        <v>796</v>
      </c>
      <c r="B25" t="s">
        <v>839</v>
      </c>
      <c r="C25">
        <v>6</v>
      </c>
      <c r="D25" s="63">
        <v>36.021999999999998</v>
      </c>
    </row>
    <row r="26" spans="1:4" x14ac:dyDescent="0.2">
      <c r="A26" t="s">
        <v>796</v>
      </c>
      <c r="B26" t="s">
        <v>839</v>
      </c>
      <c r="C26">
        <v>315</v>
      </c>
      <c r="D26" s="63">
        <v>40.835999999999999</v>
      </c>
    </row>
    <row r="27" spans="1:4" x14ac:dyDescent="0.2">
      <c r="A27" t="s">
        <v>796</v>
      </c>
      <c r="B27" t="s">
        <v>839</v>
      </c>
      <c r="C27">
        <v>324</v>
      </c>
      <c r="D27" s="63">
        <v>28.114999999999998</v>
      </c>
    </row>
    <row r="28" spans="1:4" x14ac:dyDescent="0.2">
      <c r="A28" t="s">
        <v>796</v>
      </c>
      <c r="B28" t="s">
        <v>839</v>
      </c>
      <c r="C28">
        <v>332</v>
      </c>
      <c r="D28" s="63">
        <v>52.872</v>
      </c>
    </row>
    <row r="29" spans="1:4" x14ac:dyDescent="0.2">
      <c r="A29" t="s">
        <v>796</v>
      </c>
      <c r="B29" t="s">
        <v>839</v>
      </c>
      <c r="C29" t="s">
        <v>932</v>
      </c>
      <c r="D29" s="63">
        <v>26.789000000000001</v>
      </c>
    </row>
    <row r="30" spans="1:4" x14ac:dyDescent="0.2">
      <c r="A30" t="s">
        <v>420</v>
      </c>
      <c r="B30" t="s">
        <v>909</v>
      </c>
      <c r="C30">
        <v>315</v>
      </c>
      <c r="D30" s="63">
        <v>673.2</v>
      </c>
    </row>
    <row r="31" spans="1:4" x14ac:dyDescent="0.2">
      <c r="A31" t="s">
        <v>420</v>
      </c>
      <c r="B31" t="s">
        <v>909</v>
      </c>
      <c r="C31">
        <v>325</v>
      </c>
      <c r="D31" s="63">
        <v>574.20000000000005</v>
      </c>
    </row>
    <row r="32" spans="1:4" x14ac:dyDescent="0.2">
      <c r="A32" t="s">
        <v>420</v>
      </c>
      <c r="B32" t="s">
        <v>909</v>
      </c>
      <c r="C32">
        <v>332</v>
      </c>
      <c r="D32" s="63">
        <v>871.2</v>
      </c>
    </row>
    <row r="33" spans="1:4" x14ac:dyDescent="0.2">
      <c r="A33" t="s">
        <v>420</v>
      </c>
      <c r="B33" t="s">
        <v>909</v>
      </c>
      <c r="C33">
        <v>336</v>
      </c>
      <c r="D33" s="63">
        <v>953.7</v>
      </c>
    </row>
    <row r="34" spans="1:4" x14ac:dyDescent="0.2">
      <c r="A34" t="s">
        <v>420</v>
      </c>
      <c r="B34" t="s">
        <v>909</v>
      </c>
      <c r="C34">
        <v>16</v>
      </c>
      <c r="D34" s="63">
        <v>574.20000000000005</v>
      </c>
    </row>
    <row r="35" spans="1:4" x14ac:dyDescent="0.2">
      <c r="A35" t="s">
        <v>841</v>
      </c>
      <c r="B35" t="s">
        <v>840</v>
      </c>
      <c r="C35">
        <v>315</v>
      </c>
      <c r="D35" s="63">
        <v>12240</v>
      </c>
    </row>
    <row r="36" spans="1:4" x14ac:dyDescent="0.2">
      <c r="A36" t="s">
        <v>841</v>
      </c>
      <c r="B36" t="s">
        <v>840</v>
      </c>
      <c r="C36">
        <v>324</v>
      </c>
      <c r="D36" s="63">
        <v>8460</v>
      </c>
    </row>
    <row r="37" spans="1:4" x14ac:dyDescent="0.2">
      <c r="A37" t="s">
        <v>841</v>
      </c>
      <c r="B37" t="s">
        <v>840</v>
      </c>
      <c r="C37">
        <v>325</v>
      </c>
      <c r="D37" s="63">
        <v>10440</v>
      </c>
    </row>
    <row r="38" spans="1:4" x14ac:dyDescent="0.2">
      <c r="A38" t="s">
        <v>841</v>
      </c>
      <c r="B38" t="s">
        <v>840</v>
      </c>
      <c r="C38">
        <v>327</v>
      </c>
      <c r="D38" s="63">
        <v>10320</v>
      </c>
    </row>
    <row r="39" spans="1:4" x14ac:dyDescent="0.2">
      <c r="A39" t="s">
        <v>841</v>
      </c>
      <c r="B39" t="s">
        <v>840</v>
      </c>
      <c r="C39">
        <v>332</v>
      </c>
      <c r="D39" s="63">
        <v>15840</v>
      </c>
    </row>
    <row r="40" spans="1:4" x14ac:dyDescent="0.2">
      <c r="A40" t="s">
        <v>841</v>
      </c>
      <c r="B40" t="s">
        <v>840</v>
      </c>
      <c r="C40">
        <v>336</v>
      </c>
      <c r="D40" s="63">
        <v>17340</v>
      </c>
    </row>
    <row r="41" spans="1:4" x14ac:dyDescent="0.2">
      <c r="A41" t="s">
        <v>841</v>
      </c>
      <c r="B41" t="s">
        <v>840</v>
      </c>
      <c r="C41">
        <v>16</v>
      </c>
      <c r="D41" s="63">
        <v>10440</v>
      </c>
    </row>
    <row r="42" spans="1:4" x14ac:dyDescent="0.2">
      <c r="A42" t="s">
        <v>841</v>
      </c>
      <c r="B42" t="s">
        <v>840</v>
      </c>
      <c r="C42" t="s">
        <v>1877</v>
      </c>
      <c r="D42" s="63">
        <v>7980</v>
      </c>
    </row>
    <row r="43" spans="1:4" x14ac:dyDescent="0.2">
      <c r="A43" t="s">
        <v>1824</v>
      </c>
      <c r="B43" t="s">
        <v>918</v>
      </c>
      <c r="C43">
        <v>315</v>
      </c>
      <c r="D43" s="63">
        <v>16320</v>
      </c>
    </row>
    <row r="44" spans="1:4" x14ac:dyDescent="0.2">
      <c r="A44" t="s">
        <v>1824</v>
      </c>
      <c r="B44" t="s">
        <v>918</v>
      </c>
      <c r="C44">
        <v>324</v>
      </c>
      <c r="D44" s="63">
        <v>11280</v>
      </c>
    </row>
    <row r="45" spans="1:4" x14ac:dyDescent="0.2">
      <c r="A45" t="s">
        <v>1824</v>
      </c>
      <c r="B45" t="s">
        <v>918</v>
      </c>
      <c r="C45">
        <v>325</v>
      </c>
      <c r="D45" s="63">
        <v>13920</v>
      </c>
    </row>
    <row r="46" spans="1:4" x14ac:dyDescent="0.2">
      <c r="A46" t="s">
        <v>1824</v>
      </c>
      <c r="B46" t="s">
        <v>918</v>
      </c>
      <c r="C46">
        <v>327</v>
      </c>
      <c r="D46" s="63">
        <v>13760</v>
      </c>
    </row>
    <row r="47" spans="1:4" x14ac:dyDescent="0.2">
      <c r="A47" t="s">
        <v>1824</v>
      </c>
      <c r="B47" t="s">
        <v>918</v>
      </c>
      <c r="C47">
        <v>332</v>
      </c>
      <c r="D47" s="63">
        <v>21120</v>
      </c>
    </row>
    <row r="48" spans="1:4" x14ac:dyDescent="0.2">
      <c r="A48" t="s">
        <v>1824</v>
      </c>
      <c r="B48" t="s">
        <v>918</v>
      </c>
      <c r="C48">
        <v>336</v>
      </c>
      <c r="D48" s="63">
        <v>23120</v>
      </c>
    </row>
    <row r="49" spans="1:4" x14ac:dyDescent="0.2">
      <c r="A49" t="s">
        <v>1824</v>
      </c>
      <c r="B49" t="s">
        <v>918</v>
      </c>
      <c r="C49">
        <v>16</v>
      </c>
      <c r="D49" s="63">
        <v>13920</v>
      </c>
    </row>
    <row r="50" spans="1:4" x14ac:dyDescent="0.2">
      <c r="A50" t="s">
        <v>1824</v>
      </c>
      <c r="B50" t="s">
        <v>918</v>
      </c>
      <c r="C50" t="s">
        <v>1877</v>
      </c>
      <c r="D50" s="63">
        <v>10640</v>
      </c>
    </row>
    <row r="51" spans="1:4" x14ac:dyDescent="0.2">
      <c r="A51" t="s">
        <v>298</v>
      </c>
      <c r="B51" t="s">
        <v>224</v>
      </c>
      <c r="C51">
        <v>20</v>
      </c>
      <c r="D51" s="63">
        <v>1280</v>
      </c>
    </row>
    <row r="52" spans="1:4" x14ac:dyDescent="0.2">
      <c r="A52" t="s">
        <v>298</v>
      </c>
      <c r="B52" t="s">
        <v>224</v>
      </c>
      <c r="C52" t="s">
        <v>933</v>
      </c>
      <c r="D52" s="63">
        <v>800</v>
      </c>
    </row>
    <row r="53" spans="1:4" x14ac:dyDescent="0.2">
      <c r="A53" t="s">
        <v>298</v>
      </c>
      <c r="B53" t="s">
        <v>224</v>
      </c>
      <c r="C53" t="s">
        <v>1882</v>
      </c>
      <c r="D53" s="63">
        <v>959.2</v>
      </c>
    </row>
    <row r="54" spans="1:4" x14ac:dyDescent="0.2">
      <c r="A54" t="s">
        <v>323</v>
      </c>
      <c r="B54" t="s">
        <v>910</v>
      </c>
      <c r="C54">
        <v>310</v>
      </c>
      <c r="D54" s="63">
        <v>640</v>
      </c>
    </row>
    <row r="55" spans="1:4" x14ac:dyDescent="0.2">
      <c r="A55" t="s">
        <v>323</v>
      </c>
      <c r="B55" t="s">
        <v>910</v>
      </c>
      <c r="C55">
        <v>333</v>
      </c>
      <c r="D55" s="63">
        <v>780</v>
      </c>
    </row>
    <row r="56" spans="1:4" x14ac:dyDescent="0.2">
      <c r="A56" t="s">
        <v>323</v>
      </c>
      <c r="B56" t="s">
        <v>910</v>
      </c>
      <c r="C56">
        <v>8</v>
      </c>
      <c r="D56" s="63">
        <v>600</v>
      </c>
    </row>
    <row r="57" spans="1:4" x14ac:dyDescent="0.2">
      <c r="A57" t="s">
        <v>323</v>
      </c>
      <c r="B57" t="s">
        <v>910</v>
      </c>
      <c r="C57">
        <v>27</v>
      </c>
      <c r="D57" s="63">
        <v>520</v>
      </c>
    </row>
    <row r="58" spans="1:4" x14ac:dyDescent="0.2">
      <c r="A58" t="s">
        <v>323</v>
      </c>
      <c r="B58" t="s">
        <v>910</v>
      </c>
      <c r="C58">
        <v>305</v>
      </c>
      <c r="D58" s="63">
        <v>780</v>
      </c>
    </row>
    <row r="59" spans="1:4" x14ac:dyDescent="0.2">
      <c r="A59" t="s">
        <v>323</v>
      </c>
      <c r="B59" t="s">
        <v>910</v>
      </c>
      <c r="C59" t="s">
        <v>1871</v>
      </c>
      <c r="D59" s="63">
        <v>320</v>
      </c>
    </row>
    <row r="60" spans="1:4" x14ac:dyDescent="0.2">
      <c r="A60" t="s">
        <v>323</v>
      </c>
      <c r="B60" t="s">
        <v>910</v>
      </c>
      <c r="C60">
        <v>28</v>
      </c>
      <c r="D60" s="63">
        <v>520</v>
      </c>
    </row>
    <row r="61" spans="1:4" x14ac:dyDescent="0.2">
      <c r="A61" t="s">
        <v>28</v>
      </c>
      <c r="B61" t="s">
        <v>11</v>
      </c>
      <c r="C61">
        <v>310</v>
      </c>
      <c r="D61" s="63">
        <v>64</v>
      </c>
    </row>
    <row r="62" spans="1:4" x14ac:dyDescent="0.2">
      <c r="A62" t="s">
        <v>28</v>
      </c>
      <c r="B62" t="s">
        <v>11</v>
      </c>
      <c r="C62">
        <v>333</v>
      </c>
      <c r="D62" s="63">
        <v>78</v>
      </c>
    </row>
    <row r="63" spans="1:4" x14ac:dyDescent="0.2">
      <c r="A63" t="s">
        <v>28</v>
      </c>
      <c r="B63" t="s">
        <v>11</v>
      </c>
      <c r="C63">
        <v>305</v>
      </c>
      <c r="D63" s="63">
        <v>78</v>
      </c>
    </row>
    <row r="64" spans="1:4" x14ac:dyDescent="0.2">
      <c r="A64" t="s">
        <v>889</v>
      </c>
      <c r="B64" t="s">
        <v>888</v>
      </c>
      <c r="C64" t="s">
        <v>1871</v>
      </c>
      <c r="D64" s="63">
        <v>16950</v>
      </c>
    </row>
    <row r="65" spans="1:4" x14ac:dyDescent="0.2">
      <c r="A65" t="s">
        <v>1221</v>
      </c>
      <c r="B65" t="s">
        <v>917</v>
      </c>
      <c r="C65" t="s">
        <v>1868</v>
      </c>
      <c r="D65" s="63">
        <v>1537</v>
      </c>
    </row>
    <row r="66" spans="1:4" x14ac:dyDescent="0.2">
      <c r="A66" t="s">
        <v>1221</v>
      </c>
      <c r="B66" t="s">
        <v>917</v>
      </c>
      <c r="C66" t="s">
        <v>1869</v>
      </c>
      <c r="D66" s="63">
        <v>1508</v>
      </c>
    </row>
    <row r="67" spans="1:4" x14ac:dyDescent="0.2">
      <c r="A67" t="s">
        <v>250</v>
      </c>
      <c r="B67" t="s">
        <v>214</v>
      </c>
      <c r="C67" t="s">
        <v>1870</v>
      </c>
      <c r="D67" s="63">
        <v>680</v>
      </c>
    </row>
    <row r="68" spans="1:4" x14ac:dyDescent="0.2">
      <c r="A68" s="85" t="s">
        <v>1112</v>
      </c>
      <c r="B68" s="85"/>
      <c r="C68" s="85"/>
      <c r="D68" s="63">
        <v>294910.03399999999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T451"/>
  <sheetViews>
    <sheetView workbookViewId="0">
      <pane xSplit="1" ySplit="2" topLeftCell="B3" activePane="bottomRight" state="frozen"/>
      <selection activeCell="O12" sqref="O12"/>
      <selection pane="topRight" activeCell="O12" sqref="O12"/>
      <selection pane="bottomLeft" activeCell="O12" sqref="O12"/>
      <selection pane="bottomRight"/>
    </sheetView>
  </sheetViews>
  <sheetFormatPr baseColWidth="10" defaultColWidth="11.42578125" defaultRowHeight="12.75" x14ac:dyDescent="0.2"/>
  <cols>
    <col min="1" max="1" width="30.7109375" customWidth="1"/>
    <col min="2" max="19" width="10.28515625" customWidth="1"/>
  </cols>
  <sheetData>
    <row r="1" spans="1:19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9" ht="45.75" x14ac:dyDescent="0.2">
      <c r="A2" s="37" t="s">
        <v>20</v>
      </c>
      <c r="B2" s="37" t="s">
        <v>0</v>
      </c>
      <c r="C2" s="37" t="s">
        <v>24</v>
      </c>
      <c r="D2" s="38" t="s">
        <v>226</v>
      </c>
      <c r="E2" s="38" t="s">
        <v>1225</v>
      </c>
      <c r="F2" s="99" t="s">
        <v>1226</v>
      </c>
      <c r="G2" s="99" t="s">
        <v>1227</v>
      </c>
      <c r="H2" s="99" t="s">
        <v>1228</v>
      </c>
      <c r="I2" s="99" t="s">
        <v>1229</v>
      </c>
      <c r="J2" s="99" t="s">
        <v>1230</v>
      </c>
      <c r="K2" s="99" t="s">
        <v>1231</v>
      </c>
      <c r="L2" s="99" t="s">
        <v>1232</v>
      </c>
      <c r="M2" s="100" t="s">
        <v>1233</v>
      </c>
      <c r="N2" s="101" t="s">
        <v>1234</v>
      </c>
      <c r="O2" s="101" t="s">
        <v>1235</v>
      </c>
      <c r="P2" s="101" t="s">
        <v>1236</v>
      </c>
      <c r="Q2" s="101" t="s">
        <v>1237</v>
      </c>
      <c r="R2" s="102" t="s">
        <v>1238</v>
      </c>
      <c r="S2" s="103" t="s">
        <v>1239</v>
      </c>
    </row>
    <row r="3" spans="1:19" ht="15" x14ac:dyDescent="0.25">
      <c r="A3" s="39" t="s">
        <v>136</v>
      </c>
      <c r="B3" s="40" t="s">
        <v>137</v>
      </c>
      <c r="C3" s="39" t="s">
        <v>37</v>
      </c>
      <c r="D3" s="39" t="s">
        <v>271</v>
      </c>
      <c r="E3" s="44" t="s">
        <v>1240</v>
      </c>
      <c r="F3" s="44" t="s">
        <v>1241</v>
      </c>
      <c r="G3" s="104">
        <v>5</v>
      </c>
      <c r="H3" s="44">
        <v>8</v>
      </c>
      <c r="I3" s="39" t="s">
        <v>1242</v>
      </c>
      <c r="J3" s="39" t="s">
        <v>1243</v>
      </c>
      <c r="K3" s="39" t="s">
        <v>1244</v>
      </c>
      <c r="L3" s="39">
        <v>0</v>
      </c>
      <c r="M3" s="39" t="s">
        <v>1245</v>
      </c>
      <c r="N3" s="105" t="s">
        <v>1246</v>
      </c>
      <c r="O3" s="1" t="s">
        <v>1247</v>
      </c>
      <c r="P3" s="106" t="s">
        <v>1248</v>
      </c>
      <c r="Q3" s="39" t="s">
        <v>1249</v>
      </c>
      <c r="R3" s="102" t="s">
        <v>1250</v>
      </c>
      <c r="S3" s="32"/>
    </row>
    <row r="4" spans="1:19" ht="15" x14ac:dyDescent="0.25">
      <c r="A4" s="39" t="s">
        <v>1251</v>
      </c>
      <c r="B4" s="40" t="s">
        <v>351</v>
      </c>
      <c r="C4" s="39" t="s">
        <v>39</v>
      </c>
      <c r="D4" s="39" t="s">
        <v>271</v>
      </c>
      <c r="E4" s="44" t="s">
        <v>1252</v>
      </c>
      <c r="F4" s="44"/>
      <c r="G4" s="44"/>
      <c r="H4" s="44"/>
      <c r="I4" s="39"/>
      <c r="J4" s="39"/>
      <c r="K4" s="39"/>
      <c r="L4" s="39"/>
      <c r="M4" s="39"/>
      <c r="N4" s="107" t="s">
        <v>1253</v>
      </c>
      <c r="O4" s="1" t="s">
        <v>1254</v>
      </c>
      <c r="P4" s="106" t="s">
        <v>1255</v>
      </c>
      <c r="Q4" s="39"/>
      <c r="R4" s="102" t="s">
        <v>1250</v>
      </c>
    </row>
    <row r="5" spans="1:19" ht="15" x14ac:dyDescent="0.25">
      <c r="A5" s="39" t="s">
        <v>366</v>
      </c>
      <c r="B5" s="40" t="s">
        <v>367</v>
      </c>
      <c r="C5" s="39" t="s">
        <v>39</v>
      </c>
      <c r="D5" s="39" t="s">
        <v>271</v>
      </c>
      <c r="E5" s="44" t="s">
        <v>1252</v>
      </c>
      <c r="F5" s="44"/>
      <c r="G5" s="44"/>
      <c r="H5" s="44"/>
      <c r="I5" s="39"/>
      <c r="J5" s="39"/>
      <c r="K5" s="39"/>
      <c r="L5" s="39"/>
      <c r="M5" s="39"/>
      <c r="N5" s="107" t="s">
        <v>1253</v>
      </c>
      <c r="O5" s="1" t="s">
        <v>1254</v>
      </c>
      <c r="P5" s="106" t="s">
        <v>1255</v>
      </c>
      <c r="Q5" s="39"/>
      <c r="R5" s="102" t="s">
        <v>1250</v>
      </c>
    </row>
    <row r="6" spans="1:19" ht="15" x14ac:dyDescent="0.25">
      <c r="A6" s="39" t="s">
        <v>324</v>
      </c>
      <c r="B6" s="40" t="s">
        <v>325</v>
      </c>
      <c r="C6" s="39" t="s">
        <v>29</v>
      </c>
      <c r="D6" s="39" t="s">
        <v>227</v>
      </c>
      <c r="E6" s="44" t="s">
        <v>1240</v>
      </c>
      <c r="F6" s="44" t="s">
        <v>1256</v>
      </c>
      <c r="G6" s="104">
        <v>6</v>
      </c>
      <c r="H6" s="44">
        <v>4</v>
      </c>
      <c r="I6" s="39" t="s">
        <v>1243</v>
      </c>
      <c r="J6" s="39" t="s">
        <v>1257</v>
      </c>
      <c r="K6" s="39">
        <v>0</v>
      </c>
      <c r="L6" s="39">
        <v>0</v>
      </c>
      <c r="M6" s="39" t="s">
        <v>1258</v>
      </c>
      <c r="N6" s="105" t="s">
        <v>1246</v>
      </c>
      <c r="O6" s="1" t="s">
        <v>1247</v>
      </c>
      <c r="P6" s="106" t="s">
        <v>1248</v>
      </c>
      <c r="Q6" s="39" t="s">
        <v>227</v>
      </c>
      <c r="R6" s="102">
        <v>0.6</v>
      </c>
      <c r="S6" s="32"/>
    </row>
    <row r="7" spans="1:19" ht="15" x14ac:dyDescent="0.25">
      <c r="A7" s="39" t="s">
        <v>1259</v>
      </c>
      <c r="B7" s="40" t="s">
        <v>665</v>
      </c>
      <c r="C7" s="39" t="s">
        <v>29</v>
      </c>
      <c r="D7" s="39" t="s">
        <v>271</v>
      </c>
      <c r="E7" s="44" t="s">
        <v>1252</v>
      </c>
      <c r="F7" s="44" t="s">
        <v>1241</v>
      </c>
      <c r="G7" s="104">
        <v>6</v>
      </c>
      <c r="H7" s="44"/>
      <c r="I7" s="108" t="s">
        <v>1257</v>
      </c>
      <c r="J7" s="39"/>
      <c r="K7" s="39"/>
      <c r="L7" s="39"/>
      <c r="M7" s="39" t="s">
        <v>1260</v>
      </c>
      <c r="N7" s="41" t="s">
        <v>1261</v>
      </c>
      <c r="O7" s="1" t="s">
        <v>1262</v>
      </c>
      <c r="P7" s="106" t="s">
        <v>1248</v>
      </c>
      <c r="Q7" s="39" t="s">
        <v>227</v>
      </c>
      <c r="R7" s="102" t="s">
        <v>1250</v>
      </c>
    </row>
    <row r="8" spans="1:19" ht="15" x14ac:dyDescent="0.25">
      <c r="A8" s="39" t="s">
        <v>710</v>
      </c>
      <c r="B8" s="40" t="s">
        <v>199</v>
      </c>
      <c r="C8" s="39" t="s">
        <v>29</v>
      </c>
      <c r="D8" s="39" t="s">
        <v>271</v>
      </c>
      <c r="E8" s="44" t="s">
        <v>1240</v>
      </c>
      <c r="F8" s="44" t="s">
        <v>1241</v>
      </c>
      <c r="G8" s="44" t="s">
        <v>1263</v>
      </c>
      <c r="H8" s="44">
        <v>4</v>
      </c>
      <c r="I8" s="39" t="s">
        <v>1257</v>
      </c>
      <c r="J8" s="39">
        <v>0</v>
      </c>
      <c r="K8" s="39">
        <v>0</v>
      </c>
      <c r="L8" s="39">
        <v>0</v>
      </c>
      <c r="M8" s="39" t="s">
        <v>1264</v>
      </c>
      <c r="N8" s="109" t="s">
        <v>1253</v>
      </c>
      <c r="O8" s="1" t="s">
        <v>1254</v>
      </c>
      <c r="P8" s="106" t="s">
        <v>1248</v>
      </c>
      <c r="Q8" s="39" t="s">
        <v>227</v>
      </c>
      <c r="R8" s="102">
        <v>0.4</v>
      </c>
    </row>
    <row r="9" spans="1:19" ht="15" x14ac:dyDescent="0.25">
      <c r="A9" s="39" t="s">
        <v>1265</v>
      </c>
      <c r="B9" s="40" t="s">
        <v>753</v>
      </c>
      <c r="C9" s="39" t="s">
        <v>39</v>
      </c>
      <c r="D9" s="39" t="s">
        <v>271</v>
      </c>
      <c r="E9" s="44" t="s">
        <v>1252</v>
      </c>
      <c r="F9" s="44"/>
      <c r="G9" s="44"/>
      <c r="H9" s="44"/>
      <c r="I9" s="39"/>
      <c r="J9" s="39"/>
      <c r="K9" s="39"/>
      <c r="L9" s="39"/>
      <c r="M9" s="39"/>
      <c r="N9" s="107" t="s">
        <v>1253</v>
      </c>
      <c r="O9" s="1" t="s">
        <v>1254</v>
      </c>
      <c r="P9" s="106" t="s">
        <v>1266</v>
      </c>
      <c r="Q9" s="39"/>
      <c r="R9" s="102" t="s">
        <v>1250</v>
      </c>
    </row>
    <row r="10" spans="1:19" ht="15" x14ac:dyDescent="0.25">
      <c r="A10" s="39" t="s">
        <v>78</v>
      </c>
      <c r="B10" s="40" t="s">
        <v>79</v>
      </c>
      <c r="C10" s="39" t="s">
        <v>37</v>
      </c>
      <c r="D10" s="39" t="s">
        <v>227</v>
      </c>
      <c r="E10" s="44" t="s">
        <v>1240</v>
      </c>
      <c r="F10" s="44"/>
      <c r="G10" s="44" t="s">
        <v>1267</v>
      </c>
      <c r="H10" s="44">
        <v>0</v>
      </c>
      <c r="I10" s="39" t="s">
        <v>1268</v>
      </c>
      <c r="J10" s="39">
        <v>0</v>
      </c>
      <c r="K10" s="39">
        <v>0</v>
      </c>
      <c r="L10" s="39">
        <v>0</v>
      </c>
      <c r="M10" s="39" t="s">
        <v>1269</v>
      </c>
      <c r="N10" s="107" t="s">
        <v>1253</v>
      </c>
      <c r="O10" s="1" t="s">
        <v>1254</v>
      </c>
      <c r="P10" s="106" t="s">
        <v>1255</v>
      </c>
      <c r="Q10" s="39"/>
      <c r="R10" s="102" t="s">
        <v>1250</v>
      </c>
    </row>
    <row r="11" spans="1:19" ht="15" x14ac:dyDescent="0.25">
      <c r="A11" s="39" t="s">
        <v>1270</v>
      </c>
      <c r="B11" s="40" t="s">
        <v>107</v>
      </c>
      <c r="C11" s="39" t="s">
        <v>37</v>
      </c>
      <c r="D11" s="39" t="s">
        <v>227</v>
      </c>
      <c r="E11" s="44" t="s">
        <v>1240</v>
      </c>
      <c r="F11" s="44"/>
      <c r="G11" s="44"/>
      <c r="H11" s="44"/>
      <c r="I11" s="39"/>
      <c r="J11" s="39"/>
      <c r="K11" s="39"/>
      <c r="L11" s="39"/>
      <c r="M11" s="39"/>
      <c r="N11" s="107" t="s">
        <v>1253</v>
      </c>
      <c r="O11" s="1" t="s">
        <v>1254</v>
      </c>
      <c r="P11" s="106" t="s">
        <v>1271</v>
      </c>
      <c r="Q11" s="39"/>
      <c r="R11" s="102" t="s">
        <v>1250</v>
      </c>
      <c r="S11" s="32"/>
    </row>
    <row r="12" spans="1:19" ht="15" x14ac:dyDescent="0.25">
      <c r="A12" s="39" t="s">
        <v>25</v>
      </c>
      <c r="B12" s="40" t="s">
        <v>26</v>
      </c>
      <c r="C12" s="39" t="s">
        <v>27</v>
      </c>
      <c r="D12" s="39" t="s">
        <v>227</v>
      </c>
      <c r="E12" s="44" t="s">
        <v>1240</v>
      </c>
      <c r="F12" s="44"/>
      <c r="G12" s="44" t="s">
        <v>1267</v>
      </c>
      <c r="H12" s="44">
        <v>0</v>
      </c>
      <c r="I12" s="39" t="s">
        <v>1268</v>
      </c>
      <c r="J12" s="39">
        <v>0</v>
      </c>
      <c r="K12" s="39">
        <v>0</v>
      </c>
      <c r="L12" s="39">
        <v>0</v>
      </c>
      <c r="M12" s="39" t="s">
        <v>1272</v>
      </c>
      <c r="N12" s="107" t="s">
        <v>1253</v>
      </c>
      <c r="O12" s="1" t="s">
        <v>1254</v>
      </c>
      <c r="P12" s="106" t="s">
        <v>1255</v>
      </c>
      <c r="Q12" s="39"/>
      <c r="R12" s="102" t="s">
        <v>1250</v>
      </c>
      <c r="S12" s="32"/>
    </row>
    <row r="13" spans="1:19" ht="15" x14ac:dyDescent="0.25">
      <c r="A13" s="39" t="s">
        <v>1273</v>
      </c>
      <c r="B13" s="40" t="s">
        <v>109</v>
      </c>
      <c r="C13" s="39" t="s">
        <v>37</v>
      </c>
      <c r="D13" s="39" t="s">
        <v>227</v>
      </c>
      <c r="E13" s="44" t="s">
        <v>1240</v>
      </c>
      <c r="F13" s="44"/>
      <c r="G13" s="44" t="s">
        <v>1267</v>
      </c>
      <c r="H13" s="44">
        <v>2</v>
      </c>
      <c r="I13" s="39" t="s">
        <v>1274</v>
      </c>
      <c r="J13" s="39">
        <v>0</v>
      </c>
      <c r="K13" s="39">
        <v>0</v>
      </c>
      <c r="L13" s="39">
        <v>0</v>
      </c>
      <c r="M13" s="39" t="s">
        <v>1275</v>
      </c>
      <c r="N13" s="109" t="s">
        <v>1253</v>
      </c>
      <c r="O13" s="1" t="s">
        <v>1254</v>
      </c>
      <c r="P13" s="106" t="s">
        <v>1276</v>
      </c>
      <c r="Q13" s="39" t="s">
        <v>1249</v>
      </c>
      <c r="R13" s="102" t="s">
        <v>1250</v>
      </c>
      <c r="S13" s="32"/>
    </row>
    <row r="14" spans="1:19" ht="15" x14ac:dyDescent="0.25">
      <c r="A14" s="39" t="s">
        <v>233</v>
      </c>
      <c r="B14" s="40" t="s">
        <v>234</v>
      </c>
      <c r="C14" s="39" t="s">
        <v>29</v>
      </c>
      <c r="D14" s="39" t="s">
        <v>227</v>
      </c>
      <c r="E14" s="44" t="s">
        <v>1240</v>
      </c>
      <c r="F14" s="44" t="s">
        <v>1277</v>
      </c>
      <c r="G14" s="44"/>
      <c r="H14" s="44"/>
      <c r="I14" s="39"/>
      <c r="J14" s="39"/>
      <c r="K14" s="39"/>
      <c r="L14" s="39"/>
      <c r="M14" s="39" t="s">
        <v>1864</v>
      </c>
      <c r="N14" s="107" t="s">
        <v>1253</v>
      </c>
      <c r="O14" s="1" t="s">
        <v>1254</v>
      </c>
      <c r="P14" s="106" t="s">
        <v>1278</v>
      </c>
      <c r="Q14" s="39"/>
      <c r="R14" s="102" t="s">
        <v>1250</v>
      </c>
      <c r="S14" s="32"/>
    </row>
    <row r="15" spans="1:19" ht="15" x14ac:dyDescent="0.25">
      <c r="A15" s="39" t="s">
        <v>466</v>
      </c>
      <c r="B15" s="40" t="s">
        <v>467</v>
      </c>
      <c r="C15" s="39" t="s">
        <v>39</v>
      </c>
      <c r="D15" s="39" t="s">
        <v>271</v>
      </c>
      <c r="E15" s="44" t="s">
        <v>1252</v>
      </c>
      <c r="F15" s="44"/>
      <c r="G15" s="44"/>
      <c r="H15" s="44"/>
      <c r="I15" s="39"/>
      <c r="J15" s="39"/>
      <c r="K15" s="39"/>
      <c r="L15" s="39"/>
      <c r="M15" s="39" t="s">
        <v>1864</v>
      </c>
      <c r="N15" s="107" t="s">
        <v>1253</v>
      </c>
      <c r="O15" s="1" t="s">
        <v>1254</v>
      </c>
      <c r="P15" s="106" t="s">
        <v>1255</v>
      </c>
      <c r="Q15" s="39"/>
      <c r="R15" s="102" t="s">
        <v>1250</v>
      </c>
      <c r="S15" s="32"/>
    </row>
    <row r="16" spans="1:19" ht="15" x14ac:dyDescent="0.25">
      <c r="A16" s="39" t="s">
        <v>1279</v>
      </c>
      <c r="B16" s="40" t="s">
        <v>449</v>
      </c>
      <c r="C16" s="39" t="s">
        <v>37</v>
      </c>
      <c r="D16" s="39" t="s">
        <v>271</v>
      </c>
      <c r="E16" s="44" t="s">
        <v>1252</v>
      </c>
      <c r="F16" s="44"/>
      <c r="G16" s="44" t="s">
        <v>1267</v>
      </c>
      <c r="H16" s="44">
        <v>0</v>
      </c>
      <c r="I16" s="39" t="s">
        <v>1280</v>
      </c>
      <c r="J16" s="39">
        <v>0</v>
      </c>
      <c r="K16" s="39">
        <v>0</v>
      </c>
      <c r="L16" s="39">
        <v>0</v>
      </c>
      <c r="M16" s="39" t="s">
        <v>1281</v>
      </c>
      <c r="N16" s="41" t="s">
        <v>1261</v>
      </c>
      <c r="O16" s="1" t="s">
        <v>1262</v>
      </c>
      <c r="P16" s="106" t="s">
        <v>1276</v>
      </c>
      <c r="Q16" s="39" t="s">
        <v>1249</v>
      </c>
      <c r="R16" s="102" t="s">
        <v>1250</v>
      </c>
    </row>
    <row r="17" spans="1:19" ht="15" x14ac:dyDescent="0.25">
      <c r="A17" s="41" t="s">
        <v>1282</v>
      </c>
      <c r="B17" s="40" t="s">
        <v>576</v>
      </c>
      <c r="C17" s="39" t="s">
        <v>37</v>
      </c>
      <c r="D17" s="39" t="s">
        <v>271</v>
      </c>
      <c r="E17" s="44" t="s">
        <v>1252</v>
      </c>
      <c r="F17" s="44" t="s">
        <v>1283</v>
      </c>
      <c r="G17" s="44"/>
      <c r="H17" s="44"/>
      <c r="I17" s="39" t="s">
        <v>1284</v>
      </c>
      <c r="J17" s="39" t="s">
        <v>1285</v>
      </c>
      <c r="K17" s="39"/>
      <c r="L17" s="39"/>
      <c r="M17" s="39" t="s">
        <v>1286</v>
      </c>
      <c r="N17" s="105" t="s">
        <v>1246</v>
      </c>
      <c r="O17" s="1" t="s">
        <v>1247</v>
      </c>
      <c r="P17" s="106" t="s">
        <v>1287</v>
      </c>
      <c r="Q17" s="39" t="s">
        <v>227</v>
      </c>
      <c r="R17" s="102" t="s">
        <v>1250</v>
      </c>
    </row>
    <row r="18" spans="1:19" ht="15" x14ac:dyDescent="0.25">
      <c r="A18" s="39" t="s">
        <v>1288</v>
      </c>
      <c r="B18" s="40" t="s">
        <v>139</v>
      </c>
      <c r="C18" s="39" t="s">
        <v>37</v>
      </c>
      <c r="D18" s="39" t="s">
        <v>271</v>
      </c>
      <c r="E18" s="44" t="s">
        <v>1240</v>
      </c>
      <c r="F18" s="44" t="s">
        <v>1241</v>
      </c>
      <c r="G18" s="104">
        <v>6</v>
      </c>
      <c r="H18" s="110">
        <v>8</v>
      </c>
      <c r="I18" s="39" t="s">
        <v>1244</v>
      </c>
      <c r="J18" s="39" t="s">
        <v>1289</v>
      </c>
      <c r="K18" s="39" t="s">
        <v>1290</v>
      </c>
      <c r="L18" s="39">
        <v>0</v>
      </c>
      <c r="M18" s="39" t="s">
        <v>1291</v>
      </c>
      <c r="N18" s="105" t="s">
        <v>1246</v>
      </c>
      <c r="O18" s="1" t="s">
        <v>1247</v>
      </c>
      <c r="P18" s="106" t="s">
        <v>1248</v>
      </c>
      <c r="Q18" s="39" t="s">
        <v>227</v>
      </c>
      <c r="R18" s="102">
        <v>0.3</v>
      </c>
    </row>
    <row r="19" spans="1:19" ht="15" x14ac:dyDescent="0.25">
      <c r="A19" s="39" t="s">
        <v>11</v>
      </c>
      <c r="B19" s="40" t="s">
        <v>28</v>
      </c>
      <c r="C19" s="39" t="s">
        <v>29</v>
      </c>
      <c r="D19" s="39" t="s">
        <v>227</v>
      </c>
      <c r="E19" s="44" t="s">
        <v>1240</v>
      </c>
      <c r="F19" s="44" t="s">
        <v>1292</v>
      </c>
      <c r="G19" s="44" t="s">
        <v>1267</v>
      </c>
      <c r="H19" s="44" t="s">
        <v>1267</v>
      </c>
      <c r="I19" s="39" t="s">
        <v>1293</v>
      </c>
      <c r="J19" s="39">
        <v>0</v>
      </c>
      <c r="K19" s="39">
        <v>0</v>
      </c>
      <c r="L19" s="39">
        <v>0</v>
      </c>
      <c r="M19" s="39" t="s">
        <v>1294</v>
      </c>
      <c r="N19" s="109" t="s">
        <v>1253</v>
      </c>
      <c r="O19" s="1" t="s">
        <v>1254</v>
      </c>
      <c r="P19" s="106" t="s">
        <v>1295</v>
      </c>
      <c r="Q19" s="39"/>
      <c r="R19" s="102">
        <v>0.2</v>
      </c>
    </row>
    <row r="20" spans="1:19" ht="15" x14ac:dyDescent="0.25">
      <c r="A20" s="39" t="s">
        <v>1296</v>
      </c>
      <c r="B20" s="40" t="s">
        <v>655</v>
      </c>
      <c r="C20" s="39" t="s">
        <v>29</v>
      </c>
      <c r="D20" s="39" t="s">
        <v>271</v>
      </c>
      <c r="E20" s="44" t="s">
        <v>1252</v>
      </c>
      <c r="F20" s="44"/>
      <c r="G20" s="104">
        <v>7</v>
      </c>
      <c r="H20" s="44">
        <v>12</v>
      </c>
      <c r="I20" s="39" t="s">
        <v>1297</v>
      </c>
      <c r="J20" s="39">
        <v>0</v>
      </c>
      <c r="K20" s="39">
        <v>0</v>
      </c>
      <c r="L20" s="39">
        <v>0</v>
      </c>
      <c r="M20" s="39" t="s">
        <v>1298</v>
      </c>
      <c r="N20" s="41" t="s">
        <v>1261</v>
      </c>
      <c r="O20" s="1" t="s">
        <v>1262</v>
      </c>
      <c r="P20" s="106" t="s">
        <v>1299</v>
      </c>
      <c r="Q20" s="39" t="s">
        <v>227</v>
      </c>
      <c r="R20" s="102" t="s">
        <v>1250</v>
      </c>
    </row>
    <row r="21" spans="1:19" ht="15" x14ac:dyDescent="0.25">
      <c r="A21" s="39" t="s">
        <v>12</v>
      </c>
      <c r="B21" s="40" t="s">
        <v>84</v>
      </c>
      <c r="C21" s="39" t="s">
        <v>37</v>
      </c>
      <c r="D21" s="39" t="s">
        <v>271</v>
      </c>
      <c r="E21" s="44" t="s">
        <v>1300</v>
      </c>
      <c r="F21" s="44" t="s">
        <v>1283</v>
      </c>
      <c r="G21" s="44">
        <v>5.5</v>
      </c>
      <c r="H21" s="44">
        <v>2</v>
      </c>
      <c r="I21" s="39" t="s">
        <v>1285</v>
      </c>
      <c r="J21" s="39">
        <v>0</v>
      </c>
      <c r="K21" s="39">
        <v>0</v>
      </c>
      <c r="L21" s="39">
        <v>0</v>
      </c>
      <c r="M21" s="39" t="s">
        <v>1301</v>
      </c>
      <c r="N21" s="109" t="s">
        <v>1253</v>
      </c>
      <c r="O21" s="1" t="s">
        <v>1254</v>
      </c>
      <c r="P21" s="106" t="s">
        <v>1287</v>
      </c>
      <c r="Q21" s="39" t="s">
        <v>227</v>
      </c>
      <c r="R21" s="102" t="s">
        <v>1250</v>
      </c>
    </row>
    <row r="22" spans="1:19" ht="15" x14ac:dyDescent="0.25">
      <c r="A22" s="39" t="s">
        <v>300</v>
      </c>
      <c r="B22" s="40" t="s">
        <v>299</v>
      </c>
      <c r="C22" s="39" t="s">
        <v>37</v>
      </c>
      <c r="D22" s="39" t="s">
        <v>227</v>
      </c>
      <c r="E22" s="44" t="s">
        <v>1252</v>
      </c>
      <c r="F22" s="44"/>
      <c r="G22" s="44"/>
      <c r="H22" s="44"/>
      <c r="I22" s="39"/>
      <c r="J22" s="39"/>
      <c r="K22" s="39"/>
      <c r="L22" s="39"/>
      <c r="M22" s="39" t="s">
        <v>1863</v>
      </c>
      <c r="N22" s="107" t="s">
        <v>1253</v>
      </c>
      <c r="O22" s="1" t="s">
        <v>1254</v>
      </c>
      <c r="P22" s="106" t="s">
        <v>1255</v>
      </c>
      <c r="Q22" s="39"/>
      <c r="R22" s="102" t="s">
        <v>1250</v>
      </c>
      <c r="S22" s="32"/>
    </row>
    <row r="23" spans="1:19" ht="15" x14ac:dyDescent="0.25">
      <c r="A23" s="39" t="s">
        <v>1302</v>
      </c>
      <c r="B23" s="40" t="s">
        <v>103</v>
      </c>
      <c r="C23" s="39" t="s">
        <v>29</v>
      </c>
      <c r="D23" s="39" t="s">
        <v>227</v>
      </c>
      <c r="E23" s="44" t="s">
        <v>1240</v>
      </c>
      <c r="F23" s="44"/>
      <c r="G23" s="44" t="s">
        <v>1267</v>
      </c>
      <c r="H23" s="44">
        <v>0</v>
      </c>
      <c r="I23" s="39" t="s">
        <v>1303</v>
      </c>
      <c r="J23" s="39">
        <v>0</v>
      </c>
      <c r="K23" s="39">
        <v>0</v>
      </c>
      <c r="L23" s="39">
        <v>0</v>
      </c>
      <c r="M23" s="39" t="s">
        <v>1304</v>
      </c>
      <c r="N23" s="43" t="s">
        <v>1305</v>
      </c>
      <c r="O23" s="39" t="s">
        <v>1306</v>
      </c>
      <c r="P23" s="106" t="s">
        <v>1307</v>
      </c>
      <c r="Q23" s="39" t="s">
        <v>1308</v>
      </c>
      <c r="R23" s="102" t="s">
        <v>1250</v>
      </c>
      <c r="S23" s="32"/>
    </row>
    <row r="24" spans="1:19" ht="15" x14ac:dyDescent="0.25">
      <c r="A24" s="39" t="s">
        <v>1309</v>
      </c>
      <c r="B24" s="40" t="s">
        <v>562</v>
      </c>
      <c r="C24" s="39" t="s">
        <v>37</v>
      </c>
      <c r="D24" s="39" t="s">
        <v>271</v>
      </c>
      <c r="E24" s="44" t="s">
        <v>1252</v>
      </c>
      <c r="F24" s="44" t="s">
        <v>1283</v>
      </c>
      <c r="G24" s="44">
        <v>5.5</v>
      </c>
      <c r="H24" s="44">
        <v>2</v>
      </c>
      <c r="I24" s="39" t="s">
        <v>1310</v>
      </c>
      <c r="J24" s="39">
        <v>0</v>
      </c>
      <c r="K24" s="39">
        <v>0</v>
      </c>
      <c r="L24" s="39">
        <v>0</v>
      </c>
      <c r="M24" s="39" t="s">
        <v>1301</v>
      </c>
      <c r="N24" s="109" t="s">
        <v>1253</v>
      </c>
      <c r="O24" s="1" t="s">
        <v>1254</v>
      </c>
      <c r="P24" s="106" t="s">
        <v>1287</v>
      </c>
      <c r="Q24" s="39" t="s">
        <v>227</v>
      </c>
      <c r="R24" s="102" t="s">
        <v>1250</v>
      </c>
      <c r="S24" s="32"/>
    </row>
    <row r="25" spans="1:19" ht="15" x14ac:dyDescent="0.25">
      <c r="A25" s="41" t="s">
        <v>1311</v>
      </c>
      <c r="B25" s="40" t="s">
        <v>530</v>
      </c>
      <c r="C25" s="39" t="s">
        <v>29</v>
      </c>
      <c r="D25" s="39" t="s">
        <v>271</v>
      </c>
      <c r="E25" s="44" t="s">
        <v>1252</v>
      </c>
      <c r="F25" s="44" t="s">
        <v>1283</v>
      </c>
      <c r="G25" s="44"/>
      <c r="H25" s="44"/>
      <c r="I25" s="39" t="s">
        <v>1312</v>
      </c>
      <c r="J25" s="39" t="s">
        <v>1313</v>
      </c>
      <c r="K25" s="39" t="s">
        <v>1314</v>
      </c>
      <c r="L25" s="39" t="s">
        <v>1315</v>
      </c>
      <c r="M25" s="39" t="s">
        <v>1316</v>
      </c>
      <c r="N25" s="105" t="s">
        <v>1246</v>
      </c>
      <c r="O25" s="1" t="s">
        <v>1247</v>
      </c>
      <c r="P25" s="106" t="s">
        <v>1287</v>
      </c>
      <c r="Q25" s="39" t="s">
        <v>227</v>
      </c>
      <c r="R25" s="102" t="s">
        <v>1250</v>
      </c>
      <c r="S25" s="32"/>
    </row>
    <row r="26" spans="1:19" ht="15" x14ac:dyDescent="0.25">
      <c r="A26" s="39" t="s">
        <v>1317</v>
      </c>
      <c r="B26" s="40" t="s">
        <v>659</v>
      </c>
      <c r="C26" s="39" t="s">
        <v>29</v>
      </c>
      <c r="D26" s="39" t="s">
        <v>271</v>
      </c>
      <c r="E26" s="44" t="s">
        <v>1252</v>
      </c>
      <c r="F26" s="44" t="s">
        <v>1241</v>
      </c>
      <c r="G26" s="104">
        <v>5</v>
      </c>
      <c r="H26" s="110">
        <v>2</v>
      </c>
      <c r="I26" s="108" t="s">
        <v>1318</v>
      </c>
      <c r="J26" s="39"/>
      <c r="K26" s="39"/>
      <c r="L26" s="39"/>
      <c r="M26" s="39"/>
      <c r="N26" s="39"/>
      <c r="O26" s="39"/>
      <c r="P26" s="106" t="s">
        <v>1248</v>
      </c>
      <c r="Q26" s="39" t="s">
        <v>1308</v>
      </c>
      <c r="R26" s="102" t="s">
        <v>1250</v>
      </c>
      <c r="S26" s="32"/>
    </row>
    <row r="27" spans="1:19" ht="15" x14ac:dyDescent="0.25">
      <c r="A27" s="39" t="s">
        <v>1319</v>
      </c>
      <c r="B27" s="40" t="s">
        <v>428</v>
      </c>
      <c r="C27" s="39" t="s">
        <v>29</v>
      </c>
      <c r="D27" s="39" t="s">
        <v>271</v>
      </c>
      <c r="E27" s="44" t="s">
        <v>1252</v>
      </c>
      <c r="F27" s="44" t="s">
        <v>1277</v>
      </c>
      <c r="G27" s="44"/>
      <c r="H27" s="44"/>
      <c r="I27" s="39"/>
      <c r="J27" s="39"/>
      <c r="K27" s="39"/>
      <c r="L27" s="39"/>
      <c r="M27" s="39"/>
      <c r="N27" s="107" t="s">
        <v>1253</v>
      </c>
      <c r="O27" s="1" t="s">
        <v>1254</v>
      </c>
      <c r="P27" s="106" t="s">
        <v>1278</v>
      </c>
      <c r="Q27" s="39"/>
      <c r="R27" s="102" t="s">
        <v>1250</v>
      </c>
      <c r="S27" s="32"/>
    </row>
    <row r="28" spans="1:19" ht="15" x14ac:dyDescent="0.25">
      <c r="A28" s="39" t="s">
        <v>1320</v>
      </c>
      <c r="B28" s="40" t="s">
        <v>548</v>
      </c>
      <c r="C28" s="39" t="s">
        <v>37</v>
      </c>
      <c r="D28" s="41" t="s">
        <v>227</v>
      </c>
      <c r="E28" s="44" t="s">
        <v>1252</v>
      </c>
      <c r="F28" s="44" t="s">
        <v>1283</v>
      </c>
      <c r="G28" s="104">
        <v>7</v>
      </c>
      <c r="H28" s="44">
        <v>2</v>
      </c>
      <c r="I28" s="39" t="s">
        <v>1321</v>
      </c>
      <c r="J28" s="39">
        <v>0</v>
      </c>
      <c r="K28" s="39">
        <v>0</v>
      </c>
      <c r="L28" s="39">
        <v>0</v>
      </c>
      <c r="M28" s="39" t="s">
        <v>1322</v>
      </c>
      <c r="N28" s="109" t="s">
        <v>1253</v>
      </c>
      <c r="O28" s="1" t="s">
        <v>1254</v>
      </c>
      <c r="P28" s="106" t="s">
        <v>1287</v>
      </c>
      <c r="Q28" s="39" t="s">
        <v>227</v>
      </c>
      <c r="R28" s="102">
        <v>0.25</v>
      </c>
      <c r="S28" s="32"/>
    </row>
    <row r="29" spans="1:19" ht="15" x14ac:dyDescent="0.25">
      <c r="A29" s="39" t="s">
        <v>1323</v>
      </c>
      <c r="B29" s="40" t="s">
        <v>395</v>
      </c>
      <c r="C29" s="39" t="s">
        <v>29</v>
      </c>
      <c r="D29" s="39" t="s">
        <v>271</v>
      </c>
      <c r="E29" s="44" t="s">
        <v>1252</v>
      </c>
      <c r="F29" s="44" t="s">
        <v>1277</v>
      </c>
      <c r="G29" s="44"/>
      <c r="H29" s="44"/>
      <c r="I29" s="39" t="s">
        <v>1324</v>
      </c>
      <c r="J29" s="39">
        <v>0</v>
      </c>
      <c r="K29" s="39">
        <v>0</v>
      </c>
      <c r="L29" s="39">
        <v>0</v>
      </c>
      <c r="M29" s="39"/>
      <c r="N29" s="107" t="s">
        <v>1253</v>
      </c>
      <c r="O29" s="1" t="s">
        <v>1254</v>
      </c>
      <c r="P29" s="106" t="s">
        <v>1278</v>
      </c>
      <c r="Q29" s="39"/>
      <c r="R29" s="102" t="s">
        <v>1250</v>
      </c>
    </row>
    <row r="30" spans="1:19" ht="15" x14ac:dyDescent="0.25">
      <c r="A30" s="39" t="s">
        <v>140</v>
      </c>
      <c r="B30" s="40" t="s">
        <v>141</v>
      </c>
      <c r="C30" s="39" t="s">
        <v>37</v>
      </c>
      <c r="D30" s="39" t="s">
        <v>227</v>
      </c>
      <c r="E30" s="44" t="s">
        <v>1240</v>
      </c>
      <c r="F30" s="44" t="s">
        <v>1325</v>
      </c>
      <c r="G30" s="104">
        <v>7</v>
      </c>
      <c r="H30" s="44">
        <v>2</v>
      </c>
      <c r="I30" s="39" t="s">
        <v>1314</v>
      </c>
      <c r="J30" s="39" t="s">
        <v>1313</v>
      </c>
      <c r="K30" s="39"/>
      <c r="L30" s="39">
        <v>0</v>
      </c>
      <c r="M30" s="39" t="s">
        <v>1326</v>
      </c>
      <c r="N30" s="109" t="s">
        <v>1253</v>
      </c>
      <c r="O30" s="1" t="s">
        <v>1254</v>
      </c>
      <c r="P30" s="106" t="s">
        <v>1287</v>
      </c>
      <c r="Q30" s="39" t="s">
        <v>227</v>
      </c>
      <c r="R30" s="102">
        <v>1.2</v>
      </c>
      <c r="S30" s="32"/>
    </row>
    <row r="31" spans="1:19" ht="15" x14ac:dyDescent="0.25">
      <c r="A31" s="41" t="s">
        <v>1327</v>
      </c>
      <c r="B31" s="40" t="s">
        <v>518</v>
      </c>
      <c r="C31" s="39" t="s">
        <v>29</v>
      </c>
      <c r="D31" s="39" t="s">
        <v>271</v>
      </c>
      <c r="E31" s="44" t="s">
        <v>1252</v>
      </c>
      <c r="F31" s="44" t="s">
        <v>1283</v>
      </c>
      <c r="G31" s="44"/>
      <c r="H31" s="44"/>
      <c r="I31" s="39" t="s">
        <v>1315</v>
      </c>
      <c r="J31" s="39" t="s">
        <v>1312</v>
      </c>
      <c r="K31" s="39">
        <v>0</v>
      </c>
      <c r="L31" s="39">
        <v>0</v>
      </c>
      <c r="M31" s="39"/>
      <c r="N31" s="39"/>
      <c r="O31" s="39"/>
      <c r="P31" s="106" t="s">
        <v>1287</v>
      </c>
      <c r="Q31" s="39" t="s">
        <v>1308</v>
      </c>
      <c r="R31" s="102" t="s">
        <v>1250</v>
      </c>
    </row>
    <row r="32" spans="1:19" ht="15" x14ac:dyDescent="0.25">
      <c r="A32" s="39" t="s">
        <v>104</v>
      </c>
      <c r="B32" s="40" t="s">
        <v>105</v>
      </c>
      <c r="C32" s="39" t="s">
        <v>37</v>
      </c>
      <c r="D32" s="39" t="s">
        <v>227</v>
      </c>
      <c r="E32" s="44" t="s">
        <v>1240</v>
      </c>
      <c r="F32" s="44"/>
      <c r="G32" s="44" t="s">
        <v>1267</v>
      </c>
      <c r="H32" s="44">
        <v>48</v>
      </c>
      <c r="I32" s="39" t="s">
        <v>1328</v>
      </c>
      <c r="J32" s="39">
        <v>0</v>
      </c>
      <c r="K32" s="39">
        <v>0</v>
      </c>
      <c r="L32" s="39">
        <v>0</v>
      </c>
      <c r="M32" s="39" t="s">
        <v>1329</v>
      </c>
      <c r="N32" s="105" t="s">
        <v>1246</v>
      </c>
      <c r="O32" s="1" t="s">
        <v>1247</v>
      </c>
      <c r="P32" s="106" t="s">
        <v>1330</v>
      </c>
      <c r="Q32" s="39" t="s">
        <v>227</v>
      </c>
      <c r="R32" s="102">
        <v>5</v>
      </c>
    </row>
    <row r="33" spans="1:19" ht="15" x14ac:dyDescent="0.25">
      <c r="A33" s="39" t="s">
        <v>1331</v>
      </c>
      <c r="B33" s="40" t="s">
        <v>641</v>
      </c>
      <c r="C33" s="39" t="s">
        <v>29</v>
      </c>
      <c r="D33" s="39" t="s">
        <v>271</v>
      </c>
      <c r="E33" s="44" t="s">
        <v>1252</v>
      </c>
      <c r="F33" s="44"/>
      <c r="G33" s="44"/>
      <c r="H33" s="44"/>
      <c r="I33" s="39"/>
      <c r="J33" s="39"/>
      <c r="K33" s="39"/>
      <c r="L33" s="39"/>
      <c r="M33" s="39" t="s">
        <v>1332</v>
      </c>
      <c r="N33" s="109" t="s">
        <v>1253</v>
      </c>
      <c r="O33" s="1" t="s">
        <v>1254</v>
      </c>
      <c r="P33" s="106" t="s">
        <v>1299</v>
      </c>
      <c r="Q33" s="39" t="s">
        <v>227</v>
      </c>
      <c r="R33" s="102" t="s">
        <v>1250</v>
      </c>
    </row>
    <row r="34" spans="1:19" ht="15" x14ac:dyDescent="0.25">
      <c r="A34" s="39" t="s">
        <v>1333</v>
      </c>
      <c r="B34" s="40" t="s">
        <v>661</v>
      </c>
      <c r="C34" s="39" t="s">
        <v>29</v>
      </c>
      <c r="D34" s="39" t="s">
        <v>271</v>
      </c>
      <c r="E34" s="44" t="s">
        <v>1252</v>
      </c>
      <c r="F34" s="44" t="s">
        <v>1241</v>
      </c>
      <c r="G34" s="44"/>
      <c r="H34" s="44"/>
      <c r="I34" s="39"/>
      <c r="J34" s="39"/>
      <c r="K34" s="39"/>
      <c r="L34" s="39"/>
      <c r="M34" s="39" t="s">
        <v>1334</v>
      </c>
      <c r="N34" s="105" t="s">
        <v>1246</v>
      </c>
      <c r="O34" s="1" t="s">
        <v>1247</v>
      </c>
      <c r="P34" s="106" t="s">
        <v>1248</v>
      </c>
      <c r="Q34" s="39" t="s">
        <v>227</v>
      </c>
      <c r="R34" s="102" t="s">
        <v>1250</v>
      </c>
    </row>
    <row r="35" spans="1:19" ht="15" x14ac:dyDescent="0.25">
      <c r="A35" s="39" t="s">
        <v>1335</v>
      </c>
      <c r="B35" s="40" t="s">
        <v>663</v>
      </c>
      <c r="C35" s="39" t="s">
        <v>29</v>
      </c>
      <c r="D35" s="39" t="s">
        <v>271</v>
      </c>
      <c r="E35" s="44" t="s">
        <v>1252</v>
      </c>
      <c r="F35" s="44" t="s">
        <v>1241</v>
      </c>
      <c r="G35" s="44"/>
      <c r="H35" s="44"/>
      <c r="I35" s="39"/>
      <c r="J35" s="39"/>
      <c r="K35" s="39"/>
      <c r="L35" s="39"/>
      <c r="M35" s="39"/>
      <c r="N35" s="39"/>
      <c r="O35" s="39"/>
      <c r="P35" s="106" t="s">
        <v>1248</v>
      </c>
      <c r="Q35" s="39" t="s">
        <v>1308</v>
      </c>
      <c r="R35" s="102" t="s">
        <v>1250</v>
      </c>
      <c r="S35" s="32"/>
    </row>
    <row r="36" spans="1:19" ht="15" x14ac:dyDescent="0.25">
      <c r="A36" s="39" t="s">
        <v>1336</v>
      </c>
      <c r="B36" s="40" t="s">
        <v>245</v>
      </c>
      <c r="C36" s="39" t="s">
        <v>37</v>
      </c>
      <c r="D36" s="39" t="s">
        <v>227</v>
      </c>
      <c r="E36" s="44" t="s">
        <v>1240</v>
      </c>
      <c r="F36" s="44" t="s">
        <v>1283</v>
      </c>
      <c r="G36" s="44">
        <v>5.5</v>
      </c>
      <c r="H36" s="44">
        <v>2</v>
      </c>
      <c r="I36" s="39" t="s">
        <v>1285</v>
      </c>
      <c r="J36" s="39">
        <v>0</v>
      </c>
      <c r="K36" s="39">
        <v>0</v>
      </c>
      <c r="L36" s="39">
        <v>0</v>
      </c>
      <c r="M36" s="39" t="s">
        <v>1337</v>
      </c>
      <c r="N36" s="109" t="s">
        <v>1253</v>
      </c>
      <c r="O36" s="1" t="s">
        <v>1254</v>
      </c>
      <c r="P36" s="106" t="s">
        <v>1287</v>
      </c>
      <c r="Q36" s="39" t="s">
        <v>227</v>
      </c>
      <c r="R36" s="102">
        <v>2</v>
      </c>
    </row>
    <row r="37" spans="1:19" ht="15" x14ac:dyDescent="0.25">
      <c r="A37" s="41" t="s">
        <v>1338</v>
      </c>
      <c r="B37" s="40" t="s">
        <v>560</v>
      </c>
      <c r="C37" s="39" t="s">
        <v>37</v>
      </c>
      <c r="D37" s="39" t="s">
        <v>271</v>
      </c>
      <c r="E37" s="44" t="s">
        <v>1252</v>
      </c>
      <c r="F37" s="44" t="s">
        <v>1283</v>
      </c>
      <c r="G37" s="44" t="s">
        <v>1339</v>
      </c>
      <c r="H37" s="44"/>
      <c r="I37" s="39" t="s">
        <v>1321</v>
      </c>
      <c r="J37" s="39"/>
      <c r="K37" s="39"/>
      <c r="L37" s="39"/>
      <c r="M37" s="39" t="s">
        <v>1340</v>
      </c>
      <c r="N37" s="109" t="s">
        <v>1253</v>
      </c>
      <c r="O37" s="1" t="s">
        <v>1254</v>
      </c>
      <c r="P37" s="106" t="s">
        <v>1287</v>
      </c>
      <c r="Q37" s="39" t="s">
        <v>227</v>
      </c>
      <c r="R37" s="102">
        <v>1</v>
      </c>
      <c r="S37" s="32"/>
    </row>
    <row r="38" spans="1:19" ht="15" x14ac:dyDescent="0.25">
      <c r="A38" s="39" t="s">
        <v>202</v>
      </c>
      <c r="B38" s="40" t="s">
        <v>203</v>
      </c>
      <c r="C38" s="39" t="s">
        <v>37</v>
      </c>
      <c r="D38" s="39" t="s">
        <v>271</v>
      </c>
      <c r="E38" s="44" t="s">
        <v>1240</v>
      </c>
      <c r="F38" s="44"/>
      <c r="G38" s="44"/>
      <c r="H38" s="44"/>
      <c r="I38" s="39"/>
      <c r="J38" s="39"/>
      <c r="K38" s="39"/>
      <c r="L38" s="39"/>
      <c r="M38" s="39" t="s">
        <v>1341</v>
      </c>
      <c r="N38" s="105" t="s">
        <v>1246</v>
      </c>
      <c r="O38" s="1" t="s">
        <v>1247</v>
      </c>
      <c r="P38" s="106" t="s">
        <v>1255</v>
      </c>
      <c r="Q38" s="39" t="s">
        <v>227</v>
      </c>
      <c r="R38" s="102" t="s">
        <v>1250</v>
      </c>
    </row>
    <row r="39" spans="1:19" ht="15" x14ac:dyDescent="0.25">
      <c r="A39" s="1" t="s">
        <v>112</v>
      </c>
      <c r="B39" s="1" t="s">
        <v>1110</v>
      </c>
      <c r="C39" s="39" t="s">
        <v>27</v>
      </c>
      <c r="D39" s="39" t="s">
        <v>271</v>
      </c>
      <c r="E39" s="44" t="s">
        <v>1240</v>
      </c>
      <c r="F39" s="44"/>
      <c r="G39" s="44"/>
      <c r="H39" s="44"/>
      <c r="I39" s="39"/>
      <c r="J39" s="39"/>
      <c r="K39" s="39"/>
      <c r="L39" s="39"/>
      <c r="M39" s="39" t="s">
        <v>1866</v>
      </c>
      <c r="N39" s="39"/>
      <c r="O39" s="39"/>
      <c r="P39" s="106" t="s">
        <v>1342</v>
      </c>
      <c r="Q39" s="39" t="s">
        <v>1308</v>
      </c>
      <c r="R39" s="102">
        <v>2</v>
      </c>
    </row>
    <row r="40" spans="1:19" ht="15" x14ac:dyDescent="0.25">
      <c r="A40" s="39" t="s">
        <v>207</v>
      </c>
      <c r="B40" s="40" t="s">
        <v>208</v>
      </c>
      <c r="C40" s="39" t="s">
        <v>29</v>
      </c>
      <c r="D40" s="39" t="s">
        <v>227</v>
      </c>
      <c r="E40" s="44" t="s">
        <v>1240</v>
      </c>
      <c r="F40" s="44" t="s">
        <v>1241</v>
      </c>
      <c r="G40" s="104">
        <v>7</v>
      </c>
      <c r="H40" s="110">
        <v>24</v>
      </c>
      <c r="I40" s="39" t="s">
        <v>1244</v>
      </c>
      <c r="J40" s="39" t="s">
        <v>1243</v>
      </c>
      <c r="K40" s="39" t="s">
        <v>1289</v>
      </c>
      <c r="L40" s="39">
        <v>0</v>
      </c>
      <c r="M40" s="39" t="s">
        <v>1343</v>
      </c>
      <c r="N40" s="41" t="s">
        <v>1261</v>
      </c>
      <c r="O40" s="1" t="s">
        <v>1262</v>
      </c>
      <c r="P40" s="106" t="s">
        <v>1248</v>
      </c>
      <c r="Q40" s="39" t="s">
        <v>227</v>
      </c>
      <c r="R40" s="102">
        <v>1</v>
      </c>
    </row>
    <row r="41" spans="1:19" ht="15" x14ac:dyDescent="0.25">
      <c r="A41" s="41" t="s">
        <v>1344</v>
      </c>
      <c r="B41" s="40" t="s">
        <v>781</v>
      </c>
      <c r="C41" s="39" t="s">
        <v>29</v>
      </c>
      <c r="D41" s="39" t="s">
        <v>271</v>
      </c>
      <c r="E41" s="44" t="s">
        <v>1345</v>
      </c>
      <c r="F41" s="44" t="s">
        <v>1283</v>
      </c>
      <c r="G41" s="44" t="s">
        <v>1346</v>
      </c>
      <c r="H41" s="110">
        <v>12</v>
      </c>
      <c r="I41" s="39" t="s">
        <v>1285</v>
      </c>
      <c r="J41" s="39" t="s">
        <v>1284</v>
      </c>
      <c r="K41" s="39" t="s">
        <v>1313</v>
      </c>
      <c r="L41" s="39">
        <v>0</v>
      </c>
      <c r="M41" s="39" t="s">
        <v>1347</v>
      </c>
      <c r="N41" s="109" t="s">
        <v>1253</v>
      </c>
      <c r="O41" s="1" t="s">
        <v>1254</v>
      </c>
      <c r="P41" s="106" t="s">
        <v>1287</v>
      </c>
      <c r="Q41" s="39" t="s">
        <v>227</v>
      </c>
      <c r="R41" s="102" t="s">
        <v>1250</v>
      </c>
    </row>
    <row r="42" spans="1:19" ht="15" x14ac:dyDescent="0.25">
      <c r="A42" s="39" t="s">
        <v>1348</v>
      </c>
      <c r="B42" s="40" t="s">
        <v>387</v>
      </c>
      <c r="C42" s="39" t="s">
        <v>29</v>
      </c>
      <c r="D42" s="39" t="s">
        <v>271</v>
      </c>
      <c r="E42" s="44" t="s">
        <v>1252</v>
      </c>
      <c r="F42" s="44" t="s">
        <v>1277</v>
      </c>
      <c r="G42" s="44" t="s">
        <v>1267</v>
      </c>
      <c r="H42" s="44">
        <v>0</v>
      </c>
      <c r="I42" s="39" t="s">
        <v>1278</v>
      </c>
      <c r="J42" s="39">
        <v>0</v>
      </c>
      <c r="K42" s="39">
        <v>0</v>
      </c>
      <c r="L42" s="39">
        <v>0</v>
      </c>
      <c r="M42" s="39" t="s">
        <v>1349</v>
      </c>
      <c r="N42" s="107" t="s">
        <v>1253</v>
      </c>
      <c r="O42" s="1" t="s">
        <v>1254</v>
      </c>
      <c r="P42" s="106" t="s">
        <v>1278</v>
      </c>
      <c r="Q42" s="39"/>
      <c r="R42" s="102" t="s">
        <v>1250</v>
      </c>
    </row>
    <row r="43" spans="1:19" ht="15" x14ac:dyDescent="0.25">
      <c r="A43" s="39" t="s">
        <v>1350</v>
      </c>
      <c r="B43" s="40" t="s">
        <v>403</v>
      </c>
      <c r="C43" s="39" t="s">
        <v>29</v>
      </c>
      <c r="D43" s="39" t="s">
        <v>271</v>
      </c>
      <c r="E43" s="44" t="s">
        <v>1252</v>
      </c>
      <c r="F43" s="44" t="s">
        <v>1277</v>
      </c>
      <c r="G43" s="44"/>
      <c r="H43" s="44"/>
      <c r="I43" s="39"/>
      <c r="J43" s="39"/>
      <c r="K43" s="39"/>
      <c r="L43" s="39"/>
      <c r="M43" s="39"/>
      <c r="N43" s="107" t="s">
        <v>1253</v>
      </c>
      <c r="O43" s="1" t="s">
        <v>1254</v>
      </c>
      <c r="P43" s="106" t="s">
        <v>1278</v>
      </c>
      <c r="Q43" s="39"/>
      <c r="R43" s="102" t="s">
        <v>1250</v>
      </c>
    </row>
    <row r="44" spans="1:19" ht="15" x14ac:dyDescent="0.25">
      <c r="A44" s="39" t="s">
        <v>110</v>
      </c>
      <c r="B44" s="40" t="s">
        <v>111</v>
      </c>
      <c r="C44" s="39" t="s">
        <v>29</v>
      </c>
      <c r="D44" s="39" t="s">
        <v>227</v>
      </c>
      <c r="E44" s="44" t="s">
        <v>1240</v>
      </c>
      <c r="F44" s="44" t="s">
        <v>1277</v>
      </c>
      <c r="G44" s="44" t="s">
        <v>1267</v>
      </c>
      <c r="H44" s="44" t="s">
        <v>1267</v>
      </c>
      <c r="I44" s="39" t="s">
        <v>1351</v>
      </c>
      <c r="J44" s="39">
        <v>0</v>
      </c>
      <c r="K44" s="39">
        <v>0</v>
      </c>
      <c r="L44" s="39">
        <v>0</v>
      </c>
      <c r="M44" s="39" t="s">
        <v>1352</v>
      </c>
      <c r="N44" s="107" t="s">
        <v>1253</v>
      </c>
      <c r="O44" s="1" t="s">
        <v>1254</v>
      </c>
      <c r="P44" s="106" t="s">
        <v>1278</v>
      </c>
      <c r="Q44" s="39"/>
      <c r="R44" s="102">
        <v>1</v>
      </c>
    </row>
    <row r="45" spans="1:19" ht="15" x14ac:dyDescent="0.25">
      <c r="A45" s="39" t="s">
        <v>30</v>
      </c>
      <c r="B45" s="40" t="s">
        <v>31</v>
      </c>
      <c r="C45" s="39" t="s">
        <v>29</v>
      </c>
      <c r="D45" s="39" t="s">
        <v>227</v>
      </c>
      <c r="E45" s="44" t="s">
        <v>1240</v>
      </c>
      <c r="F45" s="44" t="s">
        <v>1241</v>
      </c>
      <c r="G45" s="104">
        <v>7</v>
      </c>
      <c r="H45" s="44">
        <v>24</v>
      </c>
      <c r="I45" s="39" t="s">
        <v>1244</v>
      </c>
      <c r="J45" s="39" t="s">
        <v>1243</v>
      </c>
      <c r="K45" s="39" t="s">
        <v>1289</v>
      </c>
      <c r="L45" s="39"/>
      <c r="M45" s="39" t="s">
        <v>1353</v>
      </c>
      <c r="N45" s="41" t="s">
        <v>1261</v>
      </c>
      <c r="O45" s="1" t="s">
        <v>1262</v>
      </c>
      <c r="P45" s="106" t="s">
        <v>1248</v>
      </c>
      <c r="Q45" s="39" t="s">
        <v>227</v>
      </c>
      <c r="R45" s="102">
        <v>1</v>
      </c>
      <c r="S45" s="32"/>
    </row>
    <row r="46" spans="1:19" ht="15" x14ac:dyDescent="0.25">
      <c r="A46" s="41" t="s">
        <v>1354</v>
      </c>
      <c r="B46" s="40" t="s">
        <v>502</v>
      </c>
      <c r="C46" s="39" t="s">
        <v>29</v>
      </c>
      <c r="D46" s="39" t="s">
        <v>271</v>
      </c>
      <c r="E46" s="44" t="s">
        <v>1252</v>
      </c>
      <c r="F46" s="44" t="s">
        <v>1283</v>
      </c>
      <c r="G46" s="111">
        <v>5</v>
      </c>
      <c r="H46" s="44">
        <v>2</v>
      </c>
      <c r="I46" s="39" t="s">
        <v>1313</v>
      </c>
      <c r="J46" s="39" t="s">
        <v>1355</v>
      </c>
      <c r="K46" s="39" t="s">
        <v>1356</v>
      </c>
      <c r="L46" s="39"/>
      <c r="M46" s="39" t="s">
        <v>1357</v>
      </c>
      <c r="N46" s="109" t="s">
        <v>1253</v>
      </c>
      <c r="O46" s="1" t="s">
        <v>1254</v>
      </c>
      <c r="P46" s="106" t="s">
        <v>1287</v>
      </c>
      <c r="Q46" s="39" t="s">
        <v>227</v>
      </c>
      <c r="R46" s="102">
        <v>0.6</v>
      </c>
    </row>
    <row r="47" spans="1:19" ht="15" x14ac:dyDescent="0.25">
      <c r="A47" s="39" t="s">
        <v>1358</v>
      </c>
      <c r="B47" s="40" t="s">
        <v>572</v>
      </c>
      <c r="C47" s="39" t="s">
        <v>29</v>
      </c>
      <c r="D47" s="39" t="s">
        <v>271</v>
      </c>
      <c r="E47" s="44" t="s">
        <v>1252</v>
      </c>
      <c r="F47" s="44" t="s">
        <v>1283</v>
      </c>
      <c r="G47" s="104">
        <v>7</v>
      </c>
      <c r="H47" s="44">
        <v>4</v>
      </c>
      <c r="I47" s="39" t="s">
        <v>1312</v>
      </c>
      <c r="J47" s="39" t="s">
        <v>1321</v>
      </c>
      <c r="K47" s="39">
        <v>0</v>
      </c>
      <c r="L47" s="39">
        <v>0</v>
      </c>
      <c r="M47" s="39" t="s">
        <v>1359</v>
      </c>
      <c r="N47" s="109" t="s">
        <v>1253</v>
      </c>
      <c r="O47" s="1" t="s">
        <v>1254</v>
      </c>
      <c r="P47" s="106" t="s">
        <v>1287</v>
      </c>
      <c r="Q47" s="39" t="s">
        <v>227</v>
      </c>
      <c r="R47" s="102" t="s">
        <v>1250</v>
      </c>
    </row>
    <row r="48" spans="1:19" ht="15" x14ac:dyDescent="0.25">
      <c r="A48" s="41" t="s">
        <v>1360</v>
      </c>
      <c r="B48" s="40" t="s">
        <v>524</v>
      </c>
      <c r="C48" s="39" t="s">
        <v>29</v>
      </c>
      <c r="D48" s="39" t="s">
        <v>271</v>
      </c>
      <c r="E48" s="44" t="s">
        <v>1252</v>
      </c>
      <c r="F48" s="44" t="s">
        <v>1283</v>
      </c>
      <c r="G48" s="104">
        <v>5</v>
      </c>
      <c r="H48" s="44"/>
      <c r="I48" s="39" t="s">
        <v>1315</v>
      </c>
      <c r="J48" s="39"/>
      <c r="K48" s="39"/>
      <c r="L48" s="39"/>
      <c r="M48" s="39" t="s">
        <v>1361</v>
      </c>
      <c r="N48" s="105" t="s">
        <v>1246</v>
      </c>
      <c r="O48" s="1" t="s">
        <v>1247</v>
      </c>
      <c r="P48" s="106" t="s">
        <v>1287</v>
      </c>
      <c r="Q48" s="39" t="s">
        <v>227</v>
      </c>
      <c r="R48" s="102" t="s">
        <v>1250</v>
      </c>
      <c r="S48" s="32"/>
    </row>
    <row r="49" spans="1:19" ht="15" x14ac:dyDescent="0.25">
      <c r="A49" s="42" t="s">
        <v>840</v>
      </c>
      <c r="B49" s="40" t="s">
        <v>841</v>
      </c>
      <c r="C49" s="39" t="s">
        <v>29</v>
      </c>
      <c r="D49" s="39" t="s">
        <v>227</v>
      </c>
      <c r="E49" s="44" t="s">
        <v>1252</v>
      </c>
      <c r="F49" s="112" t="s">
        <v>1241</v>
      </c>
      <c r="G49" s="44"/>
      <c r="H49" s="44">
        <v>0</v>
      </c>
      <c r="I49" s="39">
        <v>0</v>
      </c>
      <c r="J49" s="39">
        <v>0</v>
      </c>
      <c r="K49" s="39">
        <v>0</v>
      </c>
      <c r="L49" s="39">
        <v>0</v>
      </c>
      <c r="M49" s="39" t="s">
        <v>840</v>
      </c>
      <c r="N49" s="107" t="s">
        <v>1253</v>
      </c>
      <c r="O49" s="1" t="s">
        <v>1254</v>
      </c>
      <c r="P49" s="106" t="s">
        <v>1278</v>
      </c>
      <c r="Q49" s="39"/>
      <c r="R49" s="113">
        <v>8</v>
      </c>
    </row>
    <row r="50" spans="1:19" ht="15" x14ac:dyDescent="0.25">
      <c r="A50" s="41" t="s">
        <v>1362</v>
      </c>
      <c r="B50" s="40" t="s">
        <v>528</v>
      </c>
      <c r="C50" s="39" t="s">
        <v>37</v>
      </c>
      <c r="D50" s="39" t="s">
        <v>271</v>
      </c>
      <c r="E50" s="44" t="s">
        <v>1252</v>
      </c>
      <c r="F50" s="44" t="s">
        <v>1283</v>
      </c>
      <c r="G50" s="104">
        <v>5</v>
      </c>
      <c r="H50" s="44"/>
      <c r="I50" s="39" t="s">
        <v>1356</v>
      </c>
      <c r="J50" s="39" t="s">
        <v>1315</v>
      </c>
      <c r="K50" s="39" t="s">
        <v>1355</v>
      </c>
      <c r="L50" s="39" t="s">
        <v>1313</v>
      </c>
      <c r="M50" s="39" t="s">
        <v>1363</v>
      </c>
      <c r="N50" s="105" t="s">
        <v>1246</v>
      </c>
      <c r="O50" s="1" t="s">
        <v>1247</v>
      </c>
      <c r="P50" s="106" t="s">
        <v>1287</v>
      </c>
      <c r="Q50" s="39" t="s">
        <v>227</v>
      </c>
      <c r="R50" s="102" t="s">
        <v>1250</v>
      </c>
      <c r="S50" s="32"/>
    </row>
    <row r="51" spans="1:19" ht="15" x14ac:dyDescent="0.25">
      <c r="A51" s="39" t="s">
        <v>1364</v>
      </c>
      <c r="B51" s="40" t="s">
        <v>707</v>
      </c>
      <c r="C51" s="39" t="s">
        <v>29</v>
      </c>
      <c r="D51" s="39" t="s">
        <v>271</v>
      </c>
      <c r="E51" s="44" t="s">
        <v>1252</v>
      </c>
      <c r="F51" s="44" t="s">
        <v>1241</v>
      </c>
      <c r="G51" s="44"/>
      <c r="H51" s="44"/>
      <c r="I51" s="39"/>
      <c r="J51" s="39"/>
      <c r="K51" s="39"/>
      <c r="L51" s="39"/>
      <c r="M51" s="39"/>
      <c r="N51" s="39"/>
      <c r="O51" s="39"/>
      <c r="P51" s="106" t="s">
        <v>1248</v>
      </c>
      <c r="Q51" s="39" t="s">
        <v>1308</v>
      </c>
      <c r="R51" s="102" t="s">
        <v>1250</v>
      </c>
      <c r="S51" s="32"/>
    </row>
    <row r="52" spans="1:19" ht="15" x14ac:dyDescent="0.25">
      <c r="A52" s="39" t="s">
        <v>1365</v>
      </c>
      <c r="B52" s="40" t="s">
        <v>447</v>
      </c>
      <c r="C52" s="39" t="s">
        <v>29</v>
      </c>
      <c r="D52" s="39" t="s">
        <v>271</v>
      </c>
      <c r="E52" s="44" t="s">
        <v>1252</v>
      </c>
      <c r="F52" s="44"/>
      <c r="G52" s="44" t="s">
        <v>1267</v>
      </c>
      <c r="H52" s="44">
        <v>0</v>
      </c>
      <c r="I52" s="39" t="s">
        <v>1366</v>
      </c>
      <c r="J52" s="39">
        <v>0</v>
      </c>
      <c r="K52" s="39">
        <v>0</v>
      </c>
      <c r="L52" s="39">
        <v>0</v>
      </c>
      <c r="M52" s="39"/>
      <c r="N52" s="107" t="s">
        <v>1253</v>
      </c>
      <c r="O52" s="1" t="s">
        <v>1254</v>
      </c>
      <c r="P52" s="106" t="s">
        <v>1276</v>
      </c>
      <c r="Q52" s="39" t="s">
        <v>1308</v>
      </c>
      <c r="R52" s="102" t="s">
        <v>1250</v>
      </c>
    </row>
    <row r="53" spans="1:19" ht="15" x14ac:dyDescent="0.25">
      <c r="A53" s="39" t="s">
        <v>1367</v>
      </c>
      <c r="B53" s="40" t="s">
        <v>554</v>
      </c>
      <c r="C53" s="39" t="s">
        <v>37</v>
      </c>
      <c r="D53" s="39" t="s">
        <v>271</v>
      </c>
      <c r="E53" s="44" t="s">
        <v>1252</v>
      </c>
      <c r="F53" s="44" t="s">
        <v>1283</v>
      </c>
      <c r="G53" s="44"/>
      <c r="H53" s="44"/>
      <c r="I53" s="39"/>
      <c r="J53" s="39"/>
      <c r="K53" s="39"/>
      <c r="L53" s="39"/>
      <c r="M53" s="39" t="s">
        <v>1368</v>
      </c>
      <c r="N53" s="109" t="s">
        <v>1253</v>
      </c>
      <c r="O53" s="1" t="s">
        <v>1254</v>
      </c>
      <c r="P53" s="106" t="s">
        <v>1287</v>
      </c>
      <c r="Q53" s="39" t="s">
        <v>1308</v>
      </c>
      <c r="R53" s="102" t="s">
        <v>1250</v>
      </c>
      <c r="S53" s="32"/>
    </row>
    <row r="54" spans="1:19" ht="15" x14ac:dyDescent="0.25">
      <c r="A54" s="39" t="s">
        <v>10</v>
      </c>
      <c r="B54" s="40" t="s">
        <v>279</v>
      </c>
      <c r="C54" s="39" t="s">
        <v>29</v>
      </c>
      <c r="D54" s="39" t="s">
        <v>271</v>
      </c>
      <c r="E54" s="44" t="s">
        <v>1300</v>
      </c>
      <c r="F54" s="44" t="s">
        <v>1241</v>
      </c>
      <c r="G54" s="44"/>
      <c r="H54" s="44"/>
      <c r="I54" s="39"/>
      <c r="J54" s="39"/>
      <c r="K54" s="39"/>
      <c r="L54" s="39"/>
      <c r="M54" s="39"/>
      <c r="N54" s="109" t="s">
        <v>1253</v>
      </c>
      <c r="O54" s="1" t="s">
        <v>1254</v>
      </c>
      <c r="P54" s="106" t="s">
        <v>1248</v>
      </c>
      <c r="Q54" s="39" t="s">
        <v>1308</v>
      </c>
      <c r="R54" s="102" t="s">
        <v>1250</v>
      </c>
      <c r="S54" s="32"/>
    </row>
    <row r="55" spans="1:19" ht="15" x14ac:dyDescent="0.25">
      <c r="A55" s="39" t="s">
        <v>181</v>
      </c>
      <c r="B55" s="40" t="s">
        <v>182</v>
      </c>
      <c r="C55" s="39" t="s">
        <v>29</v>
      </c>
      <c r="D55" s="39" t="s">
        <v>227</v>
      </c>
      <c r="E55" s="44" t="s">
        <v>1240</v>
      </c>
      <c r="F55" s="44" t="s">
        <v>1277</v>
      </c>
      <c r="G55" s="44" t="s">
        <v>1267</v>
      </c>
      <c r="H55" s="44" t="s">
        <v>1267</v>
      </c>
      <c r="I55" s="39" t="s">
        <v>1278</v>
      </c>
      <c r="J55" s="39">
        <v>0</v>
      </c>
      <c r="K55" s="39">
        <v>0</v>
      </c>
      <c r="L55" s="39">
        <v>0</v>
      </c>
      <c r="M55" s="39" t="s">
        <v>1369</v>
      </c>
      <c r="N55" s="109" t="s">
        <v>1253</v>
      </c>
      <c r="O55" s="1" t="s">
        <v>1254</v>
      </c>
      <c r="P55" s="106" t="s">
        <v>1278</v>
      </c>
      <c r="Q55" s="39" t="s">
        <v>1308</v>
      </c>
      <c r="R55" s="102">
        <v>1</v>
      </c>
      <c r="S55" s="32"/>
    </row>
    <row r="56" spans="1:19" ht="15" x14ac:dyDescent="0.25">
      <c r="A56" s="39" t="s">
        <v>442</v>
      </c>
      <c r="B56" s="40" t="s">
        <v>443</v>
      </c>
      <c r="C56" s="39" t="s">
        <v>29</v>
      </c>
      <c r="D56" s="39" t="s">
        <v>271</v>
      </c>
      <c r="E56" s="44" t="s">
        <v>1252</v>
      </c>
      <c r="F56" s="44" t="s">
        <v>1277</v>
      </c>
      <c r="G56" s="44"/>
      <c r="H56" s="44"/>
      <c r="I56" s="39"/>
      <c r="J56" s="39"/>
      <c r="K56" s="39"/>
      <c r="L56" s="39"/>
      <c r="M56" s="39" t="s">
        <v>1370</v>
      </c>
      <c r="N56" s="109" t="s">
        <v>1253</v>
      </c>
      <c r="O56" s="1" t="s">
        <v>1254</v>
      </c>
      <c r="P56" s="106" t="s">
        <v>1278</v>
      </c>
      <c r="Q56" s="39" t="s">
        <v>1308</v>
      </c>
      <c r="R56" s="102" t="s">
        <v>1250</v>
      </c>
      <c r="S56" s="32"/>
    </row>
    <row r="57" spans="1:19" ht="15" x14ac:dyDescent="0.25">
      <c r="A57" s="39" t="s">
        <v>1371</v>
      </c>
      <c r="B57" s="40" t="s">
        <v>747</v>
      </c>
      <c r="C57" s="39" t="s">
        <v>37</v>
      </c>
      <c r="D57" s="39" t="s">
        <v>271</v>
      </c>
      <c r="E57" s="44" t="s">
        <v>1252</v>
      </c>
      <c r="F57" s="44"/>
      <c r="G57" s="44"/>
      <c r="H57" s="44"/>
      <c r="I57" s="39"/>
      <c r="J57" s="39"/>
      <c r="K57" s="39"/>
      <c r="L57" s="39"/>
      <c r="M57" s="39" t="s">
        <v>1372</v>
      </c>
      <c r="N57" s="109" t="s">
        <v>1253</v>
      </c>
      <c r="O57" s="1" t="s">
        <v>1254</v>
      </c>
      <c r="P57" s="106" t="s">
        <v>1330</v>
      </c>
      <c r="Q57" s="39" t="s">
        <v>227</v>
      </c>
      <c r="R57" s="102" t="s">
        <v>1250</v>
      </c>
      <c r="S57" s="32"/>
    </row>
    <row r="58" spans="1:19" ht="15" x14ac:dyDescent="0.25">
      <c r="A58" s="39" t="s">
        <v>1373</v>
      </c>
      <c r="B58" s="40" t="s">
        <v>369</v>
      </c>
      <c r="C58" s="39" t="s">
        <v>29</v>
      </c>
      <c r="D58" s="39" t="s">
        <v>271</v>
      </c>
      <c r="E58" s="44" t="s">
        <v>1252</v>
      </c>
      <c r="F58" s="44" t="s">
        <v>1277</v>
      </c>
      <c r="G58" s="44" t="s">
        <v>1267</v>
      </c>
      <c r="H58" s="44">
        <v>0</v>
      </c>
      <c r="I58" s="39" t="s">
        <v>1278</v>
      </c>
      <c r="J58" s="39">
        <v>0</v>
      </c>
      <c r="K58" s="39">
        <v>0</v>
      </c>
      <c r="L58" s="39">
        <v>0</v>
      </c>
      <c r="M58" s="39" t="s">
        <v>1374</v>
      </c>
      <c r="N58" s="107" t="s">
        <v>1253</v>
      </c>
      <c r="O58" s="1" t="s">
        <v>1254</v>
      </c>
      <c r="P58" s="106" t="s">
        <v>1278</v>
      </c>
      <c r="Q58" s="39"/>
      <c r="R58" s="102" t="s">
        <v>1250</v>
      </c>
      <c r="S58" s="32"/>
    </row>
    <row r="59" spans="1:19" ht="15" x14ac:dyDescent="0.25">
      <c r="A59" s="39" t="s">
        <v>1375</v>
      </c>
      <c r="B59" s="40" t="s">
        <v>757</v>
      </c>
      <c r="C59" s="39" t="s">
        <v>29</v>
      </c>
      <c r="D59" s="39" t="s">
        <v>271</v>
      </c>
      <c r="E59" s="44" t="s">
        <v>1252</v>
      </c>
      <c r="F59" s="44"/>
      <c r="G59" s="44" t="s">
        <v>1267</v>
      </c>
      <c r="H59" s="44">
        <v>0</v>
      </c>
      <c r="I59" s="39" t="s">
        <v>1376</v>
      </c>
      <c r="J59" s="39">
        <v>0</v>
      </c>
      <c r="K59" s="39">
        <v>0</v>
      </c>
      <c r="L59" s="39">
        <v>0</v>
      </c>
      <c r="M59" s="39" t="s">
        <v>1377</v>
      </c>
      <c r="N59" s="109" t="s">
        <v>1253</v>
      </c>
      <c r="O59" s="1" t="s">
        <v>1254</v>
      </c>
      <c r="P59" s="106" t="s">
        <v>1266</v>
      </c>
      <c r="Q59" s="39" t="s">
        <v>227</v>
      </c>
      <c r="R59" s="102" t="s">
        <v>1250</v>
      </c>
      <c r="S59" s="32"/>
    </row>
    <row r="60" spans="1:19" ht="15" x14ac:dyDescent="0.25">
      <c r="A60" s="39" t="s">
        <v>1378</v>
      </c>
      <c r="B60" s="40" t="s">
        <v>771</v>
      </c>
      <c r="C60" s="39" t="s">
        <v>29</v>
      </c>
      <c r="D60" s="39" t="s">
        <v>271</v>
      </c>
      <c r="E60" s="44" t="s">
        <v>1345</v>
      </c>
      <c r="F60" s="44" t="s">
        <v>1277</v>
      </c>
      <c r="G60" s="44"/>
      <c r="H60" s="44"/>
      <c r="I60" s="39"/>
      <c r="J60" s="39"/>
      <c r="K60" s="39"/>
      <c r="L60" s="39"/>
      <c r="M60" s="39"/>
      <c r="N60" s="107" t="s">
        <v>1253</v>
      </c>
      <c r="O60" s="1" t="s">
        <v>1254</v>
      </c>
      <c r="P60" s="106" t="s">
        <v>1278</v>
      </c>
      <c r="Q60" s="39" t="s">
        <v>1308</v>
      </c>
      <c r="R60" s="102" t="s">
        <v>1250</v>
      </c>
    </row>
    <row r="61" spans="1:19" ht="15" x14ac:dyDescent="0.25">
      <c r="A61" s="39" t="s">
        <v>626</v>
      </c>
      <c r="B61" s="40" t="s">
        <v>627</v>
      </c>
      <c r="C61" s="39" t="s">
        <v>29</v>
      </c>
      <c r="D61" s="39" t="s">
        <v>227</v>
      </c>
      <c r="E61" s="44" t="s">
        <v>1252</v>
      </c>
      <c r="F61" s="44" t="s">
        <v>1283</v>
      </c>
      <c r="G61" s="44"/>
      <c r="H61" s="44"/>
      <c r="I61" s="39"/>
      <c r="J61" s="39"/>
      <c r="K61" s="39"/>
      <c r="L61" s="39"/>
      <c r="M61" s="39" t="s">
        <v>1379</v>
      </c>
      <c r="N61" s="107" t="s">
        <v>1253</v>
      </c>
      <c r="O61" s="1" t="s">
        <v>1254</v>
      </c>
      <c r="P61" s="106" t="s">
        <v>1287</v>
      </c>
      <c r="Q61" s="39" t="s">
        <v>1308</v>
      </c>
      <c r="R61" s="102">
        <v>1</v>
      </c>
    </row>
    <row r="62" spans="1:19" ht="15" x14ac:dyDescent="0.25">
      <c r="A62" s="39" t="s">
        <v>246</v>
      </c>
      <c r="B62" s="40" t="s">
        <v>247</v>
      </c>
      <c r="C62" s="39" t="s">
        <v>29</v>
      </c>
      <c r="D62" s="41" t="s">
        <v>271</v>
      </c>
      <c r="E62" s="44" t="s">
        <v>1240</v>
      </c>
      <c r="F62" s="44" t="s">
        <v>1283</v>
      </c>
      <c r="G62" s="104">
        <v>7</v>
      </c>
      <c r="H62" s="44">
        <v>4</v>
      </c>
      <c r="I62" s="39" t="s">
        <v>1380</v>
      </c>
      <c r="J62" s="39">
        <v>0</v>
      </c>
      <c r="K62" s="39">
        <v>0</v>
      </c>
      <c r="L62" s="39">
        <v>0</v>
      </c>
      <c r="M62" s="39" t="s">
        <v>1347</v>
      </c>
      <c r="N62" s="109" t="s">
        <v>1253</v>
      </c>
      <c r="O62" s="1" t="s">
        <v>1254</v>
      </c>
      <c r="P62" s="106" t="s">
        <v>1287</v>
      </c>
      <c r="Q62" s="39" t="s">
        <v>227</v>
      </c>
      <c r="R62" s="102">
        <v>1.4</v>
      </c>
      <c r="S62" s="32"/>
    </row>
    <row r="63" spans="1:19" ht="15" x14ac:dyDescent="0.25">
      <c r="A63" s="39" t="s">
        <v>1381</v>
      </c>
      <c r="B63" s="40" t="s">
        <v>114</v>
      </c>
      <c r="C63" s="39" t="s">
        <v>29</v>
      </c>
      <c r="D63" s="39" t="s">
        <v>271</v>
      </c>
      <c r="E63" s="44" t="s">
        <v>1240</v>
      </c>
      <c r="F63" s="44" t="s">
        <v>1277</v>
      </c>
      <c r="G63" s="44" t="s">
        <v>1267</v>
      </c>
      <c r="H63" s="44">
        <v>2</v>
      </c>
      <c r="I63" s="39" t="s">
        <v>1293</v>
      </c>
      <c r="J63" s="39">
        <v>0</v>
      </c>
      <c r="K63" s="39">
        <v>0</v>
      </c>
      <c r="L63" s="39">
        <v>0</v>
      </c>
      <c r="M63" s="39" t="s">
        <v>1382</v>
      </c>
      <c r="N63" s="109" t="s">
        <v>1253</v>
      </c>
      <c r="O63" s="1" t="s">
        <v>1254</v>
      </c>
      <c r="P63" s="106" t="s">
        <v>1295</v>
      </c>
      <c r="Q63" s="39" t="s">
        <v>227</v>
      </c>
      <c r="R63" s="102" t="s">
        <v>1250</v>
      </c>
    </row>
    <row r="64" spans="1:19" ht="15" x14ac:dyDescent="0.25">
      <c r="A64" s="41" t="s">
        <v>1383</v>
      </c>
      <c r="B64" s="40" t="s">
        <v>540</v>
      </c>
      <c r="C64" s="39" t="s">
        <v>37</v>
      </c>
      <c r="D64" s="39" t="s">
        <v>271</v>
      </c>
      <c r="E64" s="44" t="s">
        <v>1252</v>
      </c>
      <c r="F64" s="44" t="s">
        <v>1283</v>
      </c>
      <c r="G64" s="44"/>
      <c r="H64" s="44"/>
      <c r="I64" s="39" t="s">
        <v>1384</v>
      </c>
      <c r="J64" s="39" t="s">
        <v>1356</v>
      </c>
      <c r="K64" s="39" t="s">
        <v>1385</v>
      </c>
      <c r="L64" s="39" t="s">
        <v>1386</v>
      </c>
      <c r="M64" s="39" t="s">
        <v>1387</v>
      </c>
      <c r="N64" s="105" t="s">
        <v>1246</v>
      </c>
      <c r="O64" s="1" t="s">
        <v>1247</v>
      </c>
      <c r="P64" s="106" t="s">
        <v>1287</v>
      </c>
      <c r="Q64" s="39" t="s">
        <v>227</v>
      </c>
      <c r="R64" s="102" t="s">
        <v>1250</v>
      </c>
    </row>
    <row r="65" spans="1:19" ht="15" x14ac:dyDescent="0.25">
      <c r="A65" s="43" t="s">
        <v>1388</v>
      </c>
      <c r="B65" s="29" t="s">
        <v>703</v>
      </c>
      <c r="C65" s="39" t="s">
        <v>37</v>
      </c>
      <c r="D65" s="39" t="s">
        <v>271</v>
      </c>
      <c r="E65" s="44" t="s">
        <v>1252</v>
      </c>
      <c r="F65" s="44"/>
      <c r="G65" s="44" t="s">
        <v>1267</v>
      </c>
      <c r="H65" s="44">
        <v>96</v>
      </c>
      <c r="I65" s="39" t="s">
        <v>1389</v>
      </c>
      <c r="J65" s="39" t="s">
        <v>1390</v>
      </c>
      <c r="K65" s="39" t="s">
        <v>1391</v>
      </c>
      <c r="L65" s="39" t="s">
        <v>1392</v>
      </c>
      <c r="M65" s="39" t="s">
        <v>1393</v>
      </c>
      <c r="N65" s="43" t="s">
        <v>1305</v>
      </c>
      <c r="O65" s="39" t="s">
        <v>1306</v>
      </c>
      <c r="P65" s="106" t="s">
        <v>1248</v>
      </c>
      <c r="Q65" s="39" t="s">
        <v>1394</v>
      </c>
      <c r="R65" s="102" t="s">
        <v>1250</v>
      </c>
    </row>
    <row r="66" spans="1:19" ht="15" x14ac:dyDescent="0.25">
      <c r="A66" s="39" t="s">
        <v>269</v>
      </c>
      <c r="B66" s="44" t="s">
        <v>270</v>
      </c>
      <c r="C66" s="39" t="s">
        <v>29</v>
      </c>
      <c r="D66" s="39" t="s">
        <v>227</v>
      </c>
      <c r="E66" s="44" t="s">
        <v>1240</v>
      </c>
      <c r="F66" s="44" t="s">
        <v>1256</v>
      </c>
      <c r="G66" s="44"/>
      <c r="H66" s="110">
        <v>24</v>
      </c>
      <c r="I66" s="108" t="s">
        <v>1243</v>
      </c>
      <c r="J66" s="39">
        <v>0</v>
      </c>
      <c r="K66" s="39">
        <v>0</v>
      </c>
      <c r="L66" s="39">
        <v>0</v>
      </c>
      <c r="M66" s="39" t="s">
        <v>1395</v>
      </c>
      <c r="N66" s="41" t="s">
        <v>1261</v>
      </c>
      <c r="O66" s="1" t="s">
        <v>1262</v>
      </c>
      <c r="P66" s="106" t="s">
        <v>1248</v>
      </c>
      <c r="Q66" s="39" t="s">
        <v>227</v>
      </c>
      <c r="R66" s="102">
        <v>1</v>
      </c>
      <c r="S66" s="32"/>
    </row>
    <row r="67" spans="1:19" ht="15" x14ac:dyDescent="0.25">
      <c r="A67" s="39" t="s">
        <v>1396</v>
      </c>
      <c r="B67" s="40" t="s">
        <v>379</v>
      </c>
      <c r="C67" s="39" t="s">
        <v>29</v>
      </c>
      <c r="D67" s="39" t="s">
        <v>271</v>
      </c>
      <c r="E67" s="44" t="s">
        <v>1252</v>
      </c>
      <c r="F67" s="44" t="s">
        <v>1277</v>
      </c>
      <c r="G67" s="44" t="s">
        <v>1267</v>
      </c>
      <c r="H67" s="44">
        <v>0</v>
      </c>
      <c r="I67" s="39" t="s">
        <v>1278</v>
      </c>
      <c r="J67" s="39">
        <v>0</v>
      </c>
      <c r="K67" s="39">
        <v>0</v>
      </c>
      <c r="L67" s="39">
        <v>0</v>
      </c>
      <c r="M67" s="39" t="s">
        <v>1397</v>
      </c>
      <c r="N67" s="107" t="s">
        <v>1253</v>
      </c>
      <c r="O67" s="1" t="s">
        <v>1254</v>
      </c>
      <c r="P67" s="106" t="s">
        <v>1278</v>
      </c>
      <c r="Q67" s="39"/>
      <c r="R67" s="102" t="s">
        <v>1250</v>
      </c>
      <c r="S67" s="32"/>
    </row>
    <row r="68" spans="1:19" ht="15" x14ac:dyDescent="0.25">
      <c r="A68" s="39" t="s">
        <v>1398</v>
      </c>
      <c r="B68" s="40" t="s">
        <v>720</v>
      </c>
      <c r="C68" s="39" t="s">
        <v>39</v>
      </c>
      <c r="D68" s="39" t="s">
        <v>271</v>
      </c>
      <c r="E68" s="44" t="s">
        <v>1252</v>
      </c>
      <c r="F68" s="44" t="s">
        <v>1241</v>
      </c>
      <c r="G68" s="44"/>
      <c r="H68" s="44"/>
      <c r="I68" s="39"/>
      <c r="J68" s="39"/>
      <c r="K68" s="39"/>
      <c r="L68" s="39"/>
      <c r="M68" s="39"/>
      <c r="N68" s="39"/>
      <c r="O68" s="39"/>
      <c r="P68" s="106" t="s">
        <v>1248</v>
      </c>
      <c r="Q68" s="39" t="s">
        <v>1308</v>
      </c>
      <c r="R68" s="102" t="s">
        <v>1250</v>
      </c>
    </row>
    <row r="69" spans="1:19" ht="15" x14ac:dyDescent="0.25">
      <c r="A69" s="41" t="s">
        <v>1399</v>
      </c>
      <c r="B69" s="40" t="s">
        <v>591</v>
      </c>
      <c r="C69" s="39" t="s">
        <v>37</v>
      </c>
      <c r="D69" s="39" t="s">
        <v>271</v>
      </c>
      <c r="E69" s="44" t="s">
        <v>1252</v>
      </c>
      <c r="F69" s="44" t="s">
        <v>1283</v>
      </c>
      <c r="G69" s="104">
        <v>7</v>
      </c>
      <c r="H69" s="44"/>
      <c r="I69" s="39" t="s">
        <v>1314</v>
      </c>
      <c r="J69" s="39" t="s">
        <v>1400</v>
      </c>
      <c r="K69" s="39"/>
      <c r="L69" s="39"/>
      <c r="M69" s="39" t="s">
        <v>1401</v>
      </c>
      <c r="N69" s="105" t="s">
        <v>1246</v>
      </c>
      <c r="O69" s="1" t="s">
        <v>1247</v>
      </c>
      <c r="P69" s="106" t="s">
        <v>1287</v>
      </c>
      <c r="Q69" s="39" t="s">
        <v>227</v>
      </c>
      <c r="R69" s="102" t="s">
        <v>1250</v>
      </c>
      <c r="S69" s="32"/>
    </row>
    <row r="70" spans="1:19" ht="15" x14ac:dyDescent="0.25">
      <c r="A70" s="39" t="s">
        <v>320</v>
      </c>
      <c r="B70" s="40" t="s">
        <v>321</v>
      </c>
      <c r="C70" s="39" t="s">
        <v>37</v>
      </c>
      <c r="D70" s="39" t="s">
        <v>227</v>
      </c>
      <c r="E70" s="44" t="s">
        <v>1240</v>
      </c>
      <c r="F70" s="44" t="s">
        <v>1283</v>
      </c>
      <c r="G70" s="104">
        <v>7</v>
      </c>
      <c r="H70" s="44">
        <v>2</v>
      </c>
      <c r="I70" s="39" t="s">
        <v>1312</v>
      </c>
      <c r="J70" s="39" t="s">
        <v>1313</v>
      </c>
      <c r="K70" s="39" t="s">
        <v>1314</v>
      </c>
      <c r="L70" s="39" t="s">
        <v>1402</v>
      </c>
      <c r="M70" s="39" t="s">
        <v>1403</v>
      </c>
      <c r="N70" s="109" t="s">
        <v>1253</v>
      </c>
      <c r="O70" s="1" t="s">
        <v>1254</v>
      </c>
      <c r="P70" s="106" t="s">
        <v>1287</v>
      </c>
      <c r="Q70" s="39" t="s">
        <v>227</v>
      </c>
      <c r="R70" s="102">
        <v>1</v>
      </c>
      <c r="S70" s="32"/>
    </row>
    <row r="71" spans="1:19" ht="15" x14ac:dyDescent="0.25">
      <c r="A71" s="41" t="s">
        <v>318</v>
      </c>
      <c r="B71" s="40" t="s">
        <v>319</v>
      </c>
      <c r="C71" s="39" t="s">
        <v>37</v>
      </c>
      <c r="D71" s="39" t="s">
        <v>227</v>
      </c>
      <c r="E71" s="44" t="s">
        <v>1240</v>
      </c>
      <c r="F71" s="44" t="s">
        <v>1283</v>
      </c>
      <c r="G71" s="104">
        <v>5</v>
      </c>
      <c r="H71" s="110">
        <v>12</v>
      </c>
      <c r="I71" s="39" t="s">
        <v>1313</v>
      </c>
      <c r="J71" s="39"/>
      <c r="K71" s="39"/>
      <c r="L71" s="39"/>
      <c r="M71" s="39" t="s">
        <v>1404</v>
      </c>
      <c r="N71" s="109" t="s">
        <v>1253</v>
      </c>
      <c r="O71" s="1" t="s">
        <v>1254</v>
      </c>
      <c r="P71" s="106" t="s">
        <v>1287</v>
      </c>
      <c r="Q71" s="39" t="s">
        <v>227</v>
      </c>
      <c r="R71" s="102">
        <v>0.66</v>
      </c>
      <c r="S71" s="32"/>
    </row>
    <row r="72" spans="1:19" ht="15" x14ac:dyDescent="0.25">
      <c r="A72" s="39" t="s">
        <v>3</v>
      </c>
      <c r="B72" s="40" t="s">
        <v>204</v>
      </c>
      <c r="C72" s="39" t="s">
        <v>29</v>
      </c>
      <c r="D72" s="39" t="s">
        <v>271</v>
      </c>
      <c r="E72" s="44" t="s">
        <v>1300</v>
      </c>
      <c r="F72" s="44" t="s">
        <v>1283</v>
      </c>
      <c r="G72" s="111">
        <v>6</v>
      </c>
      <c r="H72" s="44">
        <v>2</v>
      </c>
      <c r="I72" s="39" t="s">
        <v>1313</v>
      </c>
      <c r="J72" s="39" t="s">
        <v>1355</v>
      </c>
      <c r="K72" s="39" t="s">
        <v>1356</v>
      </c>
      <c r="L72" s="39"/>
      <c r="M72" s="39" t="s">
        <v>1357</v>
      </c>
      <c r="N72" s="109" t="s">
        <v>1253</v>
      </c>
      <c r="O72" s="1" t="s">
        <v>1254</v>
      </c>
      <c r="P72" s="106" t="s">
        <v>1287</v>
      </c>
      <c r="Q72" s="39" t="s">
        <v>227</v>
      </c>
      <c r="R72" s="102">
        <v>0.8</v>
      </c>
      <c r="S72" s="32"/>
    </row>
    <row r="73" spans="1:19" ht="15" x14ac:dyDescent="0.25">
      <c r="A73" s="39" t="s">
        <v>217</v>
      </c>
      <c r="B73" s="40" t="s">
        <v>218</v>
      </c>
      <c r="C73" s="39" t="s">
        <v>29</v>
      </c>
      <c r="D73" s="39" t="s">
        <v>271</v>
      </c>
      <c r="E73" s="44" t="s">
        <v>1240</v>
      </c>
      <c r="F73" s="44" t="s">
        <v>1283</v>
      </c>
      <c r="G73" s="111">
        <v>5</v>
      </c>
      <c r="H73" s="44">
        <v>2</v>
      </c>
      <c r="I73" s="39" t="s">
        <v>1313</v>
      </c>
      <c r="J73" s="39" t="s">
        <v>1355</v>
      </c>
      <c r="K73" s="39" t="s">
        <v>1356</v>
      </c>
      <c r="L73" s="39"/>
      <c r="M73" s="39" t="s">
        <v>1357</v>
      </c>
      <c r="N73" s="109" t="s">
        <v>1253</v>
      </c>
      <c r="O73" s="1" t="s">
        <v>1254</v>
      </c>
      <c r="P73" s="106" t="s">
        <v>1287</v>
      </c>
      <c r="Q73" s="39" t="s">
        <v>227</v>
      </c>
      <c r="R73" s="102">
        <v>0.6</v>
      </c>
      <c r="S73" s="32"/>
    </row>
    <row r="74" spans="1:19" ht="15" x14ac:dyDescent="0.25">
      <c r="A74" s="39" t="s">
        <v>1405</v>
      </c>
      <c r="B74" s="40" t="s">
        <v>789</v>
      </c>
      <c r="C74" s="39" t="s">
        <v>29</v>
      </c>
      <c r="D74" s="39" t="s">
        <v>271</v>
      </c>
      <c r="E74" s="44" t="s">
        <v>1345</v>
      </c>
      <c r="F74" s="44"/>
      <c r="G74" s="104">
        <v>5</v>
      </c>
      <c r="H74" s="44">
        <v>48</v>
      </c>
      <c r="I74" s="39" t="s">
        <v>1328</v>
      </c>
      <c r="J74" s="39">
        <v>0</v>
      </c>
      <c r="K74" s="39">
        <v>0</v>
      </c>
      <c r="L74" s="39">
        <v>0</v>
      </c>
      <c r="M74" s="39" t="s">
        <v>1406</v>
      </c>
      <c r="N74" s="43" t="s">
        <v>1305</v>
      </c>
      <c r="O74" s="39" t="s">
        <v>1407</v>
      </c>
      <c r="P74" s="106" t="s">
        <v>1330</v>
      </c>
      <c r="Q74" s="39" t="s">
        <v>1308</v>
      </c>
      <c r="R74" s="102" t="s">
        <v>1250</v>
      </c>
      <c r="S74" s="32"/>
    </row>
    <row r="75" spans="1:19" ht="15" x14ac:dyDescent="0.25">
      <c r="A75" s="39" t="s">
        <v>1408</v>
      </c>
      <c r="B75" s="40" t="s">
        <v>795</v>
      </c>
      <c r="C75" s="39" t="s">
        <v>29</v>
      </c>
      <c r="D75" s="39" t="s">
        <v>271</v>
      </c>
      <c r="E75" s="44" t="s">
        <v>1345</v>
      </c>
      <c r="F75" s="44"/>
      <c r="G75" s="44"/>
      <c r="H75" s="44"/>
      <c r="I75" s="39"/>
      <c r="J75" s="39"/>
      <c r="K75" s="39"/>
      <c r="L75" s="39"/>
      <c r="M75" s="39" t="s">
        <v>1406</v>
      </c>
      <c r="N75" s="43" t="s">
        <v>1305</v>
      </c>
      <c r="O75" s="39" t="s">
        <v>1407</v>
      </c>
      <c r="P75" s="106" t="s">
        <v>1330</v>
      </c>
      <c r="Q75" s="39" t="s">
        <v>1308</v>
      </c>
      <c r="R75" s="102" t="s">
        <v>1250</v>
      </c>
      <c r="S75" s="32"/>
    </row>
    <row r="76" spans="1:19" ht="15" x14ac:dyDescent="0.25">
      <c r="A76" s="39" t="s">
        <v>1409</v>
      </c>
      <c r="B76" s="40" t="s">
        <v>327</v>
      </c>
      <c r="C76" s="39" t="s">
        <v>37</v>
      </c>
      <c r="D76" s="39" t="s">
        <v>227</v>
      </c>
      <c r="E76" s="44" t="s">
        <v>1252</v>
      </c>
      <c r="F76" s="44"/>
      <c r="G76" s="44"/>
      <c r="H76" s="44"/>
      <c r="I76" s="39"/>
      <c r="J76" s="39"/>
      <c r="K76" s="39"/>
      <c r="L76" s="39"/>
      <c r="M76" s="39" t="s">
        <v>1406</v>
      </c>
      <c r="N76" s="43" t="s">
        <v>1305</v>
      </c>
      <c r="O76" s="39" t="s">
        <v>1407</v>
      </c>
      <c r="P76" s="106" t="s">
        <v>1330</v>
      </c>
      <c r="Q76" s="39" t="s">
        <v>1308</v>
      </c>
      <c r="R76" s="102" t="s">
        <v>1250</v>
      </c>
      <c r="S76" s="32"/>
    </row>
    <row r="77" spans="1:19" ht="15" x14ac:dyDescent="0.25">
      <c r="A77" s="39" t="s">
        <v>1410</v>
      </c>
      <c r="B77" s="40" t="s">
        <v>751</v>
      </c>
      <c r="C77" s="39" t="s">
        <v>29</v>
      </c>
      <c r="D77" s="39" t="s">
        <v>271</v>
      </c>
      <c r="E77" s="44" t="s">
        <v>1252</v>
      </c>
      <c r="F77" s="44"/>
      <c r="G77" s="104">
        <v>5</v>
      </c>
      <c r="H77" s="44">
        <v>48</v>
      </c>
      <c r="I77" s="39" t="s">
        <v>1328</v>
      </c>
      <c r="J77" s="39">
        <v>0</v>
      </c>
      <c r="K77" s="39">
        <v>0</v>
      </c>
      <c r="L77" s="39">
        <v>0</v>
      </c>
      <c r="M77" s="39" t="s">
        <v>1406</v>
      </c>
      <c r="N77" s="43" t="s">
        <v>1305</v>
      </c>
      <c r="O77" s="39" t="s">
        <v>1407</v>
      </c>
      <c r="P77" s="106" t="s">
        <v>1330</v>
      </c>
      <c r="Q77" s="39" t="s">
        <v>1308</v>
      </c>
      <c r="R77" s="102" t="s">
        <v>1250</v>
      </c>
      <c r="S77" s="32"/>
    </row>
    <row r="78" spans="1:19" ht="15" x14ac:dyDescent="0.25">
      <c r="A78" s="39" t="s">
        <v>1411</v>
      </c>
      <c r="B78" s="40" t="s">
        <v>116</v>
      </c>
      <c r="C78" s="39" t="s">
        <v>39</v>
      </c>
      <c r="D78" s="39" t="s">
        <v>227</v>
      </c>
      <c r="E78" s="44" t="s">
        <v>1240</v>
      </c>
      <c r="F78" s="44"/>
      <c r="G78" s="44"/>
      <c r="H78" s="44"/>
      <c r="I78" s="39"/>
      <c r="J78" s="39"/>
      <c r="K78" s="39"/>
      <c r="L78" s="39"/>
      <c r="M78" s="39"/>
      <c r="N78" s="107" t="s">
        <v>1253</v>
      </c>
      <c r="O78" s="1" t="s">
        <v>1254</v>
      </c>
      <c r="P78" s="106" t="s">
        <v>1255</v>
      </c>
      <c r="Q78" s="39"/>
      <c r="R78" s="102" t="s">
        <v>1250</v>
      </c>
    </row>
    <row r="79" spans="1:19" ht="15" x14ac:dyDescent="0.25">
      <c r="A79" s="39" t="s">
        <v>1412</v>
      </c>
      <c r="B79" s="40" t="s">
        <v>793</v>
      </c>
      <c r="C79" s="39" t="s">
        <v>29</v>
      </c>
      <c r="D79" s="39" t="s">
        <v>271</v>
      </c>
      <c r="E79" s="44" t="s">
        <v>1345</v>
      </c>
      <c r="F79" s="44"/>
      <c r="G79" s="44"/>
      <c r="H79" s="44"/>
      <c r="I79" s="39"/>
      <c r="J79" s="39"/>
      <c r="K79" s="39"/>
      <c r="L79" s="39"/>
      <c r="M79" s="39"/>
      <c r="N79" s="39"/>
      <c r="O79" s="39"/>
      <c r="P79" s="106" t="s">
        <v>1330</v>
      </c>
      <c r="Q79" s="39" t="s">
        <v>1308</v>
      </c>
      <c r="R79" s="102" t="s">
        <v>1250</v>
      </c>
      <c r="S79" s="32"/>
    </row>
    <row r="80" spans="1:19" ht="15" x14ac:dyDescent="0.25">
      <c r="A80" s="39" t="s">
        <v>221</v>
      </c>
      <c r="B80" s="40" t="s">
        <v>222</v>
      </c>
      <c r="C80" s="39" t="s">
        <v>29</v>
      </c>
      <c r="D80" s="39" t="s">
        <v>227</v>
      </c>
      <c r="E80" s="44" t="s">
        <v>1240</v>
      </c>
      <c r="F80" s="44" t="s">
        <v>1283</v>
      </c>
      <c r="G80" s="111">
        <v>6</v>
      </c>
      <c r="H80" s="44"/>
      <c r="I80" s="39" t="s">
        <v>1313</v>
      </c>
      <c r="J80" s="39" t="s">
        <v>1355</v>
      </c>
      <c r="K80" s="39" t="s">
        <v>1356</v>
      </c>
      <c r="L80" s="39"/>
      <c r="M80" s="39" t="s">
        <v>1413</v>
      </c>
      <c r="N80" s="105" t="s">
        <v>1246</v>
      </c>
      <c r="O80" s="1" t="s">
        <v>1247</v>
      </c>
      <c r="P80" s="106" t="s">
        <v>1287</v>
      </c>
      <c r="Q80" s="39" t="s">
        <v>227</v>
      </c>
      <c r="R80" s="102">
        <v>1.4</v>
      </c>
      <c r="S80" s="32"/>
    </row>
    <row r="81" spans="1:19" ht="15" x14ac:dyDescent="0.25">
      <c r="A81" s="39" t="s">
        <v>1414</v>
      </c>
      <c r="B81" s="40" t="s">
        <v>785</v>
      </c>
      <c r="C81" s="39" t="s">
        <v>29</v>
      </c>
      <c r="D81" s="39" t="s">
        <v>271</v>
      </c>
      <c r="E81" s="44" t="s">
        <v>1345</v>
      </c>
      <c r="F81" s="44" t="s">
        <v>1241</v>
      </c>
      <c r="G81" s="44" t="s">
        <v>1263</v>
      </c>
      <c r="H81" s="44">
        <v>4</v>
      </c>
      <c r="I81" s="39" t="s">
        <v>1257</v>
      </c>
      <c r="J81" s="39">
        <v>0</v>
      </c>
      <c r="K81" s="39">
        <v>0</v>
      </c>
      <c r="L81" s="39">
        <v>0</v>
      </c>
      <c r="M81" s="39" t="s">
        <v>1415</v>
      </c>
      <c r="N81" s="109" t="s">
        <v>1253</v>
      </c>
      <c r="O81" s="1" t="s">
        <v>1254</v>
      </c>
      <c r="P81" s="106" t="s">
        <v>1248</v>
      </c>
      <c r="Q81" s="39" t="s">
        <v>227</v>
      </c>
      <c r="R81" s="102" t="s">
        <v>1250</v>
      </c>
    </row>
    <row r="82" spans="1:19" ht="15" x14ac:dyDescent="0.25">
      <c r="A82" s="39" t="s">
        <v>1416</v>
      </c>
      <c r="B82" s="40" t="s">
        <v>485</v>
      </c>
      <c r="C82" s="39" t="s">
        <v>483</v>
      </c>
      <c r="D82" s="39" t="s">
        <v>271</v>
      </c>
      <c r="E82" s="44" t="s">
        <v>1252</v>
      </c>
      <c r="F82" s="44"/>
      <c r="G82" s="44"/>
      <c r="H82" s="44"/>
      <c r="I82" s="39"/>
      <c r="J82" s="39"/>
      <c r="K82" s="39"/>
      <c r="L82" s="39"/>
      <c r="M82" s="39" t="s">
        <v>1417</v>
      </c>
      <c r="N82" s="107" t="s">
        <v>1253</v>
      </c>
      <c r="O82" s="1" t="s">
        <v>1254</v>
      </c>
      <c r="P82" s="106" t="s">
        <v>1418</v>
      </c>
      <c r="Q82" s="39"/>
      <c r="R82" s="102" t="s">
        <v>1250</v>
      </c>
    </row>
    <row r="83" spans="1:19" ht="15" x14ac:dyDescent="0.25">
      <c r="A83" s="39" t="s">
        <v>1419</v>
      </c>
      <c r="B83" s="40" t="s">
        <v>491</v>
      </c>
      <c r="C83" s="39" t="s">
        <v>483</v>
      </c>
      <c r="D83" s="39" t="s">
        <v>271</v>
      </c>
      <c r="E83" s="44" t="s">
        <v>1252</v>
      </c>
      <c r="F83" s="44"/>
      <c r="G83" s="44"/>
      <c r="H83" s="44"/>
      <c r="I83" s="39"/>
      <c r="J83" s="39"/>
      <c r="K83" s="39"/>
      <c r="L83" s="39"/>
      <c r="M83" s="39" t="s">
        <v>1417</v>
      </c>
      <c r="N83" s="107" t="s">
        <v>1253</v>
      </c>
      <c r="O83" s="1" t="s">
        <v>1254</v>
      </c>
      <c r="P83" s="106" t="s">
        <v>1418</v>
      </c>
      <c r="Q83" s="39"/>
      <c r="R83" s="102" t="s">
        <v>1250</v>
      </c>
      <c r="S83" s="32"/>
    </row>
    <row r="84" spans="1:19" ht="15" x14ac:dyDescent="0.25">
      <c r="A84" s="39" t="s">
        <v>1420</v>
      </c>
      <c r="B84" s="40" t="s">
        <v>489</v>
      </c>
      <c r="C84" s="39" t="s">
        <v>483</v>
      </c>
      <c r="D84" s="39" t="s">
        <v>271</v>
      </c>
      <c r="E84" s="44" t="s">
        <v>1252</v>
      </c>
      <c r="F84" s="44"/>
      <c r="G84" s="44"/>
      <c r="H84" s="44"/>
      <c r="I84" s="39"/>
      <c r="J84" s="39"/>
      <c r="K84" s="39"/>
      <c r="L84" s="39"/>
      <c r="M84" s="39" t="s">
        <v>1417</v>
      </c>
      <c r="N84" s="107" t="s">
        <v>1253</v>
      </c>
      <c r="O84" s="1" t="s">
        <v>1254</v>
      </c>
      <c r="P84" s="106" t="s">
        <v>1418</v>
      </c>
      <c r="Q84" s="39"/>
      <c r="R84" s="102" t="s">
        <v>1250</v>
      </c>
      <c r="S84" s="32"/>
    </row>
    <row r="85" spans="1:19" ht="15" x14ac:dyDescent="0.25">
      <c r="A85" s="39" t="s">
        <v>1421</v>
      </c>
      <c r="B85" s="40" t="s">
        <v>482</v>
      </c>
      <c r="C85" s="39" t="s">
        <v>483</v>
      </c>
      <c r="D85" s="39" t="s">
        <v>271</v>
      </c>
      <c r="E85" s="44" t="s">
        <v>1252</v>
      </c>
      <c r="F85" s="44"/>
      <c r="G85" s="44"/>
      <c r="H85" s="44"/>
      <c r="I85" s="39"/>
      <c r="J85" s="39"/>
      <c r="K85" s="39"/>
      <c r="L85" s="39"/>
      <c r="M85" s="39" t="s">
        <v>1422</v>
      </c>
      <c r="N85" s="107" t="s">
        <v>1253</v>
      </c>
      <c r="O85" s="1" t="s">
        <v>1254</v>
      </c>
      <c r="P85" s="106" t="s">
        <v>1418</v>
      </c>
      <c r="Q85" s="39"/>
      <c r="R85" s="102" t="s">
        <v>1250</v>
      </c>
    </row>
    <row r="86" spans="1:19" ht="15" x14ac:dyDescent="0.25">
      <c r="A86" s="39" t="s">
        <v>494</v>
      </c>
      <c r="B86" s="40" t="s">
        <v>495</v>
      </c>
      <c r="C86" s="39" t="s">
        <v>496</v>
      </c>
      <c r="D86" s="39" t="s">
        <v>271</v>
      </c>
      <c r="E86" s="44" t="s">
        <v>1252</v>
      </c>
      <c r="F86" s="44"/>
      <c r="G86" s="44"/>
      <c r="H86" s="44"/>
      <c r="I86" s="39"/>
      <c r="J86" s="39"/>
      <c r="K86" s="39"/>
      <c r="L86" s="39"/>
      <c r="M86" s="39" t="s">
        <v>1422</v>
      </c>
      <c r="N86" s="107" t="s">
        <v>1253</v>
      </c>
      <c r="O86" s="1" t="s">
        <v>1254</v>
      </c>
      <c r="P86" s="106" t="s">
        <v>1418</v>
      </c>
      <c r="Q86" s="39"/>
      <c r="R86" s="102" t="s">
        <v>1250</v>
      </c>
      <c r="S86" s="32"/>
    </row>
    <row r="87" spans="1:19" ht="15" x14ac:dyDescent="0.25">
      <c r="A87" s="39" t="s">
        <v>193</v>
      </c>
      <c r="B87" s="40" t="s">
        <v>194</v>
      </c>
      <c r="C87" s="39" t="s">
        <v>37</v>
      </c>
      <c r="D87" s="41" t="s">
        <v>271</v>
      </c>
      <c r="E87" s="44" t="s">
        <v>1240</v>
      </c>
      <c r="F87" s="44" t="s">
        <v>1241</v>
      </c>
      <c r="G87" s="104">
        <v>5.5</v>
      </c>
      <c r="H87" s="110">
        <v>6</v>
      </c>
      <c r="I87" s="39" t="s">
        <v>1244</v>
      </c>
      <c r="J87" s="39" t="s">
        <v>1243</v>
      </c>
      <c r="K87" s="39">
        <v>0</v>
      </c>
      <c r="L87" s="39">
        <v>0</v>
      </c>
      <c r="M87" s="39" t="s">
        <v>1423</v>
      </c>
      <c r="N87" s="41" t="s">
        <v>1261</v>
      </c>
      <c r="O87" s="1" t="s">
        <v>1262</v>
      </c>
      <c r="P87" s="106" t="s">
        <v>1248</v>
      </c>
      <c r="Q87" s="39" t="s">
        <v>227</v>
      </c>
      <c r="R87" s="102" t="s">
        <v>1250</v>
      </c>
      <c r="S87" s="32"/>
    </row>
    <row r="88" spans="1:19" ht="15" x14ac:dyDescent="0.25">
      <c r="A88" s="39" t="s">
        <v>1424</v>
      </c>
      <c r="B88" s="40" t="s">
        <v>669</v>
      </c>
      <c r="C88" s="39" t="s">
        <v>37</v>
      </c>
      <c r="D88" s="39" t="s">
        <v>271</v>
      </c>
      <c r="E88" s="44" t="s">
        <v>1252</v>
      </c>
      <c r="F88" s="44" t="s">
        <v>1241</v>
      </c>
      <c r="G88" s="44"/>
      <c r="H88" s="44"/>
      <c r="I88" s="39"/>
      <c r="J88" s="39"/>
      <c r="K88" s="39"/>
      <c r="L88" s="39"/>
      <c r="M88" s="39" t="s">
        <v>1425</v>
      </c>
      <c r="N88" s="109" t="s">
        <v>1253</v>
      </c>
      <c r="O88" s="1" t="s">
        <v>1254</v>
      </c>
      <c r="P88" s="106" t="s">
        <v>1248</v>
      </c>
      <c r="Q88" s="39" t="s">
        <v>227</v>
      </c>
      <c r="R88" s="102" t="s">
        <v>1250</v>
      </c>
      <c r="S88" s="32"/>
    </row>
    <row r="89" spans="1:19" ht="15" x14ac:dyDescent="0.25">
      <c r="A89" s="39" t="s">
        <v>1426</v>
      </c>
      <c r="B89" s="40" t="s">
        <v>667</v>
      </c>
      <c r="C89" s="39" t="s">
        <v>29</v>
      </c>
      <c r="D89" s="39" t="s">
        <v>271</v>
      </c>
      <c r="E89" s="44" t="s">
        <v>1252</v>
      </c>
      <c r="F89" s="44" t="s">
        <v>1241</v>
      </c>
      <c r="G89" s="104">
        <v>5</v>
      </c>
      <c r="H89" s="44"/>
      <c r="I89" s="108" t="s">
        <v>1244</v>
      </c>
      <c r="J89" s="39"/>
      <c r="K89" s="39"/>
      <c r="L89" s="39"/>
      <c r="M89" s="39" t="s">
        <v>1427</v>
      </c>
      <c r="N89" s="41" t="s">
        <v>1261</v>
      </c>
      <c r="O89" s="1" t="s">
        <v>1262</v>
      </c>
      <c r="P89" s="106" t="s">
        <v>1248</v>
      </c>
      <c r="Q89" s="39" t="s">
        <v>227</v>
      </c>
      <c r="R89" s="102" t="s">
        <v>1250</v>
      </c>
      <c r="S89" s="32"/>
    </row>
    <row r="90" spans="1:19" ht="15" x14ac:dyDescent="0.25">
      <c r="A90" s="39" t="s">
        <v>1428</v>
      </c>
      <c r="B90" s="40" t="s">
        <v>689</v>
      </c>
      <c r="C90" s="39" t="s">
        <v>37</v>
      </c>
      <c r="D90" s="39" t="s">
        <v>271</v>
      </c>
      <c r="E90" s="44" t="s">
        <v>1252</v>
      </c>
      <c r="F90" s="44" t="s">
        <v>1241</v>
      </c>
      <c r="G90" s="104">
        <v>7</v>
      </c>
      <c r="H90" s="44"/>
      <c r="I90" s="39" t="s">
        <v>1318</v>
      </c>
      <c r="J90" s="39">
        <v>0</v>
      </c>
      <c r="K90" s="39">
        <v>0</v>
      </c>
      <c r="L90" s="39">
        <v>0</v>
      </c>
      <c r="M90" s="39" t="s">
        <v>1429</v>
      </c>
      <c r="N90" s="109" t="s">
        <v>1253</v>
      </c>
      <c r="O90" s="1" t="s">
        <v>1254</v>
      </c>
      <c r="P90" s="106" t="s">
        <v>1248</v>
      </c>
      <c r="Q90" s="39" t="s">
        <v>227</v>
      </c>
      <c r="R90" s="102" t="s">
        <v>1250</v>
      </c>
    </row>
    <row r="91" spans="1:19" ht="15" x14ac:dyDescent="0.25">
      <c r="A91" s="39" t="s">
        <v>316</v>
      </c>
      <c r="B91" s="40" t="s">
        <v>317</v>
      </c>
      <c r="C91" s="39" t="s">
        <v>29</v>
      </c>
      <c r="D91" s="39" t="s">
        <v>227</v>
      </c>
      <c r="E91" s="44" t="s">
        <v>1252</v>
      </c>
      <c r="F91" s="44"/>
      <c r="G91" s="44"/>
      <c r="H91" s="44"/>
      <c r="I91" s="39"/>
      <c r="J91" s="39"/>
      <c r="K91" s="39"/>
      <c r="L91" s="39"/>
      <c r="M91" s="39" t="s">
        <v>1430</v>
      </c>
      <c r="N91" s="107" t="s">
        <v>1253</v>
      </c>
      <c r="O91" s="1" t="s">
        <v>1254</v>
      </c>
      <c r="P91" s="106" t="s">
        <v>1276</v>
      </c>
      <c r="Q91" s="39" t="s">
        <v>1308</v>
      </c>
      <c r="R91" s="102" t="s">
        <v>1250</v>
      </c>
      <c r="S91" s="32"/>
    </row>
    <row r="92" spans="1:19" ht="15" x14ac:dyDescent="0.25">
      <c r="A92" s="39" t="s">
        <v>614</v>
      </c>
      <c r="B92" s="40" t="s">
        <v>615</v>
      </c>
      <c r="C92" s="39" t="s">
        <v>29</v>
      </c>
      <c r="D92" s="39" t="s">
        <v>271</v>
      </c>
      <c r="E92" s="44" t="s">
        <v>1252</v>
      </c>
      <c r="F92" s="44" t="s">
        <v>1283</v>
      </c>
      <c r="G92" s="44" t="s">
        <v>1431</v>
      </c>
      <c r="H92" s="44">
        <v>2</v>
      </c>
      <c r="I92" s="39" t="s">
        <v>1355</v>
      </c>
      <c r="J92" s="39" t="s">
        <v>1432</v>
      </c>
      <c r="K92" s="39">
        <v>0</v>
      </c>
      <c r="L92" s="39">
        <v>0</v>
      </c>
      <c r="M92" s="39" t="s">
        <v>1433</v>
      </c>
      <c r="N92" s="109" t="s">
        <v>1253</v>
      </c>
      <c r="O92" s="1" t="s">
        <v>1254</v>
      </c>
      <c r="P92" s="106" t="s">
        <v>1287</v>
      </c>
      <c r="Q92" s="39" t="s">
        <v>1308</v>
      </c>
      <c r="R92" s="102" t="s">
        <v>1250</v>
      </c>
      <c r="S92" s="32"/>
    </row>
    <row r="93" spans="1:19" ht="15" x14ac:dyDescent="0.25">
      <c r="A93" s="39" t="s">
        <v>310</v>
      </c>
      <c r="B93" s="40" t="s">
        <v>311</v>
      </c>
      <c r="C93" s="39" t="s">
        <v>39</v>
      </c>
      <c r="D93" s="39" t="s">
        <v>227</v>
      </c>
      <c r="E93" s="44" t="s">
        <v>1240</v>
      </c>
      <c r="F93" s="44"/>
      <c r="G93" s="44"/>
      <c r="H93" s="44"/>
      <c r="I93" s="39"/>
      <c r="J93" s="39"/>
      <c r="K93" s="39"/>
      <c r="L93" s="39"/>
      <c r="M93" s="39"/>
      <c r="N93" s="107" t="s">
        <v>1253</v>
      </c>
      <c r="O93" s="1" t="s">
        <v>1254</v>
      </c>
      <c r="P93" s="106" t="s">
        <v>1255</v>
      </c>
      <c r="Q93" s="39"/>
      <c r="R93" s="102" t="s">
        <v>1250</v>
      </c>
      <c r="S93" s="32"/>
    </row>
    <row r="94" spans="1:19" ht="15" x14ac:dyDescent="0.25">
      <c r="A94" s="39" t="s">
        <v>1434</v>
      </c>
      <c r="B94" s="40" t="s">
        <v>407</v>
      </c>
      <c r="C94" s="39" t="s">
        <v>29</v>
      </c>
      <c r="D94" s="39" t="s">
        <v>271</v>
      </c>
      <c r="E94" s="44" t="s">
        <v>1252</v>
      </c>
      <c r="F94" s="44" t="s">
        <v>1277</v>
      </c>
      <c r="G94" s="44"/>
      <c r="H94" s="44"/>
      <c r="I94" s="39"/>
      <c r="J94" s="39"/>
      <c r="K94" s="39"/>
      <c r="L94" s="39"/>
      <c r="M94" s="39"/>
      <c r="N94" s="107" t="s">
        <v>1253</v>
      </c>
      <c r="O94" s="1" t="s">
        <v>1254</v>
      </c>
      <c r="P94" s="106" t="s">
        <v>1278</v>
      </c>
      <c r="Q94" s="39"/>
      <c r="R94" s="102" t="s">
        <v>1250</v>
      </c>
    </row>
    <row r="95" spans="1:19" ht="15" x14ac:dyDescent="0.25">
      <c r="A95" s="39" t="s">
        <v>1435</v>
      </c>
      <c r="B95" s="40" t="s">
        <v>409</v>
      </c>
      <c r="C95" s="39" t="s">
        <v>29</v>
      </c>
      <c r="D95" s="39" t="s">
        <v>271</v>
      </c>
      <c r="E95" s="44" t="s">
        <v>1252</v>
      </c>
      <c r="F95" s="44" t="s">
        <v>1277</v>
      </c>
      <c r="G95" s="44" t="s">
        <v>1267</v>
      </c>
      <c r="H95" s="44">
        <v>0</v>
      </c>
      <c r="I95" s="39" t="s">
        <v>1351</v>
      </c>
      <c r="J95" s="39">
        <v>0</v>
      </c>
      <c r="K95" s="39">
        <v>0</v>
      </c>
      <c r="L95" s="39">
        <v>0</v>
      </c>
      <c r="M95" s="39" t="s">
        <v>1436</v>
      </c>
      <c r="N95" s="107" t="s">
        <v>1253</v>
      </c>
      <c r="O95" s="1" t="s">
        <v>1254</v>
      </c>
      <c r="P95" s="106" t="s">
        <v>1278</v>
      </c>
      <c r="Q95" s="39"/>
      <c r="R95" s="102" t="s">
        <v>1250</v>
      </c>
      <c r="S95" s="32"/>
    </row>
    <row r="96" spans="1:19" ht="15" x14ac:dyDescent="0.25">
      <c r="A96" s="39" t="s">
        <v>1437</v>
      </c>
      <c r="B96" s="40" t="s">
        <v>399</v>
      </c>
      <c r="C96" s="39" t="s">
        <v>29</v>
      </c>
      <c r="D96" s="39" t="s">
        <v>271</v>
      </c>
      <c r="E96" s="44" t="s">
        <v>1252</v>
      </c>
      <c r="F96" s="44" t="s">
        <v>1277</v>
      </c>
      <c r="G96" s="44"/>
      <c r="H96" s="44"/>
      <c r="I96" s="39"/>
      <c r="J96" s="39"/>
      <c r="K96" s="39"/>
      <c r="L96" s="39"/>
      <c r="M96" s="39"/>
      <c r="N96" s="107" t="s">
        <v>1253</v>
      </c>
      <c r="O96" s="1" t="s">
        <v>1254</v>
      </c>
      <c r="P96" s="106" t="s">
        <v>1278</v>
      </c>
      <c r="Q96" s="39"/>
      <c r="R96" s="102" t="s">
        <v>1250</v>
      </c>
      <c r="S96" s="32"/>
    </row>
    <row r="97" spans="1:19" ht="15" x14ac:dyDescent="0.25">
      <c r="A97" s="39" t="s">
        <v>1438</v>
      </c>
      <c r="B97" s="40" t="s">
        <v>397</v>
      </c>
      <c r="C97" s="39" t="s">
        <v>29</v>
      </c>
      <c r="D97" s="39" t="s">
        <v>271</v>
      </c>
      <c r="E97" s="44" t="s">
        <v>1252</v>
      </c>
      <c r="F97" s="44" t="s">
        <v>1277</v>
      </c>
      <c r="G97" s="44"/>
      <c r="H97" s="44"/>
      <c r="I97" s="39"/>
      <c r="J97" s="39"/>
      <c r="K97" s="39"/>
      <c r="L97" s="39"/>
      <c r="M97" s="39"/>
      <c r="N97" s="107" t="s">
        <v>1253</v>
      </c>
      <c r="O97" s="1" t="s">
        <v>1254</v>
      </c>
      <c r="P97" s="106" t="s">
        <v>1278</v>
      </c>
      <c r="Q97" s="39"/>
      <c r="R97" s="102" t="s">
        <v>1250</v>
      </c>
      <c r="S97" s="32"/>
    </row>
    <row r="98" spans="1:19" ht="15" x14ac:dyDescent="0.25">
      <c r="A98" s="39" t="s">
        <v>1439</v>
      </c>
      <c r="B98" s="40" t="s">
        <v>385</v>
      </c>
      <c r="C98" s="39" t="s">
        <v>29</v>
      </c>
      <c r="D98" s="39" t="s">
        <v>271</v>
      </c>
      <c r="E98" s="44" t="s">
        <v>1252</v>
      </c>
      <c r="F98" s="44" t="s">
        <v>1277</v>
      </c>
      <c r="G98" s="44"/>
      <c r="H98" s="44"/>
      <c r="I98" s="39"/>
      <c r="J98" s="39"/>
      <c r="K98" s="39"/>
      <c r="L98" s="39"/>
      <c r="M98" s="39"/>
      <c r="N98" s="107" t="s">
        <v>1253</v>
      </c>
      <c r="O98" s="1" t="s">
        <v>1254</v>
      </c>
      <c r="P98" s="106" t="s">
        <v>1278</v>
      </c>
      <c r="Q98" s="39"/>
      <c r="R98" s="102" t="s">
        <v>1250</v>
      </c>
      <c r="S98" s="32"/>
    </row>
    <row r="99" spans="1:19" ht="15" x14ac:dyDescent="0.25">
      <c r="A99" s="39" t="s">
        <v>1440</v>
      </c>
      <c r="B99" s="40" t="s">
        <v>377</v>
      </c>
      <c r="C99" s="39" t="s">
        <v>29</v>
      </c>
      <c r="D99" s="39" t="s">
        <v>271</v>
      </c>
      <c r="E99" s="44" t="s">
        <v>1252</v>
      </c>
      <c r="F99" s="44" t="s">
        <v>1277</v>
      </c>
      <c r="G99" s="44"/>
      <c r="H99" s="44"/>
      <c r="I99" s="39"/>
      <c r="J99" s="39"/>
      <c r="K99" s="39"/>
      <c r="L99" s="39"/>
      <c r="M99" s="39"/>
      <c r="N99" s="107" t="s">
        <v>1253</v>
      </c>
      <c r="O99" s="1" t="s">
        <v>1254</v>
      </c>
      <c r="P99" s="106" t="s">
        <v>1278</v>
      </c>
      <c r="Q99" s="39"/>
      <c r="R99" s="102" t="s">
        <v>1250</v>
      </c>
      <c r="S99" s="32"/>
    </row>
    <row r="100" spans="1:19" ht="15" x14ac:dyDescent="0.25">
      <c r="A100" s="39" t="s">
        <v>1441</v>
      </c>
      <c r="B100" s="40" t="s">
        <v>375</v>
      </c>
      <c r="C100" s="39" t="s">
        <v>29</v>
      </c>
      <c r="D100" s="39" t="s">
        <v>271</v>
      </c>
      <c r="E100" s="44" t="s">
        <v>1252</v>
      </c>
      <c r="F100" s="44" t="s">
        <v>1277</v>
      </c>
      <c r="G100" s="44"/>
      <c r="H100" s="44"/>
      <c r="I100" s="39"/>
      <c r="J100" s="39"/>
      <c r="K100" s="39"/>
      <c r="L100" s="39"/>
      <c r="M100" s="39"/>
      <c r="N100" s="107" t="s">
        <v>1253</v>
      </c>
      <c r="O100" s="1" t="s">
        <v>1254</v>
      </c>
      <c r="P100" s="106" t="s">
        <v>1278</v>
      </c>
      <c r="Q100" s="39"/>
      <c r="R100" s="102" t="s">
        <v>1250</v>
      </c>
      <c r="S100" s="32"/>
    </row>
    <row r="101" spans="1:19" ht="15" x14ac:dyDescent="0.25">
      <c r="A101" s="39" t="s">
        <v>1442</v>
      </c>
      <c r="B101" s="40" t="s">
        <v>120</v>
      </c>
      <c r="C101" s="39" t="s">
        <v>29</v>
      </c>
      <c r="D101" s="39" t="s">
        <v>227</v>
      </c>
      <c r="E101" s="44" t="s">
        <v>1240</v>
      </c>
      <c r="F101" s="44" t="s">
        <v>1277</v>
      </c>
      <c r="G101" s="44" t="s">
        <v>1267</v>
      </c>
      <c r="H101" s="44">
        <v>0</v>
      </c>
      <c r="I101" s="39" t="s">
        <v>1278</v>
      </c>
      <c r="J101" s="39">
        <v>0</v>
      </c>
      <c r="K101" s="39">
        <v>0</v>
      </c>
      <c r="L101" s="39">
        <v>0</v>
      </c>
      <c r="M101" s="39" t="s">
        <v>1443</v>
      </c>
      <c r="N101" s="107" t="s">
        <v>1253</v>
      </c>
      <c r="O101" s="1" t="s">
        <v>1254</v>
      </c>
      <c r="P101" s="106" t="s">
        <v>1278</v>
      </c>
      <c r="Q101" s="39"/>
      <c r="R101" s="102" t="s">
        <v>1250</v>
      </c>
      <c r="S101" s="32"/>
    </row>
    <row r="102" spans="1:19" ht="15" x14ac:dyDescent="0.25">
      <c r="A102" s="39" t="s">
        <v>1444</v>
      </c>
      <c r="B102" s="40" t="s">
        <v>381</v>
      </c>
      <c r="C102" s="39" t="s">
        <v>29</v>
      </c>
      <c r="D102" s="39" t="s">
        <v>271</v>
      </c>
      <c r="E102" s="44" t="s">
        <v>1252</v>
      </c>
      <c r="F102" s="44" t="s">
        <v>1277</v>
      </c>
      <c r="G102" s="44"/>
      <c r="H102" s="44"/>
      <c r="I102" s="39"/>
      <c r="J102" s="39"/>
      <c r="K102" s="39"/>
      <c r="L102" s="39"/>
      <c r="M102" s="39"/>
      <c r="N102" s="107" t="s">
        <v>1253</v>
      </c>
      <c r="O102" s="1" t="s">
        <v>1254</v>
      </c>
      <c r="P102" s="106" t="s">
        <v>1278</v>
      </c>
      <c r="Q102" s="39"/>
      <c r="R102" s="102" t="s">
        <v>1250</v>
      </c>
      <c r="S102" s="32"/>
    </row>
    <row r="103" spans="1:19" ht="15" x14ac:dyDescent="0.25">
      <c r="A103" s="39" t="s">
        <v>230</v>
      </c>
      <c r="B103" s="40" t="s">
        <v>71</v>
      </c>
      <c r="C103" s="39" t="s">
        <v>29</v>
      </c>
      <c r="D103" s="39" t="s">
        <v>227</v>
      </c>
      <c r="E103" s="44" t="s">
        <v>1240</v>
      </c>
      <c r="F103" s="44" t="s">
        <v>1277</v>
      </c>
      <c r="G103" s="44" t="s">
        <v>1267</v>
      </c>
      <c r="H103" s="44">
        <v>0</v>
      </c>
      <c r="I103" s="39" t="s">
        <v>1278</v>
      </c>
      <c r="J103" s="39">
        <v>0</v>
      </c>
      <c r="K103" s="39">
        <v>0</v>
      </c>
      <c r="L103" s="39">
        <v>0</v>
      </c>
      <c r="M103" s="39" t="s">
        <v>1445</v>
      </c>
      <c r="N103" s="107" t="s">
        <v>1253</v>
      </c>
      <c r="O103" s="1" t="s">
        <v>1254</v>
      </c>
      <c r="P103" s="106" t="s">
        <v>1278</v>
      </c>
      <c r="Q103" s="39"/>
      <c r="R103" s="102" t="s">
        <v>1250</v>
      </c>
      <c r="S103" s="32"/>
    </row>
    <row r="104" spans="1:19" ht="15" x14ac:dyDescent="0.25">
      <c r="A104" s="39" t="s">
        <v>1446</v>
      </c>
      <c r="B104" s="40" t="s">
        <v>765</v>
      </c>
      <c r="C104" s="39" t="s">
        <v>29</v>
      </c>
      <c r="D104" s="39" t="s">
        <v>271</v>
      </c>
      <c r="E104" s="44" t="s">
        <v>1345</v>
      </c>
      <c r="F104" s="44" t="s">
        <v>1277</v>
      </c>
      <c r="G104" s="44"/>
      <c r="H104" s="44"/>
      <c r="I104" s="39"/>
      <c r="J104" s="39"/>
      <c r="K104" s="39"/>
      <c r="L104" s="39"/>
      <c r="M104" s="39"/>
      <c r="N104" s="107" t="s">
        <v>1253</v>
      </c>
      <c r="O104" s="1" t="s">
        <v>1254</v>
      </c>
      <c r="P104" s="106" t="s">
        <v>1278</v>
      </c>
      <c r="Q104" s="39"/>
      <c r="R104" s="102" t="s">
        <v>1250</v>
      </c>
      <c r="S104" s="32"/>
    </row>
    <row r="105" spans="1:19" ht="15" x14ac:dyDescent="0.25">
      <c r="A105" s="39" t="s">
        <v>1447</v>
      </c>
      <c r="B105" s="40" t="s">
        <v>383</v>
      </c>
      <c r="C105" s="39" t="s">
        <v>29</v>
      </c>
      <c r="D105" s="39" t="s">
        <v>271</v>
      </c>
      <c r="E105" s="44" t="s">
        <v>1252</v>
      </c>
      <c r="F105" s="44" t="s">
        <v>1277</v>
      </c>
      <c r="G105" s="44"/>
      <c r="H105" s="44"/>
      <c r="I105" s="39"/>
      <c r="J105" s="39"/>
      <c r="K105" s="39"/>
      <c r="L105" s="39"/>
      <c r="M105" s="39"/>
      <c r="N105" s="107" t="s">
        <v>1253</v>
      </c>
      <c r="O105" s="1" t="s">
        <v>1254</v>
      </c>
      <c r="P105" s="106" t="s">
        <v>1278</v>
      </c>
      <c r="Q105" s="39"/>
      <c r="R105" s="102" t="s">
        <v>1250</v>
      </c>
    </row>
    <row r="106" spans="1:19" ht="15" x14ac:dyDescent="0.25">
      <c r="A106" s="39" t="s">
        <v>1448</v>
      </c>
      <c r="B106" s="40" t="s">
        <v>712</v>
      </c>
      <c r="C106" s="39" t="s">
        <v>29</v>
      </c>
      <c r="D106" s="39" t="s">
        <v>271</v>
      </c>
      <c r="E106" s="44" t="s">
        <v>1252</v>
      </c>
      <c r="F106" s="44" t="s">
        <v>1241</v>
      </c>
      <c r="G106" s="104">
        <v>6</v>
      </c>
      <c r="H106" s="44">
        <v>12</v>
      </c>
      <c r="I106" s="39" t="s">
        <v>1242</v>
      </c>
      <c r="J106" s="39" t="s">
        <v>1290</v>
      </c>
      <c r="K106" s="39">
        <v>0</v>
      </c>
      <c r="L106" s="39">
        <v>0</v>
      </c>
      <c r="M106" s="39" t="s">
        <v>1449</v>
      </c>
      <c r="N106" s="41" t="s">
        <v>1261</v>
      </c>
      <c r="O106" s="1" t="s">
        <v>1262</v>
      </c>
      <c r="P106" s="106" t="s">
        <v>1248</v>
      </c>
      <c r="Q106" s="39" t="s">
        <v>227</v>
      </c>
      <c r="R106" s="102" t="s">
        <v>1250</v>
      </c>
    </row>
    <row r="107" spans="1:19" ht="15" x14ac:dyDescent="0.25">
      <c r="A107" s="39" t="s">
        <v>117</v>
      </c>
      <c r="B107" s="40" t="s">
        <v>118</v>
      </c>
      <c r="C107" s="39" t="s">
        <v>29</v>
      </c>
      <c r="D107" s="39" t="s">
        <v>271</v>
      </c>
      <c r="E107" s="44" t="s">
        <v>1240</v>
      </c>
      <c r="F107" s="44" t="s">
        <v>1283</v>
      </c>
      <c r="G107" s="44"/>
      <c r="H107" s="44"/>
      <c r="I107" s="39"/>
      <c r="J107" s="39"/>
      <c r="K107" s="39"/>
      <c r="L107" s="39"/>
      <c r="M107" s="39" t="s">
        <v>1450</v>
      </c>
      <c r="N107" s="41" t="s">
        <v>1261</v>
      </c>
      <c r="O107" s="1" t="s">
        <v>1262</v>
      </c>
      <c r="P107" s="106" t="s">
        <v>1287</v>
      </c>
      <c r="Q107" s="39" t="s">
        <v>227</v>
      </c>
      <c r="R107" s="102">
        <v>1.3</v>
      </c>
      <c r="S107" s="32"/>
    </row>
    <row r="108" spans="1:19" ht="15" x14ac:dyDescent="0.25">
      <c r="A108" s="39" t="s">
        <v>1451</v>
      </c>
      <c r="B108" s="40" t="s">
        <v>733</v>
      </c>
      <c r="C108" s="39" t="s">
        <v>37</v>
      </c>
      <c r="D108" s="39" t="s">
        <v>271</v>
      </c>
      <c r="E108" s="44" t="s">
        <v>1252</v>
      </c>
      <c r="F108" s="44" t="s">
        <v>1277</v>
      </c>
      <c r="G108" s="44"/>
      <c r="H108" s="44"/>
      <c r="I108" s="39" t="s">
        <v>1452</v>
      </c>
      <c r="J108" s="39">
        <v>0</v>
      </c>
      <c r="K108" s="39">
        <v>0</v>
      </c>
      <c r="L108" s="39">
        <v>0</v>
      </c>
      <c r="M108" s="39" t="s">
        <v>1453</v>
      </c>
      <c r="N108" s="109" t="s">
        <v>1253</v>
      </c>
      <c r="O108" s="1" t="s">
        <v>1254</v>
      </c>
      <c r="P108" s="106" t="s">
        <v>1295</v>
      </c>
      <c r="Q108" s="39" t="s">
        <v>1308</v>
      </c>
      <c r="R108" s="102" t="s">
        <v>1250</v>
      </c>
      <c r="S108" s="32"/>
    </row>
    <row r="109" spans="1:19" ht="15" x14ac:dyDescent="0.25">
      <c r="A109" s="39" t="s">
        <v>622</v>
      </c>
      <c r="B109" s="40" t="s">
        <v>623</v>
      </c>
      <c r="C109" s="39" t="s">
        <v>37</v>
      </c>
      <c r="D109" s="39" t="s">
        <v>271</v>
      </c>
      <c r="E109" s="44" t="s">
        <v>1252</v>
      </c>
      <c r="F109" s="44" t="s">
        <v>1283</v>
      </c>
      <c r="G109" s="44"/>
      <c r="H109" s="44"/>
      <c r="I109" s="39"/>
      <c r="J109" s="39"/>
      <c r="K109" s="39"/>
      <c r="L109" s="39"/>
      <c r="M109" s="39" t="s">
        <v>1454</v>
      </c>
      <c r="N109" s="109" t="s">
        <v>1253</v>
      </c>
      <c r="O109" s="1" t="s">
        <v>1254</v>
      </c>
      <c r="P109" s="106" t="s">
        <v>1287</v>
      </c>
      <c r="Q109" s="39" t="s">
        <v>227</v>
      </c>
      <c r="R109" s="102" t="s">
        <v>1250</v>
      </c>
      <c r="S109" s="32"/>
    </row>
    <row r="110" spans="1:19" ht="15" x14ac:dyDescent="0.25">
      <c r="A110" s="39" t="s">
        <v>1455</v>
      </c>
      <c r="B110" s="40" t="s">
        <v>611</v>
      </c>
      <c r="C110" s="39" t="s">
        <v>37</v>
      </c>
      <c r="D110" s="39" t="s">
        <v>271</v>
      </c>
      <c r="E110" s="44" t="s">
        <v>1252</v>
      </c>
      <c r="F110" s="44" t="s">
        <v>1283</v>
      </c>
      <c r="G110" s="104">
        <v>7</v>
      </c>
      <c r="H110" s="44">
        <v>4</v>
      </c>
      <c r="I110" s="39" t="s">
        <v>1285</v>
      </c>
      <c r="J110" s="39">
        <v>0</v>
      </c>
      <c r="K110" s="39">
        <v>0</v>
      </c>
      <c r="L110" s="39">
        <v>0</v>
      </c>
      <c r="M110" s="39" t="s">
        <v>1456</v>
      </c>
      <c r="N110" s="109" t="s">
        <v>1253</v>
      </c>
      <c r="O110" s="1" t="s">
        <v>1254</v>
      </c>
      <c r="P110" s="106" t="s">
        <v>1287</v>
      </c>
      <c r="Q110" s="39" t="s">
        <v>227</v>
      </c>
      <c r="R110" s="102" t="s">
        <v>1250</v>
      </c>
      <c r="S110" s="32"/>
    </row>
    <row r="111" spans="1:19" ht="15" x14ac:dyDescent="0.25">
      <c r="A111" s="39" t="s">
        <v>628</v>
      </c>
      <c r="B111" s="40" t="s">
        <v>629</v>
      </c>
      <c r="C111" s="39" t="s">
        <v>37</v>
      </c>
      <c r="D111" s="39" t="s">
        <v>271</v>
      </c>
      <c r="E111" s="44" t="s">
        <v>1252</v>
      </c>
      <c r="F111" s="44" t="s">
        <v>1283</v>
      </c>
      <c r="G111" s="111">
        <v>6</v>
      </c>
      <c r="H111" s="44"/>
      <c r="I111" s="108" t="s">
        <v>1315</v>
      </c>
      <c r="J111" s="39">
        <v>0</v>
      </c>
      <c r="K111" s="39">
        <v>0</v>
      </c>
      <c r="L111" s="39">
        <v>0</v>
      </c>
      <c r="M111" s="39" t="s">
        <v>1457</v>
      </c>
      <c r="N111" s="109" t="s">
        <v>1253</v>
      </c>
      <c r="O111" s="1" t="s">
        <v>1254</v>
      </c>
      <c r="P111" s="106" t="s">
        <v>1287</v>
      </c>
      <c r="Q111" s="39" t="s">
        <v>227</v>
      </c>
      <c r="R111" s="102" t="s">
        <v>1250</v>
      </c>
      <c r="S111" s="32"/>
    </row>
    <row r="112" spans="1:19" ht="15" x14ac:dyDescent="0.25">
      <c r="A112" s="39" t="s">
        <v>176</v>
      </c>
      <c r="B112" s="40" t="s">
        <v>177</v>
      </c>
      <c r="C112" s="39" t="s">
        <v>37</v>
      </c>
      <c r="D112" s="39" t="s">
        <v>271</v>
      </c>
      <c r="E112" s="44" t="s">
        <v>1240</v>
      </c>
      <c r="F112" s="44" t="s">
        <v>1241</v>
      </c>
      <c r="G112" s="104">
        <v>7</v>
      </c>
      <c r="H112" s="44">
        <v>4</v>
      </c>
      <c r="I112" s="39" t="s">
        <v>1243</v>
      </c>
      <c r="J112" s="39">
        <v>0</v>
      </c>
      <c r="K112" s="39">
        <v>0</v>
      </c>
      <c r="L112" s="39">
        <v>0</v>
      </c>
      <c r="M112" s="39" t="s">
        <v>1458</v>
      </c>
      <c r="N112" s="109" t="s">
        <v>1253</v>
      </c>
      <c r="O112" s="1" t="s">
        <v>1254</v>
      </c>
      <c r="P112" s="106" t="s">
        <v>1248</v>
      </c>
      <c r="Q112" s="39" t="s">
        <v>227</v>
      </c>
      <c r="R112" s="102" t="s">
        <v>1250</v>
      </c>
      <c r="S112" s="32"/>
    </row>
    <row r="113" spans="1:19" ht="15" x14ac:dyDescent="0.25">
      <c r="A113" s="39" t="s">
        <v>1459</v>
      </c>
      <c r="B113" s="40" t="s">
        <v>504</v>
      </c>
      <c r="C113" s="39" t="s">
        <v>37</v>
      </c>
      <c r="D113" s="39" t="s">
        <v>271</v>
      </c>
      <c r="E113" s="44" t="s">
        <v>1252</v>
      </c>
      <c r="F113" s="44" t="s">
        <v>1283</v>
      </c>
      <c r="G113" s="104">
        <v>7</v>
      </c>
      <c r="H113" s="44">
        <v>4</v>
      </c>
      <c r="I113" s="39" t="s">
        <v>1380</v>
      </c>
      <c r="J113" s="39">
        <v>0</v>
      </c>
      <c r="K113" s="39">
        <v>0</v>
      </c>
      <c r="L113" s="39">
        <v>0</v>
      </c>
      <c r="M113" s="39" t="s">
        <v>1347</v>
      </c>
      <c r="N113" s="109" t="s">
        <v>1253</v>
      </c>
      <c r="O113" s="1" t="s">
        <v>1254</v>
      </c>
      <c r="P113" s="106" t="s">
        <v>1287</v>
      </c>
      <c r="Q113" s="39" t="s">
        <v>227</v>
      </c>
      <c r="R113" s="102" t="s">
        <v>1250</v>
      </c>
      <c r="S113" s="32"/>
    </row>
    <row r="114" spans="1:19" ht="15" x14ac:dyDescent="0.25">
      <c r="A114" s="39" t="s">
        <v>174</v>
      </c>
      <c r="B114" s="40" t="s">
        <v>175</v>
      </c>
      <c r="C114" s="39" t="s">
        <v>29</v>
      </c>
      <c r="D114" s="39" t="s">
        <v>227</v>
      </c>
      <c r="E114" s="44" t="s">
        <v>1240</v>
      </c>
      <c r="F114" s="44" t="s">
        <v>1283</v>
      </c>
      <c r="G114" s="104">
        <v>7</v>
      </c>
      <c r="H114" s="44">
        <v>4</v>
      </c>
      <c r="I114" s="39" t="s">
        <v>1380</v>
      </c>
      <c r="J114" s="39">
        <v>0</v>
      </c>
      <c r="K114" s="39">
        <v>0</v>
      </c>
      <c r="L114" s="39">
        <v>0</v>
      </c>
      <c r="M114" s="39" t="s">
        <v>1347</v>
      </c>
      <c r="N114" s="109" t="s">
        <v>1253</v>
      </c>
      <c r="O114" s="1" t="s">
        <v>1254</v>
      </c>
      <c r="P114" s="106" t="s">
        <v>1287</v>
      </c>
      <c r="Q114" s="39" t="s">
        <v>227</v>
      </c>
      <c r="R114" s="102">
        <v>1.4</v>
      </c>
    </row>
    <row r="115" spans="1:19" ht="15" x14ac:dyDescent="0.25">
      <c r="A115" s="39" t="s">
        <v>1460</v>
      </c>
      <c r="B115" s="40" t="s">
        <v>716</v>
      </c>
      <c r="C115" s="39" t="s">
        <v>29</v>
      </c>
      <c r="D115" s="39" t="s">
        <v>271</v>
      </c>
      <c r="E115" s="44" t="s">
        <v>1252</v>
      </c>
      <c r="F115" s="44" t="s">
        <v>1241</v>
      </c>
      <c r="G115" s="44"/>
      <c r="H115" s="44"/>
      <c r="I115" s="39" t="s">
        <v>1461</v>
      </c>
      <c r="J115" s="39"/>
      <c r="K115" s="39"/>
      <c r="L115" s="39"/>
      <c r="M115" s="39" t="s">
        <v>1462</v>
      </c>
      <c r="N115" s="41" t="s">
        <v>1261</v>
      </c>
      <c r="O115" s="1" t="s">
        <v>1262</v>
      </c>
      <c r="P115" s="106" t="s">
        <v>1248</v>
      </c>
      <c r="Q115" s="39" t="s">
        <v>227</v>
      </c>
      <c r="R115" s="102" t="s">
        <v>1250</v>
      </c>
      <c r="S115" s="32"/>
    </row>
    <row r="116" spans="1:19" ht="15" x14ac:dyDescent="0.25">
      <c r="A116" s="39" t="s">
        <v>32</v>
      </c>
      <c r="B116" s="40" t="s">
        <v>33</v>
      </c>
      <c r="C116" s="39" t="s">
        <v>29</v>
      </c>
      <c r="D116" s="39" t="s">
        <v>271</v>
      </c>
      <c r="E116" s="44" t="s">
        <v>1240</v>
      </c>
      <c r="F116" s="44" t="s">
        <v>1241</v>
      </c>
      <c r="G116" s="110">
        <v>5.5</v>
      </c>
      <c r="H116" s="44">
        <v>8</v>
      </c>
      <c r="I116" s="39" t="s">
        <v>1463</v>
      </c>
      <c r="J116" s="39" t="s">
        <v>1464</v>
      </c>
      <c r="K116" s="39" t="s">
        <v>1290</v>
      </c>
      <c r="L116" s="39">
        <v>0</v>
      </c>
      <c r="M116" s="39" t="s">
        <v>1465</v>
      </c>
      <c r="N116" s="105" t="s">
        <v>1246</v>
      </c>
      <c r="O116" s="1" t="s">
        <v>1247</v>
      </c>
      <c r="P116" s="106" t="s">
        <v>1248</v>
      </c>
      <c r="Q116" s="39" t="s">
        <v>227</v>
      </c>
      <c r="R116" s="102" t="s">
        <v>1250</v>
      </c>
      <c r="S116" s="32"/>
    </row>
    <row r="117" spans="1:19" ht="15" x14ac:dyDescent="0.25">
      <c r="A117" s="39" t="s">
        <v>121</v>
      </c>
      <c r="B117" s="40" t="s">
        <v>122</v>
      </c>
      <c r="C117" s="39" t="s">
        <v>29</v>
      </c>
      <c r="D117" s="39" t="s">
        <v>227</v>
      </c>
      <c r="E117" s="44" t="s">
        <v>1240</v>
      </c>
      <c r="F117" s="44" t="s">
        <v>1277</v>
      </c>
      <c r="G117" s="44" t="s">
        <v>1267</v>
      </c>
      <c r="H117" s="44" t="s">
        <v>1267</v>
      </c>
      <c r="I117" s="39" t="s">
        <v>1466</v>
      </c>
      <c r="J117" s="39">
        <v>0</v>
      </c>
      <c r="K117" s="39">
        <v>0</v>
      </c>
      <c r="L117" s="39">
        <v>0</v>
      </c>
      <c r="M117" s="39"/>
      <c r="N117" s="107" t="s">
        <v>1253</v>
      </c>
      <c r="O117" s="1" t="s">
        <v>1254</v>
      </c>
      <c r="P117" s="106" t="s">
        <v>1278</v>
      </c>
      <c r="Q117" s="39"/>
      <c r="R117" s="102">
        <v>1</v>
      </c>
      <c r="S117" s="32"/>
    </row>
    <row r="118" spans="1:19" ht="15" x14ac:dyDescent="0.25">
      <c r="A118" s="39" t="s">
        <v>215</v>
      </c>
      <c r="B118" s="40" t="s">
        <v>268</v>
      </c>
      <c r="C118" s="39" t="s">
        <v>37</v>
      </c>
      <c r="D118" s="39" t="s">
        <v>227</v>
      </c>
      <c r="E118" s="44" t="s">
        <v>1240</v>
      </c>
      <c r="F118" s="44" t="s">
        <v>1241</v>
      </c>
      <c r="G118" s="114">
        <v>6</v>
      </c>
      <c r="H118" s="110">
        <v>12</v>
      </c>
      <c r="I118" s="108" t="s">
        <v>1243</v>
      </c>
      <c r="J118" s="39">
        <v>0</v>
      </c>
      <c r="K118" s="39">
        <v>0</v>
      </c>
      <c r="L118" s="39">
        <v>0</v>
      </c>
      <c r="M118" s="39" t="s">
        <v>1467</v>
      </c>
      <c r="N118" s="41" t="s">
        <v>1261</v>
      </c>
      <c r="O118" s="1" t="s">
        <v>1262</v>
      </c>
      <c r="P118" s="106" t="s">
        <v>1248</v>
      </c>
      <c r="Q118" s="39" t="s">
        <v>227</v>
      </c>
      <c r="R118" s="102">
        <v>1.5</v>
      </c>
      <c r="S118" s="32"/>
    </row>
    <row r="119" spans="1:19" ht="15" x14ac:dyDescent="0.25">
      <c r="A119" s="39" t="s">
        <v>257</v>
      </c>
      <c r="B119" s="40" t="s">
        <v>258</v>
      </c>
      <c r="C119" s="39" t="s">
        <v>29</v>
      </c>
      <c r="D119" s="39" t="s">
        <v>271</v>
      </c>
      <c r="E119" s="44" t="s">
        <v>1300</v>
      </c>
      <c r="F119" s="44" t="s">
        <v>1283</v>
      </c>
      <c r="G119" s="44"/>
      <c r="H119" s="44"/>
      <c r="I119" s="39"/>
      <c r="J119" s="39"/>
      <c r="K119" s="39"/>
      <c r="L119" s="39"/>
      <c r="M119" s="39" t="s">
        <v>1468</v>
      </c>
      <c r="N119" s="105" t="s">
        <v>1246</v>
      </c>
      <c r="O119" s="1" t="s">
        <v>1247</v>
      </c>
      <c r="P119" s="106" t="s">
        <v>1287</v>
      </c>
      <c r="Q119" s="39" t="s">
        <v>227</v>
      </c>
      <c r="R119" s="102" t="s">
        <v>1250</v>
      </c>
      <c r="S119" s="32"/>
    </row>
    <row r="120" spans="1:19" ht="15" x14ac:dyDescent="0.25">
      <c r="A120" s="39" t="s">
        <v>142</v>
      </c>
      <c r="B120" s="40" t="s">
        <v>143</v>
      </c>
      <c r="C120" s="39" t="s">
        <v>29</v>
      </c>
      <c r="D120" s="39" t="s">
        <v>271</v>
      </c>
      <c r="E120" s="44" t="s">
        <v>1240</v>
      </c>
      <c r="F120" s="44" t="s">
        <v>1283</v>
      </c>
      <c r="G120" s="44" t="s">
        <v>1469</v>
      </c>
      <c r="H120" s="44">
        <v>4</v>
      </c>
      <c r="I120" s="39" t="s">
        <v>1285</v>
      </c>
      <c r="J120" s="39" t="s">
        <v>1314</v>
      </c>
      <c r="K120" s="39" t="s">
        <v>1284</v>
      </c>
      <c r="L120" s="39" t="s">
        <v>1313</v>
      </c>
      <c r="M120" s="39" t="s">
        <v>1470</v>
      </c>
      <c r="N120" s="109" t="s">
        <v>1253</v>
      </c>
      <c r="O120" s="1" t="s">
        <v>1254</v>
      </c>
      <c r="P120" s="106" t="s">
        <v>1287</v>
      </c>
      <c r="Q120" s="39" t="s">
        <v>227</v>
      </c>
      <c r="R120" s="102">
        <v>2</v>
      </c>
      <c r="S120" s="32"/>
    </row>
    <row r="121" spans="1:19" ht="15" x14ac:dyDescent="0.25">
      <c r="A121" s="39" t="s">
        <v>1471</v>
      </c>
      <c r="B121" s="40" t="s">
        <v>580</v>
      </c>
      <c r="C121" s="39" t="s">
        <v>29</v>
      </c>
      <c r="D121" s="39" t="s">
        <v>271</v>
      </c>
      <c r="E121" s="44" t="s">
        <v>1252</v>
      </c>
      <c r="F121" s="44" t="s">
        <v>1283</v>
      </c>
      <c r="G121" s="44" t="s">
        <v>1472</v>
      </c>
      <c r="H121" s="44">
        <v>2</v>
      </c>
      <c r="I121" s="39" t="s">
        <v>1321</v>
      </c>
      <c r="J121" s="39">
        <v>0</v>
      </c>
      <c r="K121" s="39">
        <v>0</v>
      </c>
      <c r="L121" s="39">
        <v>0</v>
      </c>
      <c r="M121" s="39" t="s">
        <v>1473</v>
      </c>
      <c r="N121" s="109" t="s">
        <v>1253</v>
      </c>
      <c r="O121" s="1" t="s">
        <v>1254</v>
      </c>
      <c r="P121" s="106" t="s">
        <v>1287</v>
      </c>
      <c r="Q121" s="39" t="s">
        <v>227</v>
      </c>
      <c r="R121" s="102" t="s">
        <v>1250</v>
      </c>
      <c r="S121" s="32"/>
    </row>
    <row r="122" spans="1:19" ht="15" x14ac:dyDescent="0.25">
      <c r="A122" s="39" t="s">
        <v>362</v>
      </c>
      <c r="B122" s="40" t="s">
        <v>363</v>
      </c>
      <c r="C122" s="39" t="s">
        <v>39</v>
      </c>
      <c r="D122" s="39" t="s">
        <v>271</v>
      </c>
      <c r="E122" s="44" t="s">
        <v>1252</v>
      </c>
      <c r="F122" s="44"/>
      <c r="G122" s="44"/>
      <c r="H122" s="44"/>
      <c r="I122" s="39"/>
      <c r="J122" s="39"/>
      <c r="K122" s="39"/>
      <c r="L122" s="39"/>
      <c r="M122" s="39"/>
      <c r="N122" s="107" t="s">
        <v>1253</v>
      </c>
      <c r="O122" s="1" t="s">
        <v>1254</v>
      </c>
      <c r="P122" s="106" t="s">
        <v>1255</v>
      </c>
      <c r="Q122" s="39"/>
      <c r="R122" s="102" t="s">
        <v>1250</v>
      </c>
      <c r="S122" s="32"/>
    </row>
    <row r="123" spans="1:19" ht="15" x14ac:dyDescent="0.25">
      <c r="A123" s="39" t="s">
        <v>187</v>
      </c>
      <c r="B123" s="40" t="s">
        <v>188</v>
      </c>
      <c r="C123" s="39" t="s">
        <v>29</v>
      </c>
      <c r="D123" s="39" t="s">
        <v>271</v>
      </c>
      <c r="E123" s="44" t="s">
        <v>1240</v>
      </c>
      <c r="F123" s="44" t="s">
        <v>1277</v>
      </c>
      <c r="G123" s="44"/>
      <c r="H123" s="44"/>
      <c r="I123" s="39"/>
      <c r="J123" s="39"/>
      <c r="K123" s="39"/>
      <c r="L123" s="39"/>
      <c r="M123" s="39"/>
      <c r="N123" s="107" t="s">
        <v>1253</v>
      </c>
      <c r="O123" s="1" t="s">
        <v>1254</v>
      </c>
      <c r="P123" s="106" t="s">
        <v>1278</v>
      </c>
      <c r="Q123" s="39"/>
      <c r="R123" s="102" t="s">
        <v>1250</v>
      </c>
      <c r="S123" s="32"/>
    </row>
    <row r="124" spans="1:19" ht="15" x14ac:dyDescent="0.25">
      <c r="A124" s="39" t="s">
        <v>1474</v>
      </c>
      <c r="B124" s="40" t="s">
        <v>731</v>
      </c>
      <c r="C124" s="39" t="s">
        <v>29</v>
      </c>
      <c r="D124" s="39" t="s">
        <v>271</v>
      </c>
      <c r="E124" s="44" t="s">
        <v>1252</v>
      </c>
      <c r="F124" s="44" t="s">
        <v>1277</v>
      </c>
      <c r="G124" s="44"/>
      <c r="H124" s="44"/>
      <c r="I124" s="39" t="s">
        <v>1475</v>
      </c>
      <c r="J124" s="39"/>
      <c r="K124" s="39"/>
      <c r="L124" s="39"/>
      <c r="M124" s="39"/>
      <c r="N124" s="109" t="s">
        <v>1253</v>
      </c>
      <c r="O124" s="1" t="s">
        <v>1254</v>
      </c>
      <c r="P124" s="106" t="s">
        <v>1295</v>
      </c>
      <c r="Q124" s="39" t="s">
        <v>1308</v>
      </c>
      <c r="R124" s="102" t="s">
        <v>1250</v>
      </c>
      <c r="S124" s="32"/>
    </row>
    <row r="125" spans="1:19" ht="15" x14ac:dyDescent="0.25">
      <c r="A125" s="39" t="s">
        <v>1476</v>
      </c>
      <c r="B125" s="40" t="s">
        <v>391</v>
      </c>
      <c r="C125" s="39" t="s">
        <v>29</v>
      </c>
      <c r="D125" s="39" t="s">
        <v>271</v>
      </c>
      <c r="E125" s="44" t="s">
        <v>1252</v>
      </c>
      <c r="F125" s="44" t="s">
        <v>1277</v>
      </c>
      <c r="G125" s="44"/>
      <c r="H125" s="44"/>
      <c r="I125" s="39" t="s">
        <v>1477</v>
      </c>
      <c r="J125" s="39"/>
      <c r="K125" s="39"/>
      <c r="L125" s="39"/>
      <c r="M125" s="39"/>
      <c r="N125" s="107" t="s">
        <v>1253</v>
      </c>
      <c r="O125" s="1" t="s">
        <v>1254</v>
      </c>
      <c r="P125" s="106" t="s">
        <v>1278</v>
      </c>
      <c r="Q125" s="39"/>
      <c r="R125" s="102" t="s">
        <v>1250</v>
      </c>
      <c r="S125" s="32"/>
    </row>
    <row r="126" spans="1:19" ht="15" x14ac:dyDescent="0.25">
      <c r="A126" s="39" t="s">
        <v>195</v>
      </c>
      <c r="B126" s="40" t="s">
        <v>196</v>
      </c>
      <c r="C126" s="39" t="s">
        <v>29</v>
      </c>
      <c r="D126" s="39" t="s">
        <v>271</v>
      </c>
      <c r="E126" s="44" t="s">
        <v>1240</v>
      </c>
      <c r="F126" s="44" t="s">
        <v>1241</v>
      </c>
      <c r="G126" s="44"/>
      <c r="H126" s="44"/>
      <c r="I126" s="39"/>
      <c r="J126" s="39"/>
      <c r="K126" s="39"/>
      <c r="L126" s="39"/>
      <c r="M126" s="39" t="s">
        <v>1478</v>
      </c>
      <c r="N126" s="109" t="s">
        <v>1253</v>
      </c>
      <c r="O126" s="1" t="s">
        <v>1254</v>
      </c>
      <c r="P126" s="106" t="s">
        <v>1248</v>
      </c>
      <c r="Q126" s="39" t="s">
        <v>227</v>
      </c>
      <c r="R126" s="102" t="s">
        <v>1250</v>
      </c>
      <c r="S126" s="32"/>
    </row>
    <row r="127" spans="1:19" ht="15" x14ac:dyDescent="0.25">
      <c r="A127" s="39" t="s">
        <v>72</v>
      </c>
      <c r="B127" s="40" t="s">
        <v>73</v>
      </c>
      <c r="C127" s="39" t="s">
        <v>29</v>
      </c>
      <c r="D127" s="39" t="s">
        <v>227</v>
      </c>
      <c r="E127" s="44" t="s">
        <v>1240</v>
      </c>
      <c r="F127" s="44" t="s">
        <v>1277</v>
      </c>
      <c r="G127" s="44" t="s">
        <v>1267</v>
      </c>
      <c r="H127" s="44">
        <v>0</v>
      </c>
      <c r="I127" s="39" t="s">
        <v>1278</v>
      </c>
      <c r="J127" s="39">
        <v>0</v>
      </c>
      <c r="K127" s="39">
        <v>0</v>
      </c>
      <c r="L127" s="39">
        <v>0</v>
      </c>
      <c r="M127" s="39" t="s">
        <v>1479</v>
      </c>
      <c r="N127" s="107" t="s">
        <v>1253</v>
      </c>
      <c r="O127" s="1" t="s">
        <v>1254</v>
      </c>
      <c r="P127" s="106" t="s">
        <v>1278</v>
      </c>
      <c r="Q127" s="39"/>
      <c r="R127" s="102" t="s">
        <v>1250</v>
      </c>
      <c r="S127" s="32"/>
    </row>
    <row r="128" spans="1:19" ht="15" x14ac:dyDescent="0.25">
      <c r="A128" s="39" t="s">
        <v>1480</v>
      </c>
      <c r="B128" s="40" t="s">
        <v>645</v>
      </c>
      <c r="C128" s="39" t="s">
        <v>29</v>
      </c>
      <c r="D128" s="39" t="s">
        <v>271</v>
      </c>
      <c r="E128" s="44" t="s">
        <v>1252</v>
      </c>
      <c r="F128" s="44"/>
      <c r="G128" s="44"/>
      <c r="H128" s="44"/>
      <c r="I128" s="39"/>
      <c r="J128" s="39"/>
      <c r="K128" s="39"/>
      <c r="L128" s="39"/>
      <c r="M128" s="39" t="s">
        <v>1332</v>
      </c>
      <c r="N128" s="109" t="s">
        <v>1253</v>
      </c>
      <c r="O128" s="1" t="s">
        <v>1254</v>
      </c>
      <c r="P128" s="106" t="s">
        <v>1299</v>
      </c>
      <c r="Q128" s="39" t="s">
        <v>227</v>
      </c>
      <c r="R128" s="102" t="s">
        <v>1250</v>
      </c>
      <c r="S128" s="32"/>
    </row>
    <row r="129" spans="1:19" ht="15" x14ac:dyDescent="0.25">
      <c r="A129" s="39" t="s">
        <v>248</v>
      </c>
      <c r="B129" s="40" t="s">
        <v>249</v>
      </c>
      <c r="C129" s="39" t="s">
        <v>29</v>
      </c>
      <c r="D129" s="39" t="s">
        <v>227</v>
      </c>
      <c r="E129" s="44" t="s">
        <v>1240</v>
      </c>
      <c r="F129" s="44" t="s">
        <v>1283</v>
      </c>
      <c r="G129" s="104">
        <v>7</v>
      </c>
      <c r="H129" s="44">
        <v>6</v>
      </c>
      <c r="I129" s="39" t="s">
        <v>1285</v>
      </c>
      <c r="J129" s="39">
        <v>0</v>
      </c>
      <c r="K129" s="39">
        <v>0</v>
      </c>
      <c r="L129" s="39">
        <v>0</v>
      </c>
      <c r="M129" s="39" t="s">
        <v>1481</v>
      </c>
      <c r="N129" s="105" t="s">
        <v>1246</v>
      </c>
      <c r="O129" s="1" t="s">
        <v>1247</v>
      </c>
      <c r="P129" s="106" t="s">
        <v>1287</v>
      </c>
      <c r="Q129" s="39" t="s">
        <v>227</v>
      </c>
      <c r="R129" s="102">
        <v>1.2</v>
      </c>
      <c r="S129" s="32"/>
    </row>
    <row r="130" spans="1:19" ht="15" x14ac:dyDescent="0.25">
      <c r="A130" s="41" t="s">
        <v>1482</v>
      </c>
      <c r="B130" s="40" t="s">
        <v>506</v>
      </c>
      <c r="C130" s="39" t="s">
        <v>37</v>
      </c>
      <c r="D130" s="39" t="s">
        <v>271</v>
      </c>
      <c r="E130" s="44" t="s">
        <v>1252</v>
      </c>
      <c r="F130" s="44" t="s">
        <v>1283</v>
      </c>
      <c r="G130" s="104">
        <v>5</v>
      </c>
      <c r="H130" s="44"/>
      <c r="I130" s="39" t="s">
        <v>1313</v>
      </c>
      <c r="J130" s="39" t="s">
        <v>1285</v>
      </c>
      <c r="K130" s="39" t="s">
        <v>1312</v>
      </c>
      <c r="L130" s="39"/>
      <c r="M130" s="39" t="s">
        <v>1483</v>
      </c>
      <c r="N130" s="109" t="s">
        <v>1253</v>
      </c>
      <c r="O130" s="1" t="s">
        <v>1254</v>
      </c>
      <c r="P130" s="106" t="s">
        <v>1287</v>
      </c>
      <c r="Q130" s="39" t="s">
        <v>1308</v>
      </c>
      <c r="R130" s="102" t="s">
        <v>1250</v>
      </c>
      <c r="S130" s="32"/>
    </row>
    <row r="131" spans="1:19" ht="15" x14ac:dyDescent="0.25">
      <c r="A131" s="39" t="s">
        <v>497</v>
      </c>
      <c r="B131" s="40" t="s">
        <v>498</v>
      </c>
      <c r="C131" s="39" t="s">
        <v>27</v>
      </c>
      <c r="D131" s="39" t="s">
        <v>271</v>
      </c>
      <c r="E131" s="44" t="s">
        <v>1252</v>
      </c>
      <c r="F131" s="44"/>
      <c r="G131" s="44"/>
      <c r="H131" s="44"/>
      <c r="I131" s="39"/>
      <c r="J131" s="39"/>
      <c r="K131" s="39"/>
      <c r="L131" s="39"/>
      <c r="M131" s="39"/>
      <c r="N131" s="39"/>
      <c r="O131" s="39"/>
      <c r="P131" s="106" t="s">
        <v>1342</v>
      </c>
      <c r="Q131" s="39" t="s">
        <v>1308</v>
      </c>
      <c r="R131" s="102" t="s">
        <v>1250</v>
      </c>
      <c r="S131" s="32"/>
    </row>
    <row r="132" spans="1:19" ht="15" x14ac:dyDescent="0.25">
      <c r="A132" s="39" t="s">
        <v>280</v>
      </c>
      <c r="B132" s="40" t="s">
        <v>281</v>
      </c>
      <c r="C132" s="39" t="s">
        <v>37</v>
      </c>
      <c r="D132" s="39" t="s">
        <v>271</v>
      </c>
      <c r="E132" s="44" t="s">
        <v>1300</v>
      </c>
      <c r="F132" s="44" t="s">
        <v>1241</v>
      </c>
      <c r="G132" s="104">
        <v>5</v>
      </c>
      <c r="H132" s="44">
        <v>8</v>
      </c>
      <c r="I132" s="39" t="s">
        <v>1244</v>
      </c>
      <c r="J132" s="39">
        <v>0</v>
      </c>
      <c r="K132" s="39">
        <v>0</v>
      </c>
      <c r="L132" s="39">
        <v>0</v>
      </c>
      <c r="M132" s="39" t="s">
        <v>1484</v>
      </c>
      <c r="N132" s="105" t="s">
        <v>1246</v>
      </c>
      <c r="O132" s="1" t="s">
        <v>1247</v>
      </c>
      <c r="P132" s="106" t="s">
        <v>1248</v>
      </c>
      <c r="Q132" s="39" t="s">
        <v>227</v>
      </c>
      <c r="R132" s="102" t="s">
        <v>1250</v>
      </c>
      <c r="S132" s="32"/>
    </row>
    <row r="133" spans="1:19" ht="15" x14ac:dyDescent="0.25">
      <c r="A133" s="39" t="s">
        <v>734</v>
      </c>
      <c r="B133" s="40" t="s">
        <v>735</v>
      </c>
      <c r="C133" s="39" t="s">
        <v>29</v>
      </c>
      <c r="D133" s="39" t="s">
        <v>271</v>
      </c>
      <c r="E133" s="44" t="s">
        <v>1252</v>
      </c>
      <c r="F133" s="44" t="s">
        <v>1277</v>
      </c>
      <c r="G133" s="44"/>
      <c r="H133" s="44"/>
      <c r="I133" s="39"/>
      <c r="J133" s="39"/>
      <c r="K133" s="39"/>
      <c r="L133" s="39"/>
      <c r="M133" s="39"/>
      <c r="N133" s="109" t="s">
        <v>1253</v>
      </c>
      <c r="O133" s="1" t="s">
        <v>1254</v>
      </c>
      <c r="P133" s="106" t="s">
        <v>1295</v>
      </c>
      <c r="Q133" s="39" t="s">
        <v>1308</v>
      </c>
      <c r="R133" s="102" t="s">
        <v>1250</v>
      </c>
      <c r="S133" s="32"/>
    </row>
    <row r="134" spans="1:19" ht="15" x14ac:dyDescent="0.25">
      <c r="A134" s="39" t="s">
        <v>1485</v>
      </c>
      <c r="B134" s="40" t="s">
        <v>568</v>
      </c>
      <c r="C134" s="39" t="s">
        <v>37</v>
      </c>
      <c r="D134" s="39" t="s">
        <v>271</v>
      </c>
      <c r="E134" s="44" t="s">
        <v>1252</v>
      </c>
      <c r="F134" s="44" t="s">
        <v>1283</v>
      </c>
      <c r="G134" s="44" t="s">
        <v>1267</v>
      </c>
      <c r="H134" s="44">
        <v>8</v>
      </c>
      <c r="I134" s="39" t="s">
        <v>1486</v>
      </c>
      <c r="J134" s="39">
        <v>0</v>
      </c>
      <c r="K134" s="39">
        <v>0</v>
      </c>
      <c r="L134" s="39">
        <v>0</v>
      </c>
      <c r="M134" s="39" t="s">
        <v>1347</v>
      </c>
      <c r="N134" s="109" t="s">
        <v>1253</v>
      </c>
      <c r="O134" s="1" t="s">
        <v>1254</v>
      </c>
      <c r="P134" s="106" t="s">
        <v>1287</v>
      </c>
      <c r="Q134" s="39" t="s">
        <v>227</v>
      </c>
      <c r="R134" s="102">
        <v>1</v>
      </c>
      <c r="S134" s="32"/>
    </row>
    <row r="135" spans="1:19" ht="15" x14ac:dyDescent="0.25">
      <c r="A135" s="39" t="s">
        <v>253</v>
      </c>
      <c r="B135" s="40" t="s">
        <v>254</v>
      </c>
      <c r="C135" s="39" t="s">
        <v>29</v>
      </c>
      <c r="D135" s="39" t="s">
        <v>227</v>
      </c>
      <c r="E135" s="44" t="s">
        <v>1240</v>
      </c>
      <c r="F135" s="44" t="s">
        <v>1283</v>
      </c>
      <c r="G135" s="111">
        <v>5</v>
      </c>
      <c r="H135" s="44">
        <v>2</v>
      </c>
      <c r="I135" s="39" t="s">
        <v>1313</v>
      </c>
      <c r="J135" s="39"/>
      <c r="K135" s="39"/>
      <c r="L135" s="39"/>
      <c r="M135" s="39" t="s">
        <v>1357</v>
      </c>
      <c r="N135" s="109" t="s">
        <v>1253</v>
      </c>
      <c r="O135" s="1" t="s">
        <v>1254</v>
      </c>
      <c r="P135" s="106" t="s">
        <v>1287</v>
      </c>
      <c r="Q135" s="39" t="s">
        <v>227</v>
      </c>
      <c r="R135" s="102">
        <v>1</v>
      </c>
    </row>
    <row r="136" spans="1:19" ht="15" x14ac:dyDescent="0.25">
      <c r="A136" s="39" t="s">
        <v>74</v>
      </c>
      <c r="B136" s="40" t="s">
        <v>75</v>
      </c>
      <c r="C136" s="39" t="s">
        <v>37</v>
      </c>
      <c r="D136" s="39" t="s">
        <v>271</v>
      </c>
      <c r="E136" s="44" t="s">
        <v>1240</v>
      </c>
      <c r="F136" s="44" t="s">
        <v>1277</v>
      </c>
      <c r="G136" s="44"/>
      <c r="H136" s="44"/>
      <c r="I136" s="39"/>
      <c r="J136" s="39"/>
      <c r="K136" s="39"/>
      <c r="L136" s="39"/>
      <c r="M136" s="39"/>
      <c r="N136" s="107" t="s">
        <v>1253</v>
      </c>
      <c r="O136" s="1" t="s">
        <v>1254</v>
      </c>
      <c r="P136" s="106" t="s">
        <v>1278</v>
      </c>
      <c r="Q136" s="39"/>
      <c r="R136" s="102" t="s">
        <v>1250</v>
      </c>
      <c r="S136" s="32"/>
    </row>
    <row r="137" spans="1:19" ht="15" x14ac:dyDescent="0.25">
      <c r="A137" s="39" t="s">
        <v>1487</v>
      </c>
      <c r="B137" s="40" t="s">
        <v>737</v>
      </c>
      <c r="C137" s="39" t="s">
        <v>29</v>
      </c>
      <c r="D137" s="39" t="s">
        <v>271</v>
      </c>
      <c r="E137" s="44" t="s">
        <v>1252</v>
      </c>
      <c r="F137" s="44" t="s">
        <v>1277</v>
      </c>
      <c r="G137" s="44" t="s">
        <v>1267</v>
      </c>
      <c r="H137" s="44">
        <v>2</v>
      </c>
      <c r="I137" s="39" t="s">
        <v>1293</v>
      </c>
      <c r="J137" s="39">
        <v>0</v>
      </c>
      <c r="K137" s="39">
        <v>0</v>
      </c>
      <c r="L137" s="39">
        <v>0</v>
      </c>
      <c r="M137" s="39" t="s">
        <v>1488</v>
      </c>
      <c r="N137" s="109" t="s">
        <v>1253</v>
      </c>
      <c r="O137" s="1" t="s">
        <v>1254</v>
      </c>
      <c r="P137" s="106" t="s">
        <v>1295</v>
      </c>
      <c r="Q137" s="39" t="s">
        <v>1308</v>
      </c>
      <c r="R137" s="102" t="s">
        <v>1250</v>
      </c>
      <c r="S137" s="32"/>
    </row>
    <row r="138" spans="1:19" ht="15" x14ac:dyDescent="0.25">
      <c r="A138" s="39" t="s">
        <v>69</v>
      </c>
      <c r="B138" s="40" t="s">
        <v>70</v>
      </c>
      <c r="C138" s="39" t="s">
        <v>37</v>
      </c>
      <c r="D138" s="39" t="s">
        <v>271</v>
      </c>
      <c r="E138" s="44" t="s">
        <v>1240</v>
      </c>
      <c r="F138" s="44" t="s">
        <v>1283</v>
      </c>
      <c r="G138" s="44">
        <v>5.5</v>
      </c>
      <c r="H138" s="44">
        <v>6</v>
      </c>
      <c r="I138" s="39" t="s">
        <v>1285</v>
      </c>
      <c r="J138" s="39">
        <v>0</v>
      </c>
      <c r="K138" s="39">
        <v>0</v>
      </c>
      <c r="L138" s="39">
        <v>0</v>
      </c>
      <c r="M138" s="39" t="s">
        <v>1489</v>
      </c>
      <c r="N138" s="105" t="s">
        <v>1246</v>
      </c>
      <c r="O138" s="1" t="s">
        <v>1247</v>
      </c>
      <c r="P138" s="106" t="s">
        <v>1287</v>
      </c>
      <c r="Q138" s="39" t="s">
        <v>227</v>
      </c>
      <c r="R138" s="102">
        <v>2</v>
      </c>
      <c r="S138" s="32"/>
    </row>
    <row r="139" spans="1:19" ht="15" x14ac:dyDescent="0.25">
      <c r="A139" s="39" t="s">
        <v>1490</v>
      </c>
      <c r="B139" s="40" t="s">
        <v>728</v>
      </c>
      <c r="C139" s="39" t="s">
        <v>29</v>
      </c>
      <c r="D139" s="39" t="s">
        <v>271</v>
      </c>
      <c r="E139" s="44" t="s">
        <v>1252</v>
      </c>
      <c r="F139" s="44" t="s">
        <v>1241</v>
      </c>
      <c r="G139" s="44" t="s">
        <v>1263</v>
      </c>
      <c r="H139" s="44">
        <v>4</v>
      </c>
      <c r="I139" s="39" t="s">
        <v>1257</v>
      </c>
      <c r="J139" s="39">
        <v>0</v>
      </c>
      <c r="K139" s="39">
        <v>0</v>
      </c>
      <c r="L139" s="39">
        <v>0</v>
      </c>
      <c r="M139" s="39" t="s">
        <v>1491</v>
      </c>
      <c r="N139" s="105" t="s">
        <v>1246</v>
      </c>
      <c r="O139" s="1" t="s">
        <v>1247</v>
      </c>
      <c r="P139" s="106" t="s">
        <v>1248</v>
      </c>
      <c r="Q139" s="39" t="s">
        <v>227</v>
      </c>
      <c r="R139" s="102" t="s">
        <v>1250</v>
      </c>
      <c r="S139" s="32"/>
    </row>
    <row r="140" spans="1:19" ht="15" x14ac:dyDescent="0.25">
      <c r="A140" s="39" t="s">
        <v>1492</v>
      </c>
      <c r="B140" s="40" t="s">
        <v>607</v>
      </c>
      <c r="C140" s="39" t="s">
        <v>29</v>
      </c>
      <c r="D140" s="30" t="s">
        <v>227</v>
      </c>
      <c r="E140" s="115" t="s">
        <v>1252</v>
      </c>
      <c r="F140" s="44" t="s">
        <v>1283</v>
      </c>
      <c r="G140" s="44"/>
      <c r="H140" s="44"/>
      <c r="I140" s="39"/>
      <c r="J140" s="39"/>
      <c r="K140" s="39"/>
      <c r="L140" s="39"/>
      <c r="M140" s="39"/>
      <c r="N140" s="109" t="s">
        <v>1253</v>
      </c>
      <c r="O140" s="1" t="s">
        <v>1254</v>
      </c>
      <c r="P140" s="106" t="s">
        <v>1287</v>
      </c>
      <c r="Q140" s="39" t="s">
        <v>1308</v>
      </c>
      <c r="R140" s="102">
        <v>0.12</v>
      </c>
      <c r="S140" s="32"/>
    </row>
    <row r="141" spans="1:19" ht="15" x14ac:dyDescent="0.25">
      <c r="A141" s="39" t="s">
        <v>1493</v>
      </c>
      <c r="B141" s="40" t="s">
        <v>430</v>
      </c>
      <c r="C141" s="39" t="s">
        <v>29</v>
      </c>
      <c r="D141" s="39" t="s">
        <v>271</v>
      </c>
      <c r="E141" s="44" t="s">
        <v>1252</v>
      </c>
      <c r="F141" s="44" t="s">
        <v>1277</v>
      </c>
      <c r="G141" s="44"/>
      <c r="H141" s="44"/>
      <c r="I141" s="39"/>
      <c r="J141" s="39"/>
      <c r="K141" s="39"/>
      <c r="L141" s="39"/>
      <c r="M141" s="39"/>
      <c r="N141" s="107" t="s">
        <v>1253</v>
      </c>
      <c r="O141" s="1" t="s">
        <v>1254</v>
      </c>
      <c r="P141" s="106" t="s">
        <v>1278</v>
      </c>
      <c r="Q141" s="39"/>
      <c r="R141" s="102" t="s">
        <v>1250</v>
      </c>
      <c r="S141" s="32"/>
    </row>
    <row r="142" spans="1:19" ht="15" x14ac:dyDescent="0.25">
      <c r="A142" s="39" t="s">
        <v>1494</v>
      </c>
      <c r="B142" s="40" t="s">
        <v>783</v>
      </c>
      <c r="C142" s="39" t="s">
        <v>29</v>
      </c>
      <c r="D142" s="39" t="s">
        <v>271</v>
      </c>
      <c r="E142" s="44" t="s">
        <v>1345</v>
      </c>
      <c r="F142" s="44" t="s">
        <v>1241</v>
      </c>
      <c r="G142" s="44" t="s">
        <v>1339</v>
      </c>
      <c r="H142" s="44">
        <v>4</v>
      </c>
      <c r="I142" s="39" t="s">
        <v>1257</v>
      </c>
      <c r="J142" s="39">
        <v>0</v>
      </c>
      <c r="K142" s="39">
        <v>0</v>
      </c>
      <c r="L142" s="39">
        <v>0</v>
      </c>
      <c r="M142" s="39" t="s">
        <v>1495</v>
      </c>
      <c r="N142" s="109" t="s">
        <v>1253</v>
      </c>
      <c r="O142" s="1" t="s">
        <v>1254</v>
      </c>
      <c r="P142" s="106" t="s">
        <v>1248</v>
      </c>
      <c r="Q142" s="39" t="s">
        <v>227</v>
      </c>
      <c r="R142" s="102" t="s">
        <v>1250</v>
      </c>
      <c r="S142" s="32"/>
    </row>
    <row r="143" spans="1:19" ht="15" x14ac:dyDescent="0.25">
      <c r="A143" s="41" t="s">
        <v>1496</v>
      </c>
      <c r="B143" s="40" t="s">
        <v>595</v>
      </c>
      <c r="C143" s="39" t="s">
        <v>29</v>
      </c>
      <c r="D143" s="39" t="s">
        <v>271</v>
      </c>
      <c r="E143" s="44" t="s">
        <v>1252</v>
      </c>
      <c r="F143" s="44" t="s">
        <v>1283</v>
      </c>
      <c r="G143" s="44"/>
      <c r="H143" s="44"/>
      <c r="I143" s="39" t="s">
        <v>1497</v>
      </c>
      <c r="J143" s="39"/>
      <c r="K143" s="39"/>
      <c r="L143" s="39"/>
      <c r="M143" s="39" t="s">
        <v>1498</v>
      </c>
      <c r="N143" s="105" t="s">
        <v>1246</v>
      </c>
      <c r="O143" s="1" t="s">
        <v>1247</v>
      </c>
      <c r="P143" s="106" t="s">
        <v>1287</v>
      </c>
      <c r="Q143" s="39" t="s">
        <v>227</v>
      </c>
      <c r="R143" s="102" t="s">
        <v>1250</v>
      </c>
      <c r="S143" s="32"/>
    </row>
    <row r="144" spans="1:19" ht="15" x14ac:dyDescent="0.25">
      <c r="A144" s="39" t="s">
        <v>80</v>
      </c>
      <c r="B144" s="40" t="s">
        <v>81</v>
      </c>
      <c r="C144" s="39" t="s">
        <v>37</v>
      </c>
      <c r="D144" s="39" t="s">
        <v>227</v>
      </c>
      <c r="E144" s="44" t="s">
        <v>1240</v>
      </c>
      <c r="F144" s="44" t="s">
        <v>1283</v>
      </c>
      <c r="G144" s="44" t="s">
        <v>1472</v>
      </c>
      <c r="H144" s="44">
        <v>4</v>
      </c>
      <c r="I144" s="39" t="s">
        <v>1285</v>
      </c>
      <c r="J144" s="39" t="s">
        <v>1499</v>
      </c>
      <c r="K144" s="39">
        <v>0</v>
      </c>
      <c r="L144" s="39">
        <v>0</v>
      </c>
      <c r="M144" s="39" t="s">
        <v>1500</v>
      </c>
      <c r="N144" s="105" t="s">
        <v>1246</v>
      </c>
      <c r="O144" s="1" t="s">
        <v>1247</v>
      </c>
      <c r="P144" s="106" t="s">
        <v>1287</v>
      </c>
      <c r="Q144" s="39" t="s">
        <v>227</v>
      </c>
      <c r="R144" s="102">
        <v>2</v>
      </c>
      <c r="S144" s="32"/>
    </row>
    <row r="145" spans="1:19" ht="15" x14ac:dyDescent="0.25">
      <c r="A145" s="39" t="s">
        <v>1501</v>
      </c>
      <c r="B145" s="40" t="s">
        <v>635</v>
      </c>
      <c r="C145" s="39" t="s">
        <v>29</v>
      </c>
      <c r="D145" s="39" t="s">
        <v>271</v>
      </c>
      <c r="E145" s="44" t="s">
        <v>1252</v>
      </c>
      <c r="F145" s="44"/>
      <c r="G145" s="44"/>
      <c r="H145" s="44"/>
      <c r="I145" s="39"/>
      <c r="J145" s="39"/>
      <c r="K145" s="39"/>
      <c r="L145" s="39"/>
      <c r="M145" s="39" t="s">
        <v>1502</v>
      </c>
      <c r="N145" s="105" t="s">
        <v>1246</v>
      </c>
      <c r="O145" s="1" t="s">
        <v>1247</v>
      </c>
      <c r="P145" s="106" t="s">
        <v>1299</v>
      </c>
      <c r="Q145" s="39" t="s">
        <v>227</v>
      </c>
      <c r="R145" s="102" t="s">
        <v>1250</v>
      </c>
    </row>
    <row r="146" spans="1:19" ht="15" x14ac:dyDescent="0.25">
      <c r="A146" s="39" t="s">
        <v>1503</v>
      </c>
      <c r="B146" s="40" t="s">
        <v>552</v>
      </c>
      <c r="C146" s="39" t="s">
        <v>29</v>
      </c>
      <c r="D146" s="39" t="s">
        <v>271</v>
      </c>
      <c r="E146" s="44" t="s">
        <v>1252</v>
      </c>
      <c r="F146" s="44" t="s">
        <v>1283</v>
      </c>
      <c r="G146" s="44"/>
      <c r="H146" s="44"/>
      <c r="I146" s="39"/>
      <c r="J146" s="39"/>
      <c r="K146" s="39"/>
      <c r="L146" s="39"/>
      <c r="M146" s="39"/>
      <c r="N146" s="39"/>
      <c r="O146" s="39"/>
      <c r="P146" s="106" t="s">
        <v>1287</v>
      </c>
      <c r="Q146" s="39" t="s">
        <v>1308</v>
      </c>
      <c r="R146" s="102" t="s">
        <v>1250</v>
      </c>
    </row>
    <row r="147" spans="1:19" ht="15" x14ac:dyDescent="0.25">
      <c r="A147" s="39" t="s">
        <v>1504</v>
      </c>
      <c r="B147" s="40" t="s">
        <v>593</v>
      </c>
      <c r="C147" s="39" t="s">
        <v>29</v>
      </c>
      <c r="D147" s="39" t="s">
        <v>271</v>
      </c>
      <c r="E147" s="44" t="s">
        <v>1252</v>
      </c>
      <c r="F147" s="44" t="s">
        <v>1283</v>
      </c>
      <c r="G147" s="44" t="s">
        <v>1505</v>
      </c>
      <c r="H147" s="44">
        <v>2</v>
      </c>
      <c r="I147" s="39" t="s">
        <v>1285</v>
      </c>
      <c r="J147" s="39">
        <v>0</v>
      </c>
      <c r="K147" s="39">
        <v>0</v>
      </c>
      <c r="L147" s="39">
        <v>0</v>
      </c>
      <c r="M147" s="39" t="s">
        <v>1506</v>
      </c>
      <c r="N147" s="109" t="s">
        <v>1253</v>
      </c>
      <c r="O147" s="1" t="s">
        <v>1254</v>
      </c>
      <c r="P147" s="106" t="s">
        <v>1287</v>
      </c>
      <c r="Q147" s="39" t="s">
        <v>227</v>
      </c>
      <c r="R147" s="102" t="s">
        <v>1250</v>
      </c>
      <c r="S147" s="32"/>
    </row>
    <row r="148" spans="1:19" ht="15" x14ac:dyDescent="0.25">
      <c r="A148" s="41" t="s">
        <v>1507</v>
      </c>
      <c r="B148" s="40" t="s">
        <v>542</v>
      </c>
      <c r="C148" s="39" t="s">
        <v>37</v>
      </c>
      <c r="D148" s="39" t="s">
        <v>271</v>
      </c>
      <c r="E148" s="44" t="s">
        <v>1252</v>
      </c>
      <c r="F148" s="44" t="s">
        <v>1283</v>
      </c>
      <c r="G148" s="44"/>
      <c r="H148" s="44"/>
      <c r="I148" s="39" t="s">
        <v>1285</v>
      </c>
      <c r="J148" s="39" t="s">
        <v>1284</v>
      </c>
      <c r="K148" s="39" t="s">
        <v>1432</v>
      </c>
      <c r="L148" s="39">
        <v>0</v>
      </c>
      <c r="M148" s="39" t="s">
        <v>1301</v>
      </c>
      <c r="N148" s="109" t="s">
        <v>1253</v>
      </c>
      <c r="O148" s="1" t="s">
        <v>1254</v>
      </c>
      <c r="P148" s="106" t="s">
        <v>1287</v>
      </c>
      <c r="Q148" s="39" t="s">
        <v>227</v>
      </c>
      <c r="R148" s="102" t="s">
        <v>1250</v>
      </c>
      <c r="S148" s="32"/>
    </row>
    <row r="149" spans="1:19" ht="15" x14ac:dyDescent="0.25">
      <c r="A149" s="39" t="s">
        <v>1508</v>
      </c>
      <c r="B149" s="40" t="s">
        <v>145</v>
      </c>
      <c r="C149" s="39" t="s">
        <v>37</v>
      </c>
      <c r="D149" s="39" t="s">
        <v>271</v>
      </c>
      <c r="E149" s="44" t="s">
        <v>1240</v>
      </c>
      <c r="F149" s="44" t="s">
        <v>1283</v>
      </c>
      <c r="G149" s="44">
        <v>5.5</v>
      </c>
      <c r="H149" s="44">
        <v>2</v>
      </c>
      <c r="I149" s="39" t="s">
        <v>1285</v>
      </c>
      <c r="J149" s="39">
        <v>0</v>
      </c>
      <c r="K149" s="39">
        <v>0</v>
      </c>
      <c r="L149" s="39">
        <v>0</v>
      </c>
      <c r="M149" s="39" t="s">
        <v>1301</v>
      </c>
      <c r="N149" s="109" t="s">
        <v>1253</v>
      </c>
      <c r="O149" s="1" t="s">
        <v>1254</v>
      </c>
      <c r="P149" s="106" t="s">
        <v>1287</v>
      </c>
      <c r="Q149" s="39" t="s">
        <v>227</v>
      </c>
      <c r="R149" s="102" t="s">
        <v>1250</v>
      </c>
      <c r="S149" s="32"/>
    </row>
    <row r="150" spans="1:19" ht="15" x14ac:dyDescent="0.25">
      <c r="A150" s="39" t="s">
        <v>1509</v>
      </c>
      <c r="B150" s="40" t="s">
        <v>341</v>
      </c>
      <c r="C150" s="39" t="s">
        <v>39</v>
      </c>
      <c r="D150" s="39" t="s">
        <v>271</v>
      </c>
      <c r="E150" s="44" t="s">
        <v>1252</v>
      </c>
      <c r="F150" s="44"/>
      <c r="G150" s="44" t="s">
        <v>1267</v>
      </c>
      <c r="H150" s="44">
        <v>0</v>
      </c>
      <c r="I150" s="39" t="s">
        <v>1268</v>
      </c>
      <c r="J150" s="39">
        <v>0</v>
      </c>
      <c r="K150" s="39">
        <v>0</v>
      </c>
      <c r="L150" s="39">
        <v>0</v>
      </c>
      <c r="M150" s="39" t="s">
        <v>1272</v>
      </c>
      <c r="N150" s="107" t="s">
        <v>1253</v>
      </c>
      <c r="O150" s="1" t="s">
        <v>1254</v>
      </c>
      <c r="P150" s="106" t="s">
        <v>1255</v>
      </c>
      <c r="Q150" s="39"/>
      <c r="R150" s="102" t="s">
        <v>1250</v>
      </c>
      <c r="S150" s="32"/>
    </row>
    <row r="151" spans="1:19" ht="15" x14ac:dyDescent="0.25">
      <c r="A151" s="39" t="s">
        <v>228</v>
      </c>
      <c r="B151" s="40" t="s">
        <v>229</v>
      </c>
      <c r="C151" s="39" t="s">
        <v>39</v>
      </c>
      <c r="D151" s="41" t="s">
        <v>227</v>
      </c>
      <c r="E151" s="44" t="s">
        <v>1300</v>
      </c>
      <c r="F151" s="44"/>
      <c r="G151" s="44"/>
      <c r="H151" s="44"/>
      <c r="I151" s="39"/>
      <c r="J151" s="39"/>
      <c r="K151" s="39"/>
      <c r="L151" s="39"/>
      <c r="M151" s="39"/>
      <c r="N151" s="107" t="s">
        <v>1253</v>
      </c>
      <c r="O151" s="1" t="s">
        <v>1254</v>
      </c>
      <c r="P151" s="106" t="s">
        <v>1255</v>
      </c>
      <c r="Q151" s="39"/>
      <c r="R151" s="102" t="s">
        <v>1250</v>
      </c>
      <c r="S151" s="32"/>
    </row>
    <row r="152" spans="1:19" ht="15" x14ac:dyDescent="0.25">
      <c r="A152" s="39" t="s">
        <v>261</v>
      </c>
      <c r="B152" s="40" t="s">
        <v>262</v>
      </c>
      <c r="C152" s="39" t="s">
        <v>37</v>
      </c>
      <c r="D152" s="39" t="s">
        <v>227</v>
      </c>
      <c r="E152" s="44" t="s">
        <v>1240</v>
      </c>
      <c r="F152" s="44" t="s">
        <v>1256</v>
      </c>
      <c r="G152" s="111">
        <v>7</v>
      </c>
      <c r="H152" s="110">
        <v>4</v>
      </c>
      <c r="I152" s="108" t="s">
        <v>1243</v>
      </c>
      <c r="J152" s="39">
        <v>0</v>
      </c>
      <c r="K152" s="39">
        <v>0</v>
      </c>
      <c r="L152" s="39">
        <v>0</v>
      </c>
      <c r="M152" s="39" t="s">
        <v>1429</v>
      </c>
      <c r="N152" s="105" t="s">
        <v>1246</v>
      </c>
      <c r="O152" s="1" t="s">
        <v>1247</v>
      </c>
      <c r="P152" s="106" t="s">
        <v>1248</v>
      </c>
      <c r="Q152" s="39" t="s">
        <v>227</v>
      </c>
      <c r="R152" s="102">
        <v>0.3</v>
      </c>
      <c r="S152" s="32"/>
    </row>
    <row r="153" spans="1:19" ht="15" x14ac:dyDescent="0.25">
      <c r="A153" s="41" t="s">
        <v>1510</v>
      </c>
      <c r="B153" s="40" t="s">
        <v>538</v>
      </c>
      <c r="C153" s="39" t="s">
        <v>29</v>
      </c>
      <c r="D153" s="39" t="s">
        <v>271</v>
      </c>
      <c r="E153" s="44" t="s">
        <v>1252</v>
      </c>
      <c r="F153" s="44" t="s">
        <v>1283</v>
      </c>
      <c r="G153" s="44">
        <v>5.5</v>
      </c>
      <c r="H153" s="44"/>
      <c r="I153" s="39" t="s">
        <v>1384</v>
      </c>
      <c r="J153" s="39" t="s">
        <v>1356</v>
      </c>
      <c r="K153" s="39" t="s">
        <v>1385</v>
      </c>
      <c r="L153" s="39" t="s">
        <v>1386</v>
      </c>
      <c r="M153" s="39" t="s">
        <v>1511</v>
      </c>
      <c r="N153" s="105" t="s">
        <v>1246</v>
      </c>
      <c r="O153" s="1" t="s">
        <v>1247</v>
      </c>
      <c r="P153" s="106" t="s">
        <v>1287</v>
      </c>
      <c r="Q153" s="39" t="s">
        <v>227</v>
      </c>
      <c r="R153" s="102" t="s">
        <v>1250</v>
      </c>
    </row>
    <row r="154" spans="1:19" ht="15" x14ac:dyDescent="0.25">
      <c r="A154" s="39" t="s">
        <v>1512</v>
      </c>
      <c r="B154" s="40" t="s">
        <v>544</v>
      </c>
      <c r="C154" s="39" t="s">
        <v>29</v>
      </c>
      <c r="D154" s="39" t="s">
        <v>271</v>
      </c>
      <c r="E154" s="44" t="s">
        <v>1252</v>
      </c>
      <c r="F154" s="44" t="s">
        <v>1283</v>
      </c>
      <c r="G154" s="44" t="s">
        <v>1472</v>
      </c>
      <c r="H154" s="44">
        <v>2</v>
      </c>
      <c r="I154" s="39" t="s">
        <v>1285</v>
      </c>
      <c r="J154" s="39" t="s">
        <v>1315</v>
      </c>
      <c r="K154" s="39" t="s">
        <v>1284</v>
      </c>
      <c r="L154" s="39" t="s">
        <v>1313</v>
      </c>
      <c r="M154" s="39" t="s">
        <v>1513</v>
      </c>
      <c r="N154" s="109" t="s">
        <v>1253</v>
      </c>
      <c r="O154" s="1" t="s">
        <v>1254</v>
      </c>
      <c r="P154" s="106" t="s">
        <v>1287</v>
      </c>
      <c r="Q154" s="39" t="s">
        <v>227</v>
      </c>
      <c r="R154" s="102" t="s">
        <v>1250</v>
      </c>
      <c r="S154" s="32"/>
    </row>
    <row r="155" spans="1:19" ht="15" x14ac:dyDescent="0.25">
      <c r="A155" s="39" t="s">
        <v>412</v>
      </c>
      <c r="B155" s="40" t="s">
        <v>413</v>
      </c>
      <c r="C155" s="39" t="s">
        <v>37</v>
      </c>
      <c r="D155" s="39" t="s">
        <v>271</v>
      </c>
      <c r="E155" s="44" t="s">
        <v>1252</v>
      </c>
      <c r="F155" s="44" t="s">
        <v>1277</v>
      </c>
      <c r="G155" s="44"/>
      <c r="H155" s="44"/>
      <c r="I155" s="39"/>
      <c r="J155" s="39"/>
      <c r="K155" s="39"/>
      <c r="L155" s="39"/>
      <c r="M155" s="39"/>
      <c r="N155" s="107" t="s">
        <v>1253</v>
      </c>
      <c r="O155" s="1" t="s">
        <v>1254</v>
      </c>
      <c r="P155" s="106" t="s">
        <v>1278</v>
      </c>
      <c r="Q155" s="39"/>
      <c r="R155" s="102" t="s">
        <v>1250</v>
      </c>
    </row>
    <row r="156" spans="1:19" ht="15" x14ac:dyDescent="0.25">
      <c r="A156" s="39" t="s">
        <v>1514</v>
      </c>
      <c r="B156" s="40" t="s">
        <v>745</v>
      </c>
      <c r="C156" s="39" t="s">
        <v>37</v>
      </c>
      <c r="D156" s="39" t="s">
        <v>271</v>
      </c>
      <c r="E156" s="44" t="s">
        <v>1252</v>
      </c>
      <c r="F156" s="44"/>
      <c r="G156" s="44"/>
      <c r="H156" s="44"/>
      <c r="I156" s="39"/>
      <c r="J156" s="39"/>
      <c r="K156" s="39"/>
      <c r="L156" s="39"/>
      <c r="M156" s="39" t="s">
        <v>1406</v>
      </c>
      <c r="N156" s="43" t="s">
        <v>1305</v>
      </c>
      <c r="O156" s="39" t="s">
        <v>1407</v>
      </c>
      <c r="P156" s="106" t="s">
        <v>1330</v>
      </c>
      <c r="Q156" s="39" t="s">
        <v>1308</v>
      </c>
      <c r="R156" s="102" t="s">
        <v>1250</v>
      </c>
      <c r="S156" s="32"/>
    </row>
    <row r="157" spans="1:19" ht="15" x14ac:dyDescent="0.25">
      <c r="A157" s="39" t="s">
        <v>1515</v>
      </c>
      <c r="B157" s="40" t="s">
        <v>743</v>
      </c>
      <c r="C157" s="39" t="s">
        <v>29</v>
      </c>
      <c r="D157" s="39" t="s">
        <v>271</v>
      </c>
      <c r="E157" s="44" t="s">
        <v>1252</v>
      </c>
      <c r="F157" s="44"/>
      <c r="G157" s="104">
        <v>5</v>
      </c>
      <c r="H157" s="44">
        <v>48</v>
      </c>
      <c r="I157" s="39" t="s">
        <v>1328</v>
      </c>
      <c r="J157" s="39">
        <v>0</v>
      </c>
      <c r="K157" s="39">
        <v>0</v>
      </c>
      <c r="L157" s="39">
        <v>0</v>
      </c>
      <c r="M157" s="39" t="s">
        <v>1406</v>
      </c>
      <c r="N157" s="43" t="s">
        <v>1305</v>
      </c>
      <c r="O157" s="39" t="s">
        <v>1407</v>
      </c>
      <c r="P157" s="106" t="s">
        <v>1330</v>
      </c>
      <c r="Q157" s="39" t="s">
        <v>1308</v>
      </c>
      <c r="R157" s="102" t="s">
        <v>1250</v>
      </c>
      <c r="S157" s="32"/>
    </row>
    <row r="158" spans="1:19" ht="15" x14ac:dyDescent="0.25">
      <c r="A158" s="39" t="s">
        <v>1516</v>
      </c>
      <c r="B158" s="40" t="s">
        <v>393</v>
      </c>
      <c r="C158" s="39" t="s">
        <v>39</v>
      </c>
      <c r="D158" s="39" t="s">
        <v>271</v>
      </c>
      <c r="E158" s="44" t="s">
        <v>1252</v>
      </c>
      <c r="F158" s="44" t="s">
        <v>1277</v>
      </c>
      <c r="G158" s="44"/>
      <c r="H158" s="44"/>
      <c r="I158" s="39"/>
      <c r="J158" s="39"/>
      <c r="K158" s="39"/>
      <c r="L158" s="39"/>
      <c r="M158" s="39" t="s">
        <v>1517</v>
      </c>
      <c r="N158" s="105" t="s">
        <v>1246</v>
      </c>
      <c r="O158" s="1" t="s">
        <v>1247</v>
      </c>
      <c r="P158" s="106" t="s">
        <v>1278</v>
      </c>
      <c r="Q158" s="39" t="s">
        <v>227</v>
      </c>
      <c r="R158" s="102" t="s">
        <v>1250</v>
      </c>
      <c r="S158" s="32"/>
    </row>
    <row r="159" spans="1:19" ht="15" x14ac:dyDescent="0.25">
      <c r="A159" s="41" t="s">
        <v>1518</v>
      </c>
      <c r="B159" s="40" t="s">
        <v>500</v>
      </c>
      <c r="C159" s="39" t="s">
        <v>37</v>
      </c>
      <c r="D159" s="39" t="s">
        <v>271</v>
      </c>
      <c r="E159" s="44" t="s">
        <v>1252</v>
      </c>
      <c r="F159" s="44" t="s">
        <v>1283</v>
      </c>
      <c r="G159" s="104">
        <v>5</v>
      </c>
      <c r="H159" s="44"/>
      <c r="I159" s="39" t="s">
        <v>1285</v>
      </c>
      <c r="J159" s="39"/>
      <c r="K159" s="39"/>
      <c r="L159" s="39"/>
      <c r="M159" s="39" t="s">
        <v>1457</v>
      </c>
      <c r="N159" s="109" t="s">
        <v>1253</v>
      </c>
      <c r="O159" s="1" t="s">
        <v>1254</v>
      </c>
      <c r="P159" s="106" t="s">
        <v>1287</v>
      </c>
      <c r="Q159" s="39" t="s">
        <v>227</v>
      </c>
      <c r="R159" s="102" t="s">
        <v>1250</v>
      </c>
    </row>
    <row r="160" spans="1:19" ht="15" x14ac:dyDescent="0.25">
      <c r="A160" s="39" t="s">
        <v>1519</v>
      </c>
      <c r="B160" s="40" t="s">
        <v>331</v>
      </c>
      <c r="C160" s="39" t="s">
        <v>332</v>
      </c>
      <c r="D160" s="39" t="s">
        <v>271</v>
      </c>
      <c r="E160" s="44" t="s">
        <v>1252</v>
      </c>
      <c r="F160" s="44"/>
      <c r="G160" s="44"/>
      <c r="H160" s="44"/>
      <c r="I160" s="39"/>
      <c r="J160" s="39"/>
      <c r="K160" s="39"/>
      <c r="L160" s="39"/>
      <c r="M160" s="39"/>
      <c r="N160" s="107" t="s">
        <v>1253</v>
      </c>
      <c r="O160" s="1" t="s">
        <v>1254</v>
      </c>
      <c r="P160" s="106" t="s">
        <v>1255</v>
      </c>
      <c r="Q160" s="39"/>
      <c r="R160" s="102" t="s">
        <v>1250</v>
      </c>
    </row>
    <row r="161" spans="1:19" ht="15" x14ac:dyDescent="0.25">
      <c r="A161" s="39" t="s">
        <v>1520</v>
      </c>
      <c r="B161" s="40" t="s">
        <v>639</v>
      </c>
      <c r="C161" s="39" t="s">
        <v>29</v>
      </c>
      <c r="D161" s="39" t="s">
        <v>271</v>
      </c>
      <c r="E161" s="44" t="s">
        <v>1252</v>
      </c>
      <c r="F161" s="44"/>
      <c r="G161" s="44"/>
      <c r="H161" s="44"/>
      <c r="I161" s="39"/>
      <c r="J161" s="39"/>
      <c r="K161" s="39"/>
      <c r="L161" s="39"/>
      <c r="M161" s="39" t="s">
        <v>1521</v>
      </c>
      <c r="N161" s="105" t="s">
        <v>1246</v>
      </c>
      <c r="O161" s="1" t="s">
        <v>1247</v>
      </c>
      <c r="P161" s="106" t="s">
        <v>1299</v>
      </c>
      <c r="Q161" s="39" t="s">
        <v>227</v>
      </c>
      <c r="R161" s="102" t="s">
        <v>1250</v>
      </c>
      <c r="S161" s="32"/>
    </row>
    <row r="162" spans="1:19" ht="15" x14ac:dyDescent="0.25">
      <c r="A162" s="39" t="s">
        <v>1332</v>
      </c>
      <c r="B162" s="40" t="s">
        <v>657</v>
      </c>
      <c r="C162" s="39" t="s">
        <v>29</v>
      </c>
      <c r="D162" s="39" t="s">
        <v>271</v>
      </c>
      <c r="E162" s="44" t="s">
        <v>1252</v>
      </c>
      <c r="F162" s="44"/>
      <c r="G162" s="44" t="s">
        <v>1522</v>
      </c>
      <c r="H162" s="44">
        <v>4</v>
      </c>
      <c r="I162" s="39" t="s">
        <v>1523</v>
      </c>
      <c r="J162" s="39">
        <v>0</v>
      </c>
      <c r="K162" s="39">
        <v>0</v>
      </c>
      <c r="L162" s="39">
        <v>0</v>
      </c>
      <c r="M162" s="39" t="s">
        <v>1524</v>
      </c>
      <c r="N162" s="109" t="s">
        <v>1253</v>
      </c>
      <c r="O162" s="1" t="s">
        <v>1254</v>
      </c>
      <c r="P162" s="106" t="s">
        <v>1299</v>
      </c>
      <c r="Q162" s="39" t="s">
        <v>227</v>
      </c>
      <c r="R162" s="102" t="s">
        <v>1250</v>
      </c>
      <c r="S162" s="32"/>
    </row>
    <row r="163" spans="1:19" ht="15" x14ac:dyDescent="0.25">
      <c r="A163" s="39" t="s">
        <v>1525</v>
      </c>
      <c r="B163" s="40" t="s">
        <v>649</v>
      </c>
      <c r="C163" s="39" t="s">
        <v>29</v>
      </c>
      <c r="D163" s="39" t="s">
        <v>271</v>
      </c>
      <c r="E163" s="44" t="s">
        <v>1252</v>
      </c>
      <c r="F163" s="44"/>
      <c r="G163" s="44"/>
      <c r="H163" s="44"/>
      <c r="I163" s="39"/>
      <c r="J163" s="39"/>
      <c r="K163" s="39"/>
      <c r="L163" s="39"/>
      <c r="M163" s="39" t="s">
        <v>1526</v>
      </c>
      <c r="N163" s="105" t="s">
        <v>1246</v>
      </c>
      <c r="O163" s="1" t="s">
        <v>1247</v>
      </c>
      <c r="P163" s="106" t="s">
        <v>1299</v>
      </c>
      <c r="Q163" s="39" t="s">
        <v>227</v>
      </c>
      <c r="R163" s="102" t="s">
        <v>1250</v>
      </c>
      <c r="S163" s="32"/>
    </row>
    <row r="164" spans="1:19" ht="15" x14ac:dyDescent="0.25">
      <c r="A164" s="39" t="s">
        <v>1527</v>
      </c>
      <c r="B164" s="40" t="s">
        <v>546</v>
      </c>
      <c r="C164" s="39" t="s">
        <v>29</v>
      </c>
      <c r="D164" s="39" t="s">
        <v>271</v>
      </c>
      <c r="E164" s="44" t="s">
        <v>1252</v>
      </c>
      <c r="F164" s="44" t="s">
        <v>1283</v>
      </c>
      <c r="G164" s="104">
        <v>5</v>
      </c>
      <c r="H164" s="44">
        <v>2</v>
      </c>
      <c r="I164" s="39" t="s">
        <v>1313</v>
      </c>
      <c r="J164" s="39">
        <v>0</v>
      </c>
      <c r="K164" s="39">
        <v>0</v>
      </c>
      <c r="L164" s="39">
        <v>0</v>
      </c>
      <c r="M164" s="39" t="s">
        <v>1357</v>
      </c>
      <c r="N164" s="109" t="s">
        <v>1253</v>
      </c>
      <c r="O164" s="1" t="s">
        <v>1254</v>
      </c>
      <c r="P164" s="106" t="s">
        <v>1287</v>
      </c>
      <c r="Q164" s="39" t="s">
        <v>227</v>
      </c>
      <c r="R164" s="102">
        <v>0.6</v>
      </c>
      <c r="S164" s="32"/>
    </row>
    <row r="165" spans="1:19" ht="15" x14ac:dyDescent="0.25">
      <c r="A165" s="39" t="s">
        <v>1528</v>
      </c>
      <c r="B165" s="40" t="s">
        <v>633</v>
      </c>
      <c r="C165" s="39" t="s">
        <v>29</v>
      </c>
      <c r="D165" s="39" t="s">
        <v>271</v>
      </c>
      <c r="E165" s="44" t="s">
        <v>1252</v>
      </c>
      <c r="F165" s="44"/>
      <c r="G165" s="104">
        <v>5</v>
      </c>
      <c r="H165" s="44">
        <v>12</v>
      </c>
      <c r="I165" s="39" t="s">
        <v>1297</v>
      </c>
      <c r="J165" s="39">
        <v>0</v>
      </c>
      <c r="K165" s="39">
        <v>0</v>
      </c>
      <c r="L165" s="39">
        <v>0</v>
      </c>
      <c r="M165" s="39" t="s">
        <v>1529</v>
      </c>
      <c r="N165" s="41" t="s">
        <v>1261</v>
      </c>
      <c r="O165" s="1" t="s">
        <v>1262</v>
      </c>
      <c r="P165" s="106" t="s">
        <v>1299</v>
      </c>
      <c r="Q165" s="39" t="s">
        <v>227</v>
      </c>
      <c r="R165" s="102" t="s">
        <v>1250</v>
      </c>
      <c r="S165" s="32"/>
    </row>
    <row r="166" spans="1:19" ht="15" x14ac:dyDescent="0.25">
      <c r="A166" s="39" t="s">
        <v>1530</v>
      </c>
      <c r="B166" s="40" t="s">
        <v>475</v>
      </c>
      <c r="C166" s="39" t="s">
        <v>29</v>
      </c>
      <c r="D166" s="39" t="s">
        <v>271</v>
      </c>
      <c r="E166" s="44" t="s">
        <v>1252</v>
      </c>
      <c r="F166" s="44"/>
      <c r="G166" s="44"/>
      <c r="H166" s="44"/>
      <c r="I166" s="39"/>
      <c r="J166" s="39"/>
      <c r="K166" s="39"/>
      <c r="L166" s="39"/>
      <c r="M166" s="39"/>
      <c r="N166" s="107" t="s">
        <v>1253</v>
      </c>
      <c r="O166" s="1" t="s">
        <v>1254</v>
      </c>
      <c r="P166" s="106" t="s">
        <v>1255</v>
      </c>
      <c r="Q166" s="39"/>
      <c r="R166" s="102" t="s">
        <v>1250</v>
      </c>
      <c r="S166" s="32"/>
    </row>
    <row r="167" spans="1:19" ht="15" x14ac:dyDescent="0.25">
      <c r="A167" s="39" t="s">
        <v>1531</v>
      </c>
      <c r="B167" s="40" t="s">
        <v>457</v>
      </c>
      <c r="C167" s="39" t="s">
        <v>37</v>
      </c>
      <c r="D167" s="39" t="s">
        <v>271</v>
      </c>
      <c r="E167" s="44" t="s">
        <v>1252</v>
      </c>
      <c r="F167" s="44"/>
      <c r="G167" s="44"/>
      <c r="H167" s="44"/>
      <c r="I167" s="39"/>
      <c r="J167" s="39"/>
      <c r="K167" s="39"/>
      <c r="L167" s="39"/>
      <c r="M167" s="39"/>
      <c r="N167" s="107" t="s">
        <v>1253</v>
      </c>
      <c r="O167" s="1" t="s">
        <v>1254</v>
      </c>
      <c r="P167" s="106" t="s">
        <v>1255</v>
      </c>
      <c r="Q167" s="39"/>
      <c r="R167" s="102" t="s">
        <v>1250</v>
      </c>
      <c r="S167" s="32"/>
    </row>
    <row r="168" spans="1:19" ht="15" x14ac:dyDescent="0.25">
      <c r="A168" s="39" t="s">
        <v>1532</v>
      </c>
      <c r="B168" s="40" t="s">
        <v>459</v>
      </c>
      <c r="C168" s="39" t="s">
        <v>39</v>
      </c>
      <c r="D168" s="39" t="s">
        <v>271</v>
      </c>
      <c r="E168" s="44" t="s">
        <v>1252</v>
      </c>
      <c r="F168" s="44"/>
      <c r="G168" s="44"/>
      <c r="H168" s="44"/>
      <c r="I168" s="39"/>
      <c r="J168" s="39"/>
      <c r="K168" s="39"/>
      <c r="L168" s="39"/>
      <c r="M168" s="39"/>
      <c r="N168" s="107" t="s">
        <v>1253</v>
      </c>
      <c r="O168" s="1" t="s">
        <v>1254</v>
      </c>
      <c r="P168" s="106" t="s">
        <v>1255</v>
      </c>
      <c r="Q168" s="39"/>
      <c r="R168" s="102" t="s">
        <v>1250</v>
      </c>
      <c r="S168" s="32"/>
    </row>
    <row r="169" spans="1:19" ht="15" x14ac:dyDescent="0.25">
      <c r="A169" s="39" t="s">
        <v>1533</v>
      </c>
      <c r="B169" s="40" t="s">
        <v>767</v>
      </c>
      <c r="C169" s="39" t="s">
        <v>37</v>
      </c>
      <c r="D169" s="39" t="s">
        <v>271</v>
      </c>
      <c r="E169" s="44" t="s">
        <v>1345</v>
      </c>
      <c r="F169" s="44" t="s">
        <v>1277</v>
      </c>
      <c r="G169" s="44"/>
      <c r="H169" s="44"/>
      <c r="I169" s="39"/>
      <c r="J169" s="39"/>
      <c r="K169" s="39"/>
      <c r="L169" s="39"/>
      <c r="M169" s="39"/>
      <c r="N169" s="107" t="s">
        <v>1253</v>
      </c>
      <c r="O169" s="1" t="s">
        <v>1254</v>
      </c>
      <c r="P169" s="106" t="s">
        <v>1278</v>
      </c>
      <c r="Q169" s="39"/>
      <c r="R169" s="102" t="s">
        <v>1250</v>
      </c>
      <c r="S169" s="32"/>
    </row>
    <row r="170" spans="1:19" ht="15" x14ac:dyDescent="0.25">
      <c r="A170" s="39" t="s">
        <v>1534</v>
      </c>
      <c r="B170" s="40" t="s">
        <v>373</v>
      </c>
      <c r="C170" s="39" t="s">
        <v>29</v>
      </c>
      <c r="D170" s="39" t="s">
        <v>271</v>
      </c>
      <c r="E170" s="44" t="s">
        <v>1252</v>
      </c>
      <c r="F170" s="44" t="s">
        <v>1277</v>
      </c>
      <c r="G170" s="44"/>
      <c r="H170" s="44"/>
      <c r="I170" s="39" t="s">
        <v>1535</v>
      </c>
      <c r="J170" s="39">
        <v>0</v>
      </c>
      <c r="K170" s="39">
        <v>0</v>
      </c>
      <c r="L170" s="39">
        <v>0</v>
      </c>
      <c r="M170" s="39"/>
      <c r="N170" s="107" t="s">
        <v>1253</v>
      </c>
      <c r="O170" s="1" t="s">
        <v>1254</v>
      </c>
      <c r="P170" s="106" t="s">
        <v>1278</v>
      </c>
      <c r="Q170" s="39"/>
      <c r="R170" s="102" t="s">
        <v>1250</v>
      </c>
      <c r="S170" s="32"/>
    </row>
    <row r="171" spans="1:19" ht="15" x14ac:dyDescent="0.25">
      <c r="A171" s="39" t="s">
        <v>437</v>
      </c>
      <c r="B171" s="40" t="s">
        <v>438</v>
      </c>
      <c r="C171" s="39" t="s">
        <v>29</v>
      </c>
      <c r="D171" s="39" t="s">
        <v>271</v>
      </c>
      <c r="E171" s="44" t="s">
        <v>1252</v>
      </c>
      <c r="F171" s="44" t="s">
        <v>1277</v>
      </c>
      <c r="G171" s="44" t="s">
        <v>1267</v>
      </c>
      <c r="H171" s="44">
        <v>0</v>
      </c>
      <c r="I171" s="39" t="s">
        <v>1536</v>
      </c>
      <c r="J171" s="39">
        <v>0</v>
      </c>
      <c r="K171" s="39">
        <v>0</v>
      </c>
      <c r="L171" s="39">
        <v>0</v>
      </c>
      <c r="M171" s="39" t="s">
        <v>1537</v>
      </c>
      <c r="N171" s="107" t="s">
        <v>1253</v>
      </c>
      <c r="O171" s="1" t="s">
        <v>1254</v>
      </c>
      <c r="P171" s="106" t="s">
        <v>1278</v>
      </c>
      <c r="Q171" s="39"/>
      <c r="R171" s="102" t="s">
        <v>1250</v>
      </c>
      <c r="S171" s="32"/>
    </row>
    <row r="172" spans="1:19" ht="15" x14ac:dyDescent="0.25">
      <c r="A172" s="39" t="s">
        <v>1538</v>
      </c>
      <c r="B172" s="40" t="s">
        <v>338</v>
      </c>
      <c r="C172" s="39" t="s">
        <v>339</v>
      </c>
      <c r="D172" s="39" t="s">
        <v>271</v>
      </c>
      <c r="E172" s="44" t="s">
        <v>1252</v>
      </c>
      <c r="F172" s="44"/>
      <c r="G172" s="44"/>
      <c r="H172" s="44"/>
      <c r="I172" s="39"/>
      <c r="J172" s="39"/>
      <c r="K172" s="39"/>
      <c r="L172" s="39"/>
      <c r="M172" s="39"/>
      <c r="N172" s="107" t="s">
        <v>1253</v>
      </c>
      <c r="O172" s="1" t="s">
        <v>1254</v>
      </c>
      <c r="P172" s="106" t="s">
        <v>1255</v>
      </c>
      <c r="Q172" s="39"/>
      <c r="R172" s="102" t="s">
        <v>1250</v>
      </c>
      <c r="S172" s="32"/>
    </row>
    <row r="173" spans="1:19" ht="15" x14ac:dyDescent="0.25">
      <c r="A173" s="39" t="s">
        <v>1539</v>
      </c>
      <c r="B173" s="40" t="s">
        <v>643</v>
      </c>
      <c r="C173" s="39" t="s">
        <v>29</v>
      </c>
      <c r="D173" s="39" t="s">
        <v>271</v>
      </c>
      <c r="E173" s="44" t="s">
        <v>1252</v>
      </c>
      <c r="F173" s="44"/>
      <c r="G173" s="44" t="s">
        <v>1540</v>
      </c>
      <c r="H173" s="44">
        <v>4</v>
      </c>
      <c r="I173" s="39" t="s">
        <v>1541</v>
      </c>
      <c r="J173" s="39">
        <v>0</v>
      </c>
      <c r="K173" s="39">
        <v>0</v>
      </c>
      <c r="L173" s="39">
        <v>0</v>
      </c>
      <c r="M173" s="39" t="s">
        <v>1542</v>
      </c>
      <c r="N173" s="109" t="s">
        <v>1253</v>
      </c>
      <c r="O173" s="1" t="s">
        <v>1254</v>
      </c>
      <c r="P173" s="106" t="s">
        <v>1299</v>
      </c>
      <c r="Q173" s="39" t="s">
        <v>227</v>
      </c>
      <c r="R173" s="102" t="s">
        <v>1250</v>
      </c>
      <c r="S173" s="32"/>
    </row>
    <row r="174" spans="1:19" ht="15" x14ac:dyDescent="0.25">
      <c r="A174" s="39" t="s">
        <v>1543</v>
      </c>
      <c r="B174" s="40" t="s">
        <v>705</v>
      </c>
      <c r="C174" s="39" t="s">
        <v>29</v>
      </c>
      <c r="D174" s="39" t="s">
        <v>271</v>
      </c>
      <c r="E174" s="44" t="s">
        <v>1252</v>
      </c>
      <c r="F174" s="44" t="s">
        <v>1241</v>
      </c>
      <c r="G174" s="44"/>
      <c r="H174" s="44"/>
      <c r="I174" s="39"/>
      <c r="J174" s="39"/>
      <c r="K174" s="39"/>
      <c r="L174" s="39"/>
      <c r="M174" s="39" t="s">
        <v>1544</v>
      </c>
      <c r="N174" s="105" t="s">
        <v>1246</v>
      </c>
      <c r="O174" s="1" t="s">
        <v>1247</v>
      </c>
      <c r="P174" s="106" t="s">
        <v>1248</v>
      </c>
      <c r="Q174" s="39" t="s">
        <v>227</v>
      </c>
      <c r="R174" s="102" t="s">
        <v>1250</v>
      </c>
      <c r="S174" s="32"/>
    </row>
    <row r="175" spans="1:19" ht="15" x14ac:dyDescent="0.25">
      <c r="A175" s="39" t="s">
        <v>1545</v>
      </c>
      <c r="B175" s="40" t="s">
        <v>739</v>
      </c>
      <c r="C175" s="39" t="s">
        <v>29</v>
      </c>
      <c r="D175" s="39" t="s">
        <v>271</v>
      </c>
      <c r="E175" s="44" t="s">
        <v>1252</v>
      </c>
      <c r="F175" s="44" t="s">
        <v>1277</v>
      </c>
      <c r="G175" s="44"/>
      <c r="H175" s="44"/>
      <c r="I175" s="39" t="s">
        <v>1452</v>
      </c>
      <c r="J175" s="39">
        <v>0</v>
      </c>
      <c r="K175" s="39">
        <v>0</v>
      </c>
      <c r="L175" s="39">
        <v>0</v>
      </c>
      <c r="M175" s="39" t="s">
        <v>1546</v>
      </c>
      <c r="N175" s="109" t="s">
        <v>1253</v>
      </c>
      <c r="O175" s="1" t="s">
        <v>1254</v>
      </c>
      <c r="P175" s="106" t="s">
        <v>1295</v>
      </c>
      <c r="Q175" s="39" t="s">
        <v>227</v>
      </c>
      <c r="R175" s="102" t="s">
        <v>1250</v>
      </c>
      <c r="S175" s="32"/>
    </row>
    <row r="176" spans="1:19" ht="15" x14ac:dyDescent="0.25">
      <c r="A176" s="39" t="s">
        <v>843</v>
      </c>
      <c r="B176" s="40" t="s">
        <v>844</v>
      </c>
      <c r="C176" s="39" t="s">
        <v>37</v>
      </c>
      <c r="D176" s="39" t="s">
        <v>227</v>
      </c>
      <c r="E176" s="44" t="s">
        <v>1252</v>
      </c>
      <c r="F176" s="44" t="s">
        <v>1283</v>
      </c>
      <c r="G176" s="104">
        <v>7</v>
      </c>
      <c r="H176" s="39">
        <v>2</v>
      </c>
      <c r="I176" s="39" t="s">
        <v>1285</v>
      </c>
      <c r="J176" s="39">
        <v>0</v>
      </c>
      <c r="K176" s="39">
        <v>0</v>
      </c>
      <c r="L176" s="39">
        <v>0</v>
      </c>
      <c r="M176" s="39" t="s">
        <v>1547</v>
      </c>
      <c r="N176" s="109" t="s">
        <v>1253</v>
      </c>
      <c r="O176" s="1" t="s">
        <v>1254</v>
      </c>
      <c r="P176" s="106" t="s">
        <v>1287</v>
      </c>
      <c r="Q176" s="39" t="s">
        <v>227</v>
      </c>
      <c r="R176" s="102">
        <v>1.5</v>
      </c>
      <c r="S176" s="32"/>
    </row>
    <row r="177" spans="1:19" ht="15" x14ac:dyDescent="0.25">
      <c r="A177" s="39" t="s">
        <v>165</v>
      </c>
      <c r="B177" s="40" t="s">
        <v>146</v>
      </c>
      <c r="C177" s="39" t="s">
        <v>29</v>
      </c>
      <c r="D177" s="39" t="s">
        <v>271</v>
      </c>
      <c r="E177" s="44" t="s">
        <v>1300</v>
      </c>
      <c r="F177" s="44" t="s">
        <v>1241</v>
      </c>
      <c r="G177" s="104">
        <v>5</v>
      </c>
      <c r="H177" s="44">
        <v>8</v>
      </c>
      <c r="I177" s="39" t="s">
        <v>1244</v>
      </c>
      <c r="J177" s="39">
        <v>0</v>
      </c>
      <c r="K177" s="39">
        <v>0</v>
      </c>
      <c r="L177" s="39">
        <v>0</v>
      </c>
      <c r="M177" s="39" t="s">
        <v>1548</v>
      </c>
      <c r="N177" s="105" t="s">
        <v>1246</v>
      </c>
      <c r="O177" s="1" t="s">
        <v>1247</v>
      </c>
      <c r="P177" s="106" t="s">
        <v>1248</v>
      </c>
      <c r="Q177" s="39" t="s">
        <v>227</v>
      </c>
      <c r="R177" s="102" t="s">
        <v>1250</v>
      </c>
      <c r="S177" s="32"/>
    </row>
    <row r="178" spans="1:19" ht="15" x14ac:dyDescent="0.25">
      <c r="A178" s="39" t="s">
        <v>1549</v>
      </c>
      <c r="B178" s="40" t="s">
        <v>673</v>
      </c>
      <c r="C178" s="39" t="s">
        <v>29</v>
      </c>
      <c r="D178" s="39" t="s">
        <v>271</v>
      </c>
      <c r="E178" s="44" t="s">
        <v>1252</v>
      </c>
      <c r="F178" s="44" t="s">
        <v>1241</v>
      </c>
      <c r="G178" s="104">
        <v>5</v>
      </c>
      <c r="H178" s="44">
        <v>8</v>
      </c>
      <c r="I178" s="39" t="s">
        <v>1244</v>
      </c>
      <c r="J178" s="39">
        <v>0</v>
      </c>
      <c r="K178" s="39">
        <v>0</v>
      </c>
      <c r="L178" s="39">
        <v>0</v>
      </c>
      <c r="M178" s="39" t="s">
        <v>1548</v>
      </c>
      <c r="N178" s="105" t="s">
        <v>1246</v>
      </c>
      <c r="O178" s="1" t="s">
        <v>1247</v>
      </c>
      <c r="P178" s="106" t="s">
        <v>1248</v>
      </c>
      <c r="Q178" s="39" t="s">
        <v>227</v>
      </c>
      <c r="R178" s="102" t="s">
        <v>1250</v>
      </c>
      <c r="S178" s="32"/>
    </row>
    <row r="179" spans="1:19" ht="15" x14ac:dyDescent="0.25">
      <c r="A179" s="39" t="s">
        <v>151</v>
      </c>
      <c r="B179" s="40" t="s">
        <v>152</v>
      </c>
      <c r="C179" s="39" t="s">
        <v>29</v>
      </c>
      <c r="D179" s="39" t="s">
        <v>271</v>
      </c>
      <c r="E179" s="44" t="s">
        <v>1240</v>
      </c>
      <c r="F179" s="44" t="s">
        <v>1277</v>
      </c>
      <c r="G179" s="44" t="s">
        <v>1267</v>
      </c>
      <c r="H179" s="44">
        <v>0</v>
      </c>
      <c r="I179" s="39" t="s">
        <v>1268</v>
      </c>
      <c r="J179" s="39">
        <v>0</v>
      </c>
      <c r="K179" s="39">
        <v>0</v>
      </c>
      <c r="L179" s="39">
        <v>0</v>
      </c>
      <c r="M179" s="39" t="s">
        <v>1550</v>
      </c>
      <c r="N179" s="107" t="s">
        <v>1253</v>
      </c>
      <c r="O179" s="1" t="s">
        <v>1254</v>
      </c>
      <c r="P179" s="106" t="s">
        <v>1278</v>
      </c>
      <c r="Q179" s="39"/>
      <c r="R179" s="102" t="s">
        <v>1250</v>
      </c>
      <c r="S179" s="32"/>
    </row>
    <row r="180" spans="1:19" ht="15" x14ac:dyDescent="0.25">
      <c r="A180" s="39" t="s">
        <v>153</v>
      </c>
      <c r="B180" s="40" t="s">
        <v>154</v>
      </c>
      <c r="C180" s="39" t="s">
        <v>29</v>
      </c>
      <c r="D180" s="39" t="s">
        <v>271</v>
      </c>
      <c r="E180" s="44" t="s">
        <v>1240</v>
      </c>
      <c r="F180" s="44" t="s">
        <v>1277</v>
      </c>
      <c r="G180" s="44"/>
      <c r="H180" s="44"/>
      <c r="I180" s="39"/>
      <c r="J180" s="39"/>
      <c r="K180" s="39"/>
      <c r="L180" s="39"/>
      <c r="M180" s="39"/>
      <c r="N180" s="107" t="s">
        <v>1253</v>
      </c>
      <c r="O180" s="1" t="s">
        <v>1254</v>
      </c>
      <c r="P180" s="106" t="s">
        <v>1278</v>
      </c>
      <c r="Q180" s="39" t="s">
        <v>1308</v>
      </c>
      <c r="R180" s="102" t="s">
        <v>1250</v>
      </c>
      <c r="S180" s="32"/>
    </row>
    <row r="181" spans="1:19" ht="15" x14ac:dyDescent="0.25">
      <c r="A181" s="39" t="s">
        <v>50</v>
      </c>
      <c r="B181" s="40" t="s">
        <v>51</v>
      </c>
      <c r="C181" s="39" t="s">
        <v>29</v>
      </c>
      <c r="D181" s="39" t="s">
        <v>227</v>
      </c>
      <c r="E181" s="44" t="s">
        <v>1240</v>
      </c>
      <c r="F181" s="44" t="s">
        <v>1277</v>
      </c>
      <c r="G181" s="44" t="s">
        <v>1267</v>
      </c>
      <c r="H181" s="44">
        <v>0</v>
      </c>
      <c r="I181" s="39" t="s">
        <v>1268</v>
      </c>
      <c r="J181" s="39">
        <v>0</v>
      </c>
      <c r="K181" s="39">
        <v>0</v>
      </c>
      <c r="L181" s="39">
        <v>0</v>
      </c>
      <c r="M181" s="39" t="s">
        <v>1551</v>
      </c>
      <c r="N181" s="107" t="s">
        <v>1253</v>
      </c>
      <c r="O181" s="1" t="s">
        <v>1254</v>
      </c>
      <c r="P181" s="106" t="s">
        <v>1278</v>
      </c>
      <c r="Q181" s="39"/>
      <c r="R181" s="102" t="s">
        <v>1250</v>
      </c>
      <c r="S181" s="32"/>
    </row>
    <row r="182" spans="1:19" ht="15" x14ac:dyDescent="0.25">
      <c r="A182" s="39" t="s">
        <v>155</v>
      </c>
      <c r="B182" s="40" t="s">
        <v>156</v>
      </c>
      <c r="C182" s="39" t="s">
        <v>29</v>
      </c>
      <c r="D182" s="39" t="s">
        <v>271</v>
      </c>
      <c r="E182" s="44" t="s">
        <v>1240</v>
      </c>
      <c r="F182" s="44" t="s">
        <v>1277</v>
      </c>
      <c r="G182" s="44" t="s">
        <v>1267</v>
      </c>
      <c r="H182" s="44">
        <v>0</v>
      </c>
      <c r="I182" s="39" t="s">
        <v>1268</v>
      </c>
      <c r="J182" s="39">
        <v>0</v>
      </c>
      <c r="K182" s="39">
        <v>0</v>
      </c>
      <c r="L182" s="39">
        <v>0</v>
      </c>
      <c r="M182" s="39" t="s">
        <v>1552</v>
      </c>
      <c r="N182" s="107" t="s">
        <v>1253</v>
      </c>
      <c r="O182" s="1" t="s">
        <v>1254</v>
      </c>
      <c r="P182" s="106" t="s">
        <v>1278</v>
      </c>
      <c r="Q182" s="39"/>
      <c r="R182" s="102" t="s">
        <v>1250</v>
      </c>
      <c r="S182" s="32"/>
    </row>
    <row r="183" spans="1:19" ht="15" x14ac:dyDescent="0.25">
      <c r="A183" s="39" t="s">
        <v>52</v>
      </c>
      <c r="B183" s="40" t="s">
        <v>53</v>
      </c>
      <c r="C183" s="39" t="s">
        <v>29</v>
      </c>
      <c r="D183" s="39" t="s">
        <v>227</v>
      </c>
      <c r="E183" s="44" t="s">
        <v>1240</v>
      </c>
      <c r="F183" s="44" t="s">
        <v>1277</v>
      </c>
      <c r="G183" s="44" t="s">
        <v>1267</v>
      </c>
      <c r="H183" s="44">
        <v>0</v>
      </c>
      <c r="I183" s="39" t="s">
        <v>1268</v>
      </c>
      <c r="J183" s="39">
        <v>0</v>
      </c>
      <c r="K183" s="39">
        <v>0</v>
      </c>
      <c r="L183" s="39">
        <v>0</v>
      </c>
      <c r="M183" s="39" t="s">
        <v>1553</v>
      </c>
      <c r="N183" s="107" t="s">
        <v>1253</v>
      </c>
      <c r="O183" s="1" t="s">
        <v>1254</v>
      </c>
      <c r="P183" s="106" t="s">
        <v>1278</v>
      </c>
      <c r="Q183" s="39"/>
      <c r="R183" s="102" t="s">
        <v>1250</v>
      </c>
      <c r="S183" s="32"/>
    </row>
    <row r="184" spans="1:19" ht="15" x14ac:dyDescent="0.25">
      <c r="A184" s="39" t="s">
        <v>772</v>
      </c>
      <c r="B184" s="40" t="s">
        <v>773</v>
      </c>
      <c r="C184" s="39" t="s">
        <v>37</v>
      </c>
      <c r="D184" s="41" t="s">
        <v>227</v>
      </c>
      <c r="E184" s="44" t="s">
        <v>1345</v>
      </c>
      <c r="F184" s="44" t="s">
        <v>1277</v>
      </c>
      <c r="G184" s="44" t="s">
        <v>1267</v>
      </c>
      <c r="H184" s="44">
        <v>0</v>
      </c>
      <c r="I184" s="39" t="s">
        <v>1268</v>
      </c>
      <c r="J184" s="39">
        <v>0</v>
      </c>
      <c r="K184" s="39">
        <v>0</v>
      </c>
      <c r="L184" s="39">
        <v>0</v>
      </c>
      <c r="M184" s="39" t="s">
        <v>1554</v>
      </c>
      <c r="N184" s="107" t="s">
        <v>1253</v>
      </c>
      <c r="O184" s="1" t="s">
        <v>1254</v>
      </c>
      <c r="P184" s="106" t="s">
        <v>1278</v>
      </c>
      <c r="Q184" s="39"/>
      <c r="R184" s="102" t="s">
        <v>1250</v>
      </c>
      <c r="S184" s="32"/>
    </row>
    <row r="185" spans="1:19" ht="15" x14ac:dyDescent="0.25">
      <c r="A185" s="39" t="s">
        <v>1555</v>
      </c>
      <c r="B185" s="40" t="s">
        <v>347</v>
      </c>
      <c r="C185" s="39" t="s">
        <v>29</v>
      </c>
      <c r="D185" s="39" t="s">
        <v>271</v>
      </c>
      <c r="E185" s="44" t="s">
        <v>1252</v>
      </c>
      <c r="F185" s="44"/>
      <c r="G185" s="44"/>
      <c r="H185" s="44"/>
      <c r="I185" s="39"/>
      <c r="J185" s="39"/>
      <c r="K185" s="39"/>
      <c r="L185" s="39"/>
      <c r="M185" s="39"/>
      <c r="N185" s="107" t="s">
        <v>1253</v>
      </c>
      <c r="O185" s="1" t="s">
        <v>1254</v>
      </c>
      <c r="P185" s="106" t="s">
        <v>1255</v>
      </c>
      <c r="Q185" s="39"/>
      <c r="R185" s="102" t="s">
        <v>1250</v>
      </c>
      <c r="S185" s="32"/>
    </row>
    <row r="186" spans="1:19" ht="15" x14ac:dyDescent="0.25">
      <c r="A186" s="39" t="s">
        <v>1556</v>
      </c>
      <c r="B186" s="40" t="s">
        <v>741</v>
      </c>
      <c r="C186" s="39" t="s">
        <v>29</v>
      </c>
      <c r="D186" s="39" t="s">
        <v>271</v>
      </c>
      <c r="E186" s="44" t="s">
        <v>1252</v>
      </c>
      <c r="F186" s="44" t="s">
        <v>1277</v>
      </c>
      <c r="G186" s="44"/>
      <c r="H186" s="44"/>
      <c r="I186" s="39" t="s">
        <v>1557</v>
      </c>
      <c r="J186" s="39"/>
      <c r="K186" s="39">
        <v>0</v>
      </c>
      <c r="L186" s="39">
        <v>0</v>
      </c>
      <c r="M186" s="39"/>
      <c r="N186" s="109" t="s">
        <v>1253</v>
      </c>
      <c r="O186" s="1" t="s">
        <v>1254</v>
      </c>
      <c r="P186" s="106" t="s">
        <v>1295</v>
      </c>
      <c r="Q186" s="39" t="s">
        <v>1308</v>
      </c>
      <c r="R186" s="102" t="s">
        <v>1250</v>
      </c>
      <c r="S186" s="32"/>
    </row>
    <row r="187" spans="1:19" ht="15" x14ac:dyDescent="0.25">
      <c r="A187" s="39" t="s">
        <v>197</v>
      </c>
      <c r="B187" s="40" t="s">
        <v>198</v>
      </c>
      <c r="C187" s="39" t="s">
        <v>29</v>
      </c>
      <c r="D187" s="39" t="s">
        <v>271</v>
      </c>
      <c r="E187" s="44" t="s">
        <v>1240</v>
      </c>
      <c r="F187" s="44" t="s">
        <v>1241</v>
      </c>
      <c r="G187" s="44" t="s">
        <v>1505</v>
      </c>
      <c r="H187" s="44">
        <v>4</v>
      </c>
      <c r="I187" s="39" t="s">
        <v>1257</v>
      </c>
      <c r="J187" s="39">
        <v>0</v>
      </c>
      <c r="K187" s="39">
        <v>0</v>
      </c>
      <c r="L187" s="39">
        <v>0</v>
      </c>
      <c r="M187" s="39" t="s">
        <v>1558</v>
      </c>
      <c r="N187" s="105" t="s">
        <v>1246</v>
      </c>
      <c r="O187" s="1" t="s">
        <v>1247</v>
      </c>
      <c r="P187" s="106" t="s">
        <v>1248</v>
      </c>
      <c r="Q187" s="39" t="s">
        <v>227</v>
      </c>
      <c r="R187" s="102" t="s">
        <v>1250</v>
      </c>
      <c r="S187" s="32"/>
    </row>
    <row r="188" spans="1:19" ht="15" x14ac:dyDescent="0.25">
      <c r="A188" s="39" t="s">
        <v>1559</v>
      </c>
      <c r="B188" s="40" t="s">
        <v>647</v>
      </c>
      <c r="C188" s="39" t="s">
        <v>29</v>
      </c>
      <c r="D188" s="39" t="s">
        <v>271</v>
      </c>
      <c r="E188" s="44" t="s">
        <v>1252</v>
      </c>
      <c r="F188" s="44"/>
      <c r="G188" s="44"/>
      <c r="H188" s="44"/>
      <c r="I188" s="39"/>
      <c r="J188" s="39"/>
      <c r="K188" s="39"/>
      <c r="L188" s="39"/>
      <c r="M188" s="39" t="s">
        <v>1560</v>
      </c>
      <c r="N188" s="41" t="s">
        <v>1261</v>
      </c>
      <c r="O188" s="1" t="s">
        <v>1262</v>
      </c>
      <c r="P188" s="106" t="s">
        <v>1299</v>
      </c>
      <c r="Q188" s="39" t="s">
        <v>227</v>
      </c>
      <c r="R188" s="102" t="s">
        <v>1250</v>
      </c>
    </row>
    <row r="189" spans="1:19" ht="15" x14ac:dyDescent="0.25">
      <c r="A189" s="39" t="s">
        <v>1561</v>
      </c>
      <c r="B189" s="40" t="s">
        <v>508</v>
      </c>
      <c r="C189" s="39" t="s">
        <v>37</v>
      </c>
      <c r="D189" s="39" t="s">
        <v>227</v>
      </c>
      <c r="E189" s="44" t="s">
        <v>1252</v>
      </c>
      <c r="F189" s="44" t="s">
        <v>1283</v>
      </c>
      <c r="G189" s="104">
        <v>7</v>
      </c>
      <c r="H189" s="44">
        <v>4</v>
      </c>
      <c r="I189" s="39" t="s">
        <v>1562</v>
      </c>
      <c r="J189" s="39">
        <v>0</v>
      </c>
      <c r="K189" s="39">
        <v>0</v>
      </c>
      <c r="L189" s="39">
        <v>0</v>
      </c>
      <c r="M189" s="39" t="s">
        <v>1563</v>
      </c>
      <c r="N189" s="105" t="s">
        <v>1246</v>
      </c>
      <c r="O189" s="1" t="s">
        <v>1247</v>
      </c>
      <c r="P189" s="106" t="s">
        <v>1287</v>
      </c>
      <c r="Q189" s="39" t="s">
        <v>227</v>
      </c>
      <c r="R189" s="102">
        <v>2</v>
      </c>
      <c r="S189" s="32"/>
    </row>
    <row r="190" spans="1:19" ht="15" x14ac:dyDescent="0.25">
      <c r="A190" s="39" t="s">
        <v>76</v>
      </c>
      <c r="B190" s="40" t="s">
        <v>77</v>
      </c>
      <c r="C190" s="39" t="s">
        <v>29</v>
      </c>
      <c r="D190" s="39" t="s">
        <v>271</v>
      </c>
      <c r="E190" s="44" t="s">
        <v>1240</v>
      </c>
      <c r="F190" s="44" t="s">
        <v>1277</v>
      </c>
      <c r="G190" s="44"/>
      <c r="H190" s="44"/>
      <c r="I190" s="39"/>
      <c r="J190" s="39"/>
      <c r="K190" s="39"/>
      <c r="L190" s="39"/>
      <c r="M190" s="39"/>
      <c r="N190" s="107" t="s">
        <v>1253</v>
      </c>
      <c r="O190" s="1" t="s">
        <v>1254</v>
      </c>
      <c r="P190" s="106" t="s">
        <v>1278</v>
      </c>
      <c r="Q190" s="39"/>
      <c r="R190" s="102" t="s">
        <v>1250</v>
      </c>
    </row>
    <row r="191" spans="1:19" ht="15" x14ac:dyDescent="0.25">
      <c r="A191" s="41" t="s">
        <v>1564</v>
      </c>
      <c r="B191" s="40" t="s">
        <v>586</v>
      </c>
      <c r="C191" s="39" t="s">
        <v>37</v>
      </c>
      <c r="D191" s="39" t="s">
        <v>271</v>
      </c>
      <c r="E191" s="44" t="s">
        <v>1252</v>
      </c>
      <c r="F191" s="44" t="s">
        <v>1283</v>
      </c>
      <c r="G191" s="44"/>
      <c r="H191" s="44"/>
      <c r="I191" s="39" t="s">
        <v>1315</v>
      </c>
      <c r="J191" s="39" t="s">
        <v>1257</v>
      </c>
      <c r="K191" s="39"/>
      <c r="L191" s="39"/>
      <c r="M191" s="39" t="s">
        <v>1341</v>
      </c>
      <c r="N191" s="105" t="s">
        <v>1246</v>
      </c>
      <c r="O191" s="1" t="s">
        <v>1247</v>
      </c>
      <c r="P191" s="106" t="s">
        <v>1287</v>
      </c>
      <c r="Q191" s="39" t="s">
        <v>227</v>
      </c>
      <c r="R191" s="102" t="s">
        <v>1250</v>
      </c>
    </row>
    <row r="192" spans="1:19" ht="15" x14ac:dyDescent="0.25">
      <c r="A192" s="39" t="s">
        <v>251</v>
      </c>
      <c r="B192" s="40" t="s">
        <v>252</v>
      </c>
      <c r="C192" s="39" t="s">
        <v>29</v>
      </c>
      <c r="D192" s="39" t="s">
        <v>227</v>
      </c>
      <c r="E192" s="44" t="s">
        <v>1240</v>
      </c>
      <c r="F192" s="44" t="s">
        <v>1325</v>
      </c>
      <c r="G192" s="39">
        <v>5.5</v>
      </c>
      <c r="H192" s="44">
        <v>6</v>
      </c>
      <c r="I192" s="44" t="s">
        <v>1285</v>
      </c>
      <c r="J192" s="39" t="s">
        <v>1314</v>
      </c>
      <c r="K192" s="39"/>
      <c r="L192" s="39"/>
      <c r="M192" s="39" t="s">
        <v>1489</v>
      </c>
      <c r="N192" s="105" t="s">
        <v>1246</v>
      </c>
      <c r="O192" s="1" t="s">
        <v>1247</v>
      </c>
      <c r="P192" s="106" t="s">
        <v>1287</v>
      </c>
      <c r="Q192" s="39" t="s">
        <v>227</v>
      </c>
      <c r="R192" s="102">
        <v>2</v>
      </c>
    </row>
    <row r="193" spans="1:19" ht="15" x14ac:dyDescent="0.25">
      <c r="A193" s="41" t="s">
        <v>297</v>
      </c>
      <c r="B193" s="40" t="s">
        <v>296</v>
      </c>
      <c r="C193" s="39" t="s">
        <v>29</v>
      </c>
      <c r="D193" s="39" t="s">
        <v>227</v>
      </c>
      <c r="E193" s="44" t="s">
        <v>1252</v>
      </c>
      <c r="F193" s="44" t="s">
        <v>1283</v>
      </c>
      <c r="G193" s="111">
        <v>7</v>
      </c>
      <c r="H193" s="44"/>
      <c r="I193" s="39" t="s">
        <v>1285</v>
      </c>
      <c r="J193" s="39" t="s">
        <v>1314</v>
      </c>
      <c r="K193" s="39" t="s">
        <v>1284</v>
      </c>
      <c r="L193" s="39"/>
      <c r="M193" s="39" t="s">
        <v>1565</v>
      </c>
      <c r="N193" s="105" t="s">
        <v>1246</v>
      </c>
      <c r="O193" s="1" t="s">
        <v>1247</v>
      </c>
      <c r="P193" s="106" t="s">
        <v>1287</v>
      </c>
      <c r="Q193" s="39" t="s">
        <v>227</v>
      </c>
      <c r="R193" s="102">
        <v>1.6</v>
      </c>
    </row>
    <row r="194" spans="1:19" ht="15" x14ac:dyDescent="0.25">
      <c r="A194" s="39" t="s">
        <v>439</v>
      </c>
      <c r="B194" s="40" t="s">
        <v>440</v>
      </c>
      <c r="C194" s="39" t="s">
        <v>441</v>
      </c>
      <c r="D194" s="39" t="s">
        <v>271</v>
      </c>
      <c r="E194" s="44" t="s">
        <v>1252</v>
      </c>
      <c r="F194" s="44" t="s">
        <v>1277</v>
      </c>
      <c r="G194" s="44"/>
      <c r="H194" s="44"/>
      <c r="I194" s="39"/>
      <c r="J194" s="39"/>
      <c r="K194" s="39"/>
      <c r="L194" s="39"/>
      <c r="M194" s="39"/>
      <c r="N194" s="107" t="s">
        <v>1253</v>
      </c>
      <c r="O194" s="1" t="s">
        <v>1254</v>
      </c>
      <c r="P194" s="106" t="s">
        <v>1278</v>
      </c>
      <c r="Q194" s="39"/>
      <c r="R194" s="102" t="s">
        <v>1250</v>
      </c>
      <c r="S194" s="32"/>
    </row>
    <row r="195" spans="1:19" ht="15" x14ac:dyDescent="0.25">
      <c r="A195" s="39" t="s">
        <v>444</v>
      </c>
      <c r="B195" s="40" t="s">
        <v>445</v>
      </c>
      <c r="C195" s="39" t="s">
        <v>39</v>
      </c>
      <c r="D195" s="39" t="s">
        <v>271</v>
      </c>
      <c r="E195" s="44" t="s">
        <v>1252</v>
      </c>
      <c r="F195" s="44" t="s">
        <v>1277</v>
      </c>
      <c r="G195" s="44"/>
      <c r="H195" s="44"/>
      <c r="I195" s="39"/>
      <c r="J195" s="39"/>
      <c r="K195" s="39"/>
      <c r="L195" s="39"/>
      <c r="M195" s="39"/>
      <c r="N195" s="107" t="s">
        <v>1253</v>
      </c>
      <c r="O195" s="1" t="s">
        <v>1254</v>
      </c>
      <c r="P195" s="106" t="s">
        <v>1278</v>
      </c>
      <c r="Q195" s="39"/>
      <c r="R195" s="102" t="s">
        <v>1250</v>
      </c>
      <c r="S195" s="32"/>
    </row>
    <row r="196" spans="1:19" ht="15" x14ac:dyDescent="0.25">
      <c r="A196" s="39" t="s">
        <v>1566</v>
      </c>
      <c r="B196" s="40" t="s">
        <v>453</v>
      </c>
      <c r="C196" s="39" t="s">
        <v>37</v>
      </c>
      <c r="D196" s="39" t="s">
        <v>271</v>
      </c>
      <c r="E196" s="44" t="s">
        <v>1252</v>
      </c>
      <c r="F196" s="44"/>
      <c r="G196" s="44" t="s">
        <v>1267</v>
      </c>
      <c r="H196" s="44">
        <v>0</v>
      </c>
      <c r="I196" s="39" t="s">
        <v>1351</v>
      </c>
      <c r="J196" s="39">
        <v>0</v>
      </c>
      <c r="K196" s="39">
        <v>0</v>
      </c>
      <c r="L196" s="39">
        <v>0</v>
      </c>
      <c r="M196" s="39" t="s">
        <v>1567</v>
      </c>
      <c r="N196" s="107" t="s">
        <v>1253</v>
      </c>
      <c r="O196" s="1" t="s">
        <v>1254</v>
      </c>
      <c r="P196" s="106" t="s">
        <v>1255</v>
      </c>
      <c r="Q196" s="39"/>
      <c r="R196" s="102" t="s">
        <v>1250</v>
      </c>
      <c r="S196" s="32"/>
    </row>
    <row r="197" spans="1:19" ht="15" x14ac:dyDescent="0.25">
      <c r="A197" s="39" t="s">
        <v>723</v>
      </c>
      <c r="B197" s="40" t="s">
        <v>724</v>
      </c>
      <c r="C197" s="39" t="s">
        <v>29</v>
      </c>
      <c r="D197" s="39" t="s">
        <v>271</v>
      </c>
      <c r="E197" s="44" t="s">
        <v>1252</v>
      </c>
      <c r="F197" s="44" t="s">
        <v>1241</v>
      </c>
      <c r="G197" s="104">
        <v>7</v>
      </c>
      <c r="H197" s="110">
        <v>6</v>
      </c>
      <c r="I197" s="39" t="s">
        <v>1568</v>
      </c>
      <c r="J197" s="39">
        <v>0</v>
      </c>
      <c r="K197" s="39">
        <v>0</v>
      </c>
      <c r="L197" s="39">
        <v>0</v>
      </c>
      <c r="M197" s="39" t="s">
        <v>1569</v>
      </c>
      <c r="N197" s="105" t="s">
        <v>1246</v>
      </c>
      <c r="O197" s="1" t="s">
        <v>1247</v>
      </c>
      <c r="P197" s="106" t="s">
        <v>1248</v>
      </c>
      <c r="Q197" s="39" t="s">
        <v>227</v>
      </c>
      <c r="R197" s="102" t="s">
        <v>1250</v>
      </c>
    </row>
    <row r="198" spans="1:19" ht="15" x14ac:dyDescent="0.25">
      <c r="A198" s="39" t="s">
        <v>90</v>
      </c>
      <c r="B198" s="40" t="s">
        <v>91</v>
      </c>
      <c r="C198" s="39" t="s">
        <v>29</v>
      </c>
      <c r="D198" s="39" t="s">
        <v>227</v>
      </c>
      <c r="E198" s="44" t="s">
        <v>1240</v>
      </c>
      <c r="F198" s="44" t="s">
        <v>1241</v>
      </c>
      <c r="G198" s="104">
        <v>5</v>
      </c>
      <c r="H198" s="44">
        <v>8</v>
      </c>
      <c r="I198" s="39" t="s">
        <v>1242</v>
      </c>
      <c r="J198" s="39" t="s">
        <v>1290</v>
      </c>
      <c r="K198" s="39">
        <v>0</v>
      </c>
      <c r="L198" s="39">
        <v>0</v>
      </c>
      <c r="M198" s="39" t="s">
        <v>1570</v>
      </c>
      <c r="N198" s="41" t="s">
        <v>1261</v>
      </c>
      <c r="O198" s="1" t="s">
        <v>1262</v>
      </c>
      <c r="P198" s="106" t="s">
        <v>1248</v>
      </c>
      <c r="Q198" s="39" t="s">
        <v>227</v>
      </c>
      <c r="R198" s="102">
        <v>1</v>
      </c>
      <c r="S198" s="32"/>
    </row>
    <row r="199" spans="1:19" ht="15" x14ac:dyDescent="0.25">
      <c r="A199" s="39" t="s">
        <v>1571</v>
      </c>
      <c r="B199" s="40" t="s">
        <v>651</v>
      </c>
      <c r="C199" s="39" t="s">
        <v>29</v>
      </c>
      <c r="D199" s="39" t="s">
        <v>271</v>
      </c>
      <c r="E199" s="44" t="s">
        <v>1252</v>
      </c>
      <c r="F199" s="44"/>
      <c r="G199" s="44"/>
      <c r="H199" s="44"/>
      <c r="I199" s="39"/>
      <c r="J199" s="39"/>
      <c r="K199" s="39"/>
      <c r="L199" s="39"/>
      <c r="M199" s="39" t="s">
        <v>1572</v>
      </c>
      <c r="N199" s="109" t="s">
        <v>1253</v>
      </c>
      <c r="O199" s="1" t="s">
        <v>1254</v>
      </c>
      <c r="P199" s="106" t="s">
        <v>1299</v>
      </c>
      <c r="Q199" s="39" t="s">
        <v>227</v>
      </c>
      <c r="R199" s="102" t="s">
        <v>1250</v>
      </c>
      <c r="S199" s="32"/>
    </row>
    <row r="200" spans="1:19" ht="15" x14ac:dyDescent="0.25">
      <c r="A200" s="116" t="s">
        <v>1470</v>
      </c>
      <c r="B200" s="40" t="s">
        <v>124</v>
      </c>
      <c r="C200" s="39" t="s">
        <v>37</v>
      </c>
      <c r="D200" s="39" t="s">
        <v>227</v>
      </c>
      <c r="E200" s="44" t="s">
        <v>1240</v>
      </c>
      <c r="F200" s="44" t="s">
        <v>1325</v>
      </c>
      <c r="G200" s="104">
        <v>7</v>
      </c>
      <c r="H200" s="44">
        <v>4</v>
      </c>
      <c r="I200" s="39" t="s">
        <v>1285</v>
      </c>
      <c r="J200" s="39"/>
      <c r="K200" s="39"/>
      <c r="L200" s="39"/>
      <c r="M200" s="39" t="s">
        <v>1470</v>
      </c>
      <c r="N200" s="109" t="s">
        <v>1253</v>
      </c>
      <c r="O200" s="1" t="s">
        <v>1254</v>
      </c>
      <c r="P200" s="106" t="s">
        <v>1287</v>
      </c>
      <c r="Q200" s="39" t="s">
        <v>227</v>
      </c>
      <c r="R200" s="102">
        <v>1.5</v>
      </c>
      <c r="S200" s="32"/>
    </row>
    <row r="201" spans="1:19" ht="15" x14ac:dyDescent="0.25">
      <c r="A201" s="39" t="s">
        <v>1573</v>
      </c>
      <c r="B201" s="40" t="s">
        <v>126</v>
      </c>
      <c r="C201" s="39" t="s">
        <v>37</v>
      </c>
      <c r="D201" s="39" t="s">
        <v>227</v>
      </c>
      <c r="E201" s="44" t="s">
        <v>1240</v>
      </c>
      <c r="F201" s="44" t="s">
        <v>1241</v>
      </c>
      <c r="G201" s="44" t="s">
        <v>1267</v>
      </c>
      <c r="H201" s="44">
        <v>8</v>
      </c>
      <c r="I201" s="39" t="s">
        <v>1574</v>
      </c>
      <c r="J201" s="39">
        <v>0</v>
      </c>
      <c r="K201" s="39">
        <v>0</v>
      </c>
      <c r="L201" s="39">
        <v>0</v>
      </c>
      <c r="M201" s="39" t="s">
        <v>1575</v>
      </c>
      <c r="N201" s="105" t="s">
        <v>1246</v>
      </c>
      <c r="O201" s="1" t="s">
        <v>1247</v>
      </c>
      <c r="P201" s="106" t="s">
        <v>1248</v>
      </c>
      <c r="Q201" s="39" t="s">
        <v>227</v>
      </c>
      <c r="R201" s="102">
        <v>1.25</v>
      </c>
      <c r="S201" s="32"/>
    </row>
    <row r="202" spans="1:19" ht="15" x14ac:dyDescent="0.25">
      <c r="A202" s="39" t="s">
        <v>1576</v>
      </c>
      <c r="B202" s="40" t="s">
        <v>349</v>
      </c>
      <c r="C202" s="39" t="s">
        <v>39</v>
      </c>
      <c r="D202" s="39" t="s">
        <v>271</v>
      </c>
      <c r="E202" s="44" t="s">
        <v>1252</v>
      </c>
      <c r="F202" s="44"/>
      <c r="G202" s="44" t="s">
        <v>1267</v>
      </c>
      <c r="H202" s="44">
        <v>0</v>
      </c>
      <c r="I202" s="39" t="s">
        <v>1268</v>
      </c>
      <c r="J202" s="39">
        <v>0</v>
      </c>
      <c r="K202" s="39">
        <v>0</v>
      </c>
      <c r="L202" s="39">
        <v>0</v>
      </c>
      <c r="M202" s="39" t="s">
        <v>1577</v>
      </c>
      <c r="N202" s="107" t="s">
        <v>1253</v>
      </c>
      <c r="O202" s="1" t="s">
        <v>1254</v>
      </c>
      <c r="P202" s="106" t="s">
        <v>1255</v>
      </c>
      <c r="Q202" s="39"/>
      <c r="R202" s="102">
        <v>0.05</v>
      </c>
      <c r="S202" s="32"/>
    </row>
    <row r="203" spans="1:19" ht="15" x14ac:dyDescent="0.25">
      <c r="A203" s="39" t="s">
        <v>1578</v>
      </c>
      <c r="B203" s="40" t="s">
        <v>371</v>
      </c>
      <c r="C203" s="39" t="s">
        <v>29</v>
      </c>
      <c r="D203" s="39" t="s">
        <v>271</v>
      </c>
      <c r="E203" s="44" t="s">
        <v>1252</v>
      </c>
      <c r="F203" s="44" t="s">
        <v>1277</v>
      </c>
      <c r="G203" s="44" t="s">
        <v>1267</v>
      </c>
      <c r="H203" s="44">
        <v>0</v>
      </c>
      <c r="I203" s="39" t="s">
        <v>1278</v>
      </c>
      <c r="J203" s="39">
        <v>0</v>
      </c>
      <c r="K203" s="39">
        <v>0</v>
      </c>
      <c r="L203" s="39">
        <v>0</v>
      </c>
      <c r="M203" s="39" t="s">
        <v>1579</v>
      </c>
      <c r="N203" s="107" t="s">
        <v>1253</v>
      </c>
      <c r="O203" s="1" t="s">
        <v>1254</v>
      </c>
      <c r="P203" s="106" t="s">
        <v>1278</v>
      </c>
      <c r="Q203" s="39" t="s">
        <v>1308</v>
      </c>
      <c r="R203" s="102" t="s">
        <v>1250</v>
      </c>
      <c r="S203" s="32"/>
    </row>
    <row r="204" spans="1:19" ht="15" x14ac:dyDescent="0.25">
      <c r="A204" s="39" t="s">
        <v>1580</v>
      </c>
      <c r="B204" s="40" t="s">
        <v>510</v>
      </c>
      <c r="C204" s="39" t="s">
        <v>29</v>
      </c>
      <c r="D204" s="39" t="s">
        <v>271</v>
      </c>
      <c r="E204" s="44" t="s">
        <v>1252</v>
      </c>
      <c r="F204" s="44" t="s">
        <v>1283</v>
      </c>
      <c r="G204" s="104">
        <v>7</v>
      </c>
      <c r="H204" s="44">
        <v>2</v>
      </c>
      <c r="I204" s="39" t="s">
        <v>1321</v>
      </c>
      <c r="J204" s="39" t="s">
        <v>1312</v>
      </c>
      <c r="K204" s="39">
        <v>0</v>
      </c>
      <c r="L204" s="39">
        <v>0</v>
      </c>
      <c r="M204" s="39" t="s">
        <v>1581</v>
      </c>
      <c r="N204" s="109" t="s">
        <v>1253</v>
      </c>
      <c r="O204" s="1" t="s">
        <v>1254</v>
      </c>
      <c r="P204" s="106" t="s">
        <v>1287</v>
      </c>
      <c r="Q204" s="39"/>
      <c r="R204" s="102" t="s">
        <v>1250</v>
      </c>
      <c r="S204" s="32"/>
    </row>
    <row r="205" spans="1:19" ht="15" x14ac:dyDescent="0.25">
      <c r="A205" s="39" t="s">
        <v>189</v>
      </c>
      <c r="B205" s="40" t="s">
        <v>190</v>
      </c>
      <c r="C205" s="39" t="s">
        <v>29</v>
      </c>
      <c r="D205" s="39" t="s">
        <v>271</v>
      </c>
      <c r="E205" s="44" t="s">
        <v>1240</v>
      </c>
      <c r="F205" s="44" t="s">
        <v>1283</v>
      </c>
      <c r="G205" s="104">
        <v>5</v>
      </c>
      <c r="H205" s="44">
        <v>4</v>
      </c>
      <c r="I205" s="39" t="s">
        <v>1313</v>
      </c>
      <c r="J205" s="39" t="s">
        <v>1321</v>
      </c>
      <c r="K205" s="39">
        <v>0</v>
      </c>
      <c r="L205" s="39">
        <v>0</v>
      </c>
      <c r="M205" s="39" t="s">
        <v>1582</v>
      </c>
      <c r="N205" s="109" t="s">
        <v>1253</v>
      </c>
      <c r="O205" s="1" t="s">
        <v>1254</v>
      </c>
      <c r="P205" s="106" t="s">
        <v>1287</v>
      </c>
      <c r="Q205" s="39" t="s">
        <v>227</v>
      </c>
      <c r="R205" s="102" t="s">
        <v>1250</v>
      </c>
      <c r="S205" s="32"/>
    </row>
    <row r="206" spans="1:19" ht="15" x14ac:dyDescent="0.25">
      <c r="A206" s="39" t="s">
        <v>34</v>
      </c>
      <c r="B206" s="40" t="s">
        <v>35</v>
      </c>
      <c r="C206" s="39" t="s">
        <v>29</v>
      </c>
      <c r="D206" s="39" t="s">
        <v>227</v>
      </c>
      <c r="E206" s="44" t="s">
        <v>1240</v>
      </c>
      <c r="F206" s="44" t="s">
        <v>1241</v>
      </c>
      <c r="G206" s="104">
        <v>7</v>
      </c>
      <c r="H206" s="44">
        <v>24</v>
      </c>
      <c r="I206" s="39" t="s">
        <v>1244</v>
      </c>
      <c r="J206" s="39">
        <v>0</v>
      </c>
      <c r="K206" s="39">
        <v>0</v>
      </c>
      <c r="L206" s="39">
        <v>0</v>
      </c>
      <c r="M206" s="39" t="s">
        <v>1583</v>
      </c>
      <c r="N206" s="41" t="s">
        <v>1261</v>
      </c>
      <c r="O206" s="1" t="s">
        <v>1262</v>
      </c>
      <c r="P206" s="106" t="s">
        <v>1248</v>
      </c>
      <c r="Q206" s="39" t="s">
        <v>227</v>
      </c>
      <c r="R206" s="102">
        <v>1</v>
      </c>
    </row>
    <row r="207" spans="1:19" ht="15" x14ac:dyDescent="0.25">
      <c r="A207" s="39" t="s">
        <v>1584</v>
      </c>
      <c r="B207" s="40" t="s">
        <v>675</v>
      </c>
      <c r="C207" s="39" t="s">
        <v>37</v>
      </c>
      <c r="D207" s="39" t="s">
        <v>271</v>
      </c>
      <c r="E207" s="44" t="s">
        <v>1252</v>
      </c>
      <c r="F207" s="44" t="s">
        <v>1241</v>
      </c>
      <c r="G207" s="104">
        <v>7</v>
      </c>
      <c r="H207" s="44">
        <v>24</v>
      </c>
      <c r="I207" s="39" t="s">
        <v>1244</v>
      </c>
      <c r="J207" s="39">
        <v>0</v>
      </c>
      <c r="K207" s="39">
        <v>0</v>
      </c>
      <c r="L207" s="39">
        <v>0</v>
      </c>
      <c r="M207" s="39" t="s">
        <v>1583</v>
      </c>
      <c r="N207" s="41" t="s">
        <v>1261</v>
      </c>
      <c r="O207" s="1" t="s">
        <v>1262</v>
      </c>
      <c r="P207" s="106" t="s">
        <v>1248</v>
      </c>
      <c r="Q207" s="39" t="s">
        <v>227</v>
      </c>
      <c r="R207" s="102" t="s">
        <v>1250</v>
      </c>
    </row>
    <row r="208" spans="1:19" ht="15" x14ac:dyDescent="0.25">
      <c r="A208" s="39" t="s">
        <v>275</v>
      </c>
      <c r="B208" s="40" t="s">
        <v>276</v>
      </c>
      <c r="C208" s="39" t="s">
        <v>29</v>
      </c>
      <c r="D208" s="39" t="s">
        <v>271</v>
      </c>
      <c r="E208" s="44" t="s">
        <v>1300</v>
      </c>
      <c r="F208" s="44" t="s">
        <v>1277</v>
      </c>
      <c r="G208" s="44"/>
      <c r="H208" s="44"/>
      <c r="I208" s="39"/>
      <c r="J208" s="39"/>
      <c r="K208" s="39"/>
      <c r="L208" s="39"/>
      <c r="M208" s="39"/>
      <c r="N208" s="107" t="s">
        <v>1253</v>
      </c>
      <c r="O208" s="1" t="s">
        <v>1254</v>
      </c>
      <c r="P208" s="106" t="s">
        <v>1278</v>
      </c>
      <c r="Q208" s="39"/>
      <c r="R208" s="102" t="s">
        <v>1250</v>
      </c>
      <c r="S208" s="32"/>
    </row>
    <row r="209" spans="1:19" ht="15" x14ac:dyDescent="0.25">
      <c r="A209" s="39" t="s">
        <v>231</v>
      </c>
      <c r="B209" s="40" t="s">
        <v>232</v>
      </c>
      <c r="C209" s="39" t="s">
        <v>29</v>
      </c>
      <c r="D209" s="39" t="s">
        <v>227</v>
      </c>
      <c r="E209" s="44" t="s">
        <v>1240</v>
      </c>
      <c r="F209" s="44" t="s">
        <v>1277</v>
      </c>
      <c r="G209" s="44"/>
      <c r="H209" s="44"/>
      <c r="I209" s="39"/>
      <c r="J209" s="39"/>
      <c r="K209" s="39"/>
      <c r="L209" s="39"/>
      <c r="M209" s="39" t="s">
        <v>1585</v>
      </c>
      <c r="N209" s="107" t="s">
        <v>1253</v>
      </c>
      <c r="O209" s="1" t="s">
        <v>1254</v>
      </c>
      <c r="P209" s="106" t="s">
        <v>1278</v>
      </c>
      <c r="Q209" s="39" t="s">
        <v>1308</v>
      </c>
      <c r="R209" s="102">
        <v>1.5</v>
      </c>
      <c r="S209" s="32"/>
    </row>
    <row r="210" spans="1:19" ht="15" x14ac:dyDescent="0.25">
      <c r="A210" s="39" t="s">
        <v>235</v>
      </c>
      <c r="B210" s="40" t="s">
        <v>236</v>
      </c>
      <c r="C210" s="39" t="s">
        <v>29</v>
      </c>
      <c r="D210" s="39" t="s">
        <v>227</v>
      </c>
      <c r="E210" s="44" t="s">
        <v>1240</v>
      </c>
      <c r="F210" s="44" t="s">
        <v>1277</v>
      </c>
      <c r="G210" s="44"/>
      <c r="H210" s="44"/>
      <c r="I210" s="39"/>
      <c r="J210" s="39"/>
      <c r="K210" s="39"/>
      <c r="L210" s="39"/>
      <c r="M210" s="39"/>
      <c r="N210" s="107" t="s">
        <v>1253</v>
      </c>
      <c r="O210" s="1" t="s">
        <v>1254</v>
      </c>
      <c r="P210" s="106" t="s">
        <v>1278</v>
      </c>
      <c r="Q210" s="39"/>
      <c r="R210" s="102">
        <v>1</v>
      </c>
      <c r="S210" s="32"/>
    </row>
    <row r="211" spans="1:19" ht="15" x14ac:dyDescent="0.25">
      <c r="A211" s="39" t="s">
        <v>98</v>
      </c>
      <c r="B211" s="40" t="s">
        <v>99</v>
      </c>
      <c r="C211" s="39" t="s">
        <v>29</v>
      </c>
      <c r="D211" s="39" t="s">
        <v>227</v>
      </c>
      <c r="E211" s="44" t="s">
        <v>1240</v>
      </c>
      <c r="F211" s="44" t="s">
        <v>1241</v>
      </c>
      <c r="G211" s="44"/>
      <c r="H211" s="44"/>
      <c r="I211" s="39"/>
      <c r="J211" s="39"/>
      <c r="K211" s="39"/>
      <c r="L211" s="39"/>
      <c r="M211" s="39" t="s">
        <v>1586</v>
      </c>
      <c r="N211" s="43" t="s">
        <v>1305</v>
      </c>
      <c r="O211" s="39" t="s">
        <v>1306</v>
      </c>
      <c r="P211" s="106" t="s">
        <v>1248</v>
      </c>
      <c r="Q211" s="39" t="s">
        <v>1394</v>
      </c>
      <c r="R211" s="102">
        <f>ROUND(8.8/30,2)</f>
        <v>0.28999999999999998</v>
      </c>
      <c r="S211" s="32"/>
    </row>
    <row r="212" spans="1:19" ht="15" x14ac:dyDescent="0.25">
      <c r="A212" s="39" t="s">
        <v>147</v>
      </c>
      <c r="B212" s="40" t="s">
        <v>148</v>
      </c>
      <c r="C212" s="39" t="s">
        <v>37</v>
      </c>
      <c r="D212" s="39" t="s">
        <v>271</v>
      </c>
      <c r="E212" s="44" t="s">
        <v>1240</v>
      </c>
      <c r="F212" s="44" t="s">
        <v>1241</v>
      </c>
      <c r="G212" s="104">
        <v>6</v>
      </c>
      <c r="H212" s="44">
        <v>24</v>
      </c>
      <c r="I212" s="39" t="s">
        <v>1463</v>
      </c>
      <c r="J212" s="39" t="s">
        <v>1464</v>
      </c>
      <c r="K212" s="39">
        <v>0</v>
      </c>
      <c r="L212" s="39">
        <v>0</v>
      </c>
      <c r="M212" s="39" t="s">
        <v>1586</v>
      </c>
      <c r="N212" s="43" t="s">
        <v>1305</v>
      </c>
      <c r="O212" s="39" t="s">
        <v>1306</v>
      </c>
      <c r="P212" s="106" t="s">
        <v>1248</v>
      </c>
      <c r="Q212" s="39" t="s">
        <v>1394</v>
      </c>
      <c r="R212" s="102" t="s">
        <v>1250</v>
      </c>
      <c r="S212" s="32"/>
    </row>
    <row r="213" spans="1:19" ht="15" x14ac:dyDescent="0.25">
      <c r="A213" s="39" t="s">
        <v>1587</v>
      </c>
      <c r="B213" s="40" t="s">
        <v>777</v>
      </c>
      <c r="C213" s="39" t="s">
        <v>37</v>
      </c>
      <c r="D213" s="39" t="s">
        <v>271</v>
      </c>
      <c r="E213" s="44" t="s">
        <v>1345</v>
      </c>
      <c r="F213" s="44" t="s">
        <v>1283</v>
      </c>
      <c r="G213" s="44">
        <v>5.5</v>
      </c>
      <c r="H213" s="44">
        <v>4</v>
      </c>
      <c r="I213" s="39" t="s">
        <v>1285</v>
      </c>
      <c r="J213" s="39">
        <v>0</v>
      </c>
      <c r="K213" s="39">
        <v>0</v>
      </c>
      <c r="L213" s="39">
        <v>0</v>
      </c>
      <c r="M213" s="39" t="s">
        <v>1588</v>
      </c>
      <c r="N213" s="105" t="s">
        <v>1246</v>
      </c>
      <c r="O213" s="1" t="s">
        <v>1247</v>
      </c>
      <c r="P213" s="106" t="s">
        <v>1287</v>
      </c>
      <c r="Q213" s="39" t="s">
        <v>227</v>
      </c>
      <c r="R213" s="102" t="s">
        <v>1250</v>
      </c>
      <c r="S213" s="32"/>
    </row>
    <row r="214" spans="1:19" ht="15" x14ac:dyDescent="0.25">
      <c r="A214" s="39" t="s">
        <v>1589</v>
      </c>
      <c r="B214" s="40" t="s">
        <v>718</v>
      </c>
      <c r="C214" s="39" t="s">
        <v>29</v>
      </c>
      <c r="D214" s="39" t="s">
        <v>271</v>
      </c>
      <c r="E214" s="44" t="s">
        <v>1252</v>
      </c>
      <c r="F214" s="44" t="s">
        <v>1241</v>
      </c>
      <c r="G214" s="44"/>
      <c r="H214" s="44"/>
      <c r="I214" s="39"/>
      <c r="J214" s="39"/>
      <c r="K214" s="39"/>
      <c r="L214" s="39"/>
      <c r="M214" s="39"/>
      <c r="N214" s="39"/>
      <c r="O214" s="39"/>
      <c r="P214" s="106" t="s">
        <v>1248</v>
      </c>
      <c r="Q214" s="39" t="s">
        <v>1308</v>
      </c>
      <c r="R214" s="102" t="s">
        <v>1250</v>
      </c>
    </row>
    <row r="215" spans="1:19" ht="15" x14ac:dyDescent="0.25">
      <c r="A215" s="39" t="s">
        <v>1590</v>
      </c>
      <c r="B215" s="40" t="s">
        <v>597</v>
      </c>
      <c r="C215" s="39" t="s">
        <v>37</v>
      </c>
      <c r="D215" s="39" t="s">
        <v>227</v>
      </c>
      <c r="E215" s="44" t="s">
        <v>1252</v>
      </c>
      <c r="F215" s="44" t="s">
        <v>1283</v>
      </c>
      <c r="G215" s="104">
        <v>6</v>
      </c>
      <c r="H215" s="44">
        <v>2</v>
      </c>
      <c r="I215" s="39" t="s">
        <v>1285</v>
      </c>
      <c r="J215" s="39">
        <v>0</v>
      </c>
      <c r="K215" s="39">
        <v>0</v>
      </c>
      <c r="L215" s="39">
        <v>0</v>
      </c>
      <c r="M215" s="39" t="s">
        <v>1591</v>
      </c>
      <c r="N215" s="109" t="s">
        <v>1253</v>
      </c>
      <c r="O215" s="1" t="s">
        <v>1254</v>
      </c>
      <c r="P215" s="106" t="s">
        <v>1287</v>
      </c>
      <c r="Q215" s="39" t="s">
        <v>227</v>
      </c>
      <c r="R215" s="102">
        <v>0.8</v>
      </c>
    </row>
    <row r="216" spans="1:19" ht="15" x14ac:dyDescent="0.25">
      <c r="A216" s="39" t="s">
        <v>213</v>
      </c>
      <c r="B216" s="40" t="s">
        <v>278</v>
      </c>
      <c r="C216" s="39" t="s">
        <v>37</v>
      </c>
      <c r="D216" s="39" t="s">
        <v>271</v>
      </c>
      <c r="E216" s="44" t="s">
        <v>1240</v>
      </c>
      <c r="F216" s="44" t="s">
        <v>1283</v>
      </c>
      <c r="G216" s="44"/>
      <c r="H216" s="44"/>
      <c r="I216" s="39"/>
      <c r="J216" s="39"/>
      <c r="K216" s="39"/>
      <c r="L216" s="39"/>
      <c r="M216" s="39" t="s">
        <v>1588</v>
      </c>
      <c r="N216" s="105" t="s">
        <v>1246</v>
      </c>
      <c r="O216" s="1" t="s">
        <v>1247</v>
      </c>
      <c r="P216" s="106" t="s">
        <v>1287</v>
      </c>
      <c r="Q216" s="39" t="s">
        <v>227</v>
      </c>
      <c r="R216" s="102" t="s">
        <v>1250</v>
      </c>
    </row>
    <row r="217" spans="1:19" ht="15" x14ac:dyDescent="0.25">
      <c r="A217" s="41" t="s">
        <v>1592</v>
      </c>
      <c r="B217" s="40" t="s">
        <v>566</v>
      </c>
      <c r="C217" s="39" t="s">
        <v>29</v>
      </c>
      <c r="D217" s="39" t="s">
        <v>271</v>
      </c>
      <c r="E217" s="44" t="s">
        <v>1252</v>
      </c>
      <c r="F217" s="44" t="s">
        <v>1283</v>
      </c>
      <c r="G217" s="44"/>
      <c r="H217" s="44"/>
      <c r="I217" s="39" t="s">
        <v>1314</v>
      </c>
      <c r="J217" s="39" t="s">
        <v>1313</v>
      </c>
      <c r="K217" s="39" t="s">
        <v>1315</v>
      </c>
      <c r="L217" s="39" t="s">
        <v>1356</v>
      </c>
      <c r="M217" s="39" t="s">
        <v>1593</v>
      </c>
      <c r="N217" s="105" t="s">
        <v>1246</v>
      </c>
      <c r="O217" s="1" t="s">
        <v>1247</v>
      </c>
      <c r="P217" s="106" t="s">
        <v>1287</v>
      </c>
      <c r="Q217" s="39" t="s">
        <v>227</v>
      </c>
      <c r="R217" s="102" t="s">
        <v>1250</v>
      </c>
    </row>
    <row r="218" spans="1:19" ht="15" x14ac:dyDescent="0.25">
      <c r="A218" s="39" t="s">
        <v>1594</v>
      </c>
      <c r="B218" s="40" t="s">
        <v>687</v>
      </c>
      <c r="C218" s="39" t="s">
        <v>29</v>
      </c>
      <c r="D218" s="39" t="s">
        <v>271</v>
      </c>
      <c r="E218" s="44" t="s">
        <v>1252</v>
      </c>
      <c r="F218" s="44" t="s">
        <v>1241</v>
      </c>
      <c r="G218" s="44" t="s">
        <v>1263</v>
      </c>
      <c r="H218" s="44">
        <v>8</v>
      </c>
      <c r="I218" s="39" t="s">
        <v>1257</v>
      </c>
      <c r="J218" s="39">
        <v>0</v>
      </c>
      <c r="K218" s="39">
        <v>0</v>
      </c>
      <c r="L218" s="39">
        <v>0</v>
      </c>
      <c r="M218" s="39" t="s">
        <v>1595</v>
      </c>
      <c r="N218" s="105" t="s">
        <v>1246</v>
      </c>
      <c r="O218" s="1" t="s">
        <v>1247</v>
      </c>
      <c r="P218" s="106" t="s">
        <v>1248</v>
      </c>
      <c r="Q218" s="39" t="s">
        <v>227</v>
      </c>
      <c r="R218" s="102" t="s">
        <v>1250</v>
      </c>
    </row>
    <row r="219" spans="1:19" ht="15" x14ac:dyDescent="0.25">
      <c r="A219" s="39" t="s">
        <v>1596</v>
      </c>
      <c r="B219" s="40" t="s">
        <v>699</v>
      </c>
      <c r="C219" s="39" t="s">
        <v>29</v>
      </c>
      <c r="D219" s="39" t="s">
        <v>271</v>
      </c>
      <c r="E219" s="44" t="s">
        <v>1252</v>
      </c>
      <c r="F219" s="44" t="s">
        <v>1241</v>
      </c>
      <c r="G219" s="44" t="s">
        <v>1263</v>
      </c>
      <c r="H219" s="44">
        <v>8</v>
      </c>
      <c r="I219" s="39" t="s">
        <v>1257</v>
      </c>
      <c r="J219" s="39">
        <v>0</v>
      </c>
      <c r="K219" s="39">
        <v>0</v>
      </c>
      <c r="L219" s="39">
        <v>0</v>
      </c>
      <c r="M219" s="39" t="s">
        <v>1597</v>
      </c>
      <c r="N219" s="105" t="s">
        <v>1246</v>
      </c>
      <c r="O219" s="1" t="s">
        <v>1247</v>
      </c>
      <c r="P219" s="106" t="s">
        <v>1248</v>
      </c>
      <c r="Q219" s="39" t="s">
        <v>227</v>
      </c>
      <c r="R219" s="102" t="s">
        <v>1250</v>
      </c>
      <c r="S219" s="32"/>
    </row>
    <row r="220" spans="1:19" ht="15" x14ac:dyDescent="0.25">
      <c r="A220" s="39" t="s">
        <v>1598</v>
      </c>
      <c r="B220" s="40" t="s">
        <v>693</v>
      </c>
      <c r="C220" s="39" t="s">
        <v>29</v>
      </c>
      <c r="D220" s="39" t="s">
        <v>271</v>
      </c>
      <c r="E220" s="44" t="s">
        <v>1252</v>
      </c>
      <c r="F220" s="44" t="s">
        <v>1241</v>
      </c>
      <c r="G220" s="44"/>
      <c r="H220" s="44"/>
      <c r="I220" s="39"/>
      <c r="J220" s="39"/>
      <c r="K220" s="39"/>
      <c r="L220" s="39"/>
      <c r="M220" s="39" t="s">
        <v>1599</v>
      </c>
      <c r="N220" s="105" t="s">
        <v>1246</v>
      </c>
      <c r="O220" s="1" t="s">
        <v>1247</v>
      </c>
      <c r="P220" s="106" t="s">
        <v>1248</v>
      </c>
      <c r="Q220" s="39" t="s">
        <v>227</v>
      </c>
      <c r="R220" s="102" t="s">
        <v>1250</v>
      </c>
      <c r="S220" s="32"/>
    </row>
    <row r="221" spans="1:19" ht="15" x14ac:dyDescent="0.25">
      <c r="A221" s="39" t="s">
        <v>1600</v>
      </c>
      <c r="B221" s="40" t="s">
        <v>791</v>
      </c>
      <c r="C221" s="39" t="s">
        <v>29</v>
      </c>
      <c r="D221" s="39" t="s">
        <v>271</v>
      </c>
      <c r="E221" s="44" t="s">
        <v>1345</v>
      </c>
      <c r="F221" s="44"/>
      <c r="G221" s="44"/>
      <c r="H221" s="44"/>
      <c r="I221" s="39"/>
      <c r="J221" s="39"/>
      <c r="K221" s="39"/>
      <c r="L221" s="39"/>
      <c r="M221" s="39" t="s">
        <v>1601</v>
      </c>
      <c r="N221" s="41" t="s">
        <v>1261</v>
      </c>
      <c r="O221" s="1" t="s">
        <v>1262</v>
      </c>
      <c r="P221" s="106" t="s">
        <v>1330</v>
      </c>
      <c r="Q221" s="39" t="s">
        <v>1308</v>
      </c>
      <c r="R221" s="102" t="s">
        <v>1250</v>
      </c>
      <c r="S221" s="32"/>
    </row>
    <row r="222" spans="1:19" ht="15" x14ac:dyDescent="0.25">
      <c r="A222" s="39" t="s">
        <v>1602</v>
      </c>
      <c r="B222" s="40" t="s">
        <v>749</v>
      </c>
      <c r="C222" s="39" t="s">
        <v>37</v>
      </c>
      <c r="D222" s="39" t="s">
        <v>271</v>
      </c>
      <c r="E222" s="44" t="s">
        <v>1252</v>
      </c>
      <c r="F222" s="44"/>
      <c r="G222" s="44"/>
      <c r="H222" s="44"/>
      <c r="I222" s="39"/>
      <c r="J222" s="39"/>
      <c r="K222" s="39"/>
      <c r="L222" s="39"/>
      <c r="M222" s="39" t="s">
        <v>1601</v>
      </c>
      <c r="N222" s="41" t="s">
        <v>1261</v>
      </c>
      <c r="O222" s="1" t="s">
        <v>1262</v>
      </c>
      <c r="P222" s="106" t="s">
        <v>1330</v>
      </c>
      <c r="Q222" s="39" t="s">
        <v>1308</v>
      </c>
      <c r="R222" s="102" t="s">
        <v>1250</v>
      </c>
      <c r="S222" s="32"/>
    </row>
    <row r="223" spans="1:19" ht="15" x14ac:dyDescent="0.25">
      <c r="A223" s="39" t="s">
        <v>64</v>
      </c>
      <c r="B223" s="40" t="s">
        <v>36</v>
      </c>
      <c r="C223" s="39" t="s">
        <v>37</v>
      </c>
      <c r="D223" s="39" t="s">
        <v>227</v>
      </c>
      <c r="E223" s="44" t="s">
        <v>1240</v>
      </c>
      <c r="F223" s="44"/>
      <c r="G223" s="44" t="s">
        <v>1267</v>
      </c>
      <c r="H223" s="44">
        <v>0</v>
      </c>
      <c r="I223" s="39" t="s">
        <v>1268</v>
      </c>
      <c r="J223" s="39">
        <v>0</v>
      </c>
      <c r="K223" s="39">
        <v>0</v>
      </c>
      <c r="L223" s="39">
        <v>0</v>
      </c>
      <c r="M223" s="39" t="s">
        <v>1603</v>
      </c>
      <c r="N223" s="107" t="s">
        <v>1253</v>
      </c>
      <c r="O223" s="1" t="s">
        <v>1254</v>
      </c>
      <c r="P223" s="106" t="s">
        <v>1255</v>
      </c>
      <c r="Q223" s="39"/>
      <c r="R223" s="102" t="s">
        <v>1250</v>
      </c>
      <c r="S223" s="32"/>
    </row>
    <row r="224" spans="1:19" ht="15" x14ac:dyDescent="0.25">
      <c r="A224" s="39" t="s">
        <v>191</v>
      </c>
      <c r="B224" s="40" t="s">
        <v>192</v>
      </c>
      <c r="C224" s="39" t="s">
        <v>29</v>
      </c>
      <c r="D224" s="39" t="s">
        <v>271</v>
      </c>
      <c r="E224" s="44" t="s">
        <v>1240</v>
      </c>
      <c r="F224" s="44" t="s">
        <v>1241</v>
      </c>
      <c r="G224" s="104">
        <v>6</v>
      </c>
      <c r="H224" s="44">
        <v>4</v>
      </c>
      <c r="I224" s="39" t="s">
        <v>1290</v>
      </c>
      <c r="J224" s="39">
        <v>0</v>
      </c>
      <c r="K224" s="39">
        <v>0</v>
      </c>
      <c r="L224" s="39">
        <v>0</v>
      </c>
      <c r="M224" s="39" t="s">
        <v>1604</v>
      </c>
      <c r="N224" s="109" t="s">
        <v>1253</v>
      </c>
      <c r="O224" s="1" t="s">
        <v>1254</v>
      </c>
      <c r="P224" s="106" t="s">
        <v>1248</v>
      </c>
      <c r="Q224" s="39" t="s">
        <v>227</v>
      </c>
      <c r="R224" s="102" t="s">
        <v>1250</v>
      </c>
      <c r="S224" s="32"/>
    </row>
    <row r="225" spans="1:19" ht="15" x14ac:dyDescent="0.25">
      <c r="A225" s="41" t="s">
        <v>1605</v>
      </c>
      <c r="B225" s="40" t="s">
        <v>564</v>
      </c>
      <c r="C225" s="39" t="s">
        <v>37</v>
      </c>
      <c r="D225" s="39" t="s">
        <v>271</v>
      </c>
      <c r="E225" s="44" t="s">
        <v>1252</v>
      </c>
      <c r="F225" s="44" t="s">
        <v>1283</v>
      </c>
      <c r="G225" s="44" t="s">
        <v>1606</v>
      </c>
      <c r="H225" s="44"/>
      <c r="I225" s="39" t="s">
        <v>1355</v>
      </c>
      <c r="J225" s="39" t="s">
        <v>1432</v>
      </c>
      <c r="K225" s="39" t="s">
        <v>1356</v>
      </c>
      <c r="L225" s="39">
        <v>0</v>
      </c>
      <c r="M225" s="39"/>
      <c r="N225" s="39"/>
      <c r="O225" s="39"/>
      <c r="P225" s="106" t="s">
        <v>1287</v>
      </c>
      <c r="Q225" s="39" t="s">
        <v>1308</v>
      </c>
      <c r="R225" s="102" t="s">
        <v>1250</v>
      </c>
      <c r="S225" s="32"/>
    </row>
    <row r="226" spans="1:19" ht="15" x14ac:dyDescent="0.25">
      <c r="A226" s="39" t="s">
        <v>1607</v>
      </c>
      <c r="B226" s="40" t="s">
        <v>38</v>
      </c>
      <c r="C226" s="39" t="s">
        <v>39</v>
      </c>
      <c r="D226" s="39" t="s">
        <v>227</v>
      </c>
      <c r="E226" s="44" t="s">
        <v>1240</v>
      </c>
      <c r="F226" s="44"/>
      <c r="G226" s="44" t="s">
        <v>1267</v>
      </c>
      <c r="H226" s="44">
        <v>0</v>
      </c>
      <c r="I226" s="39" t="s">
        <v>1268</v>
      </c>
      <c r="J226" s="39">
        <v>0</v>
      </c>
      <c r="K226" s="39">
        <v>0</v>
      </c>
      <c r="L226" s="39">
        <v>0</v>
      </c>
      <c r="M226" s="39" t="s">
        <v>1608</v>
      </c>
      <c r="N226" s="107" t="s">
        <v>1253</v>
      </c>
      <c r="O226" s="1" t="s">
        <v>1254</v>
      </c>
      <c r="P226" s="106" t="s">
        <v>1255</v>
      </c>
      <c r="Q226" s="39"/>
      <c r="R226" s="102" t="s">
        <v>1250</v>
      </c>
      <c r="S226" s="32"/>
    </row>
    <row r="227" spans="1:19" ht="15" x14ac:dyDescent="0.25">
      <c r="A227" s="39" t="s">
        <v>1609</v>
      </c>
      <c r="B227" s="40" t="s">
        <v>42</v>
      </c>
      <c r="C227" s="39" t="s">
        <v>39</v>
      </c>
      <c r="D227" s="39" t="s">
        <v>227</v>
      </c>
      <c r="E227" s="44" t="s">
        <v>1240</v>
      </c>
      <c r="F227" s="44"/>
      <c r="G227" s="44" t="s">
        <v>1267</v>
      </c>
      <c r="H227" s="44">
        <v>0</v>
      </c>
      <c r="I227" s="39" t="s">
        <v>1268</v>
      </c>
      <c r="J227" s="39">
        <v>0</v>
      </c>
      <c r="K227" s="39">
        <v>0</v>
      </c>
      <c r="L227" s="39">
        <v>0</v>
      </c>
      <c r="M227" s="39" t="s">
        <v>1610</v>
      </c>
      <c r="N227" s="107" t="s">
        <v>1253</v>
      </c>
      <c r="O227" s="1" t="s">
        <v>1254</v>
      </c>
      <c r="P227" s="106" t="s">
        <v>1255</v>
      </c>
      <c r="Q227" s="39"/>
      <c r="R227" s="102" t="s">
        <v>1250</v>
      </c>
      <c r="S227" s="32"/>
    </row>
    <row r="228" spans="1:19" ht="15" x14ac:dyDescent="0.25">
      <c r="A228" s="39" t="s">
        <v>1611</v>
      </c>
      <c r="B228" s="40" t="s">
        <v>726</v>
      </c>
      <c r="C228" s="39" t="s">
        <v>29</v>
      </c>
      <c r="D228" s="39" t="s">
        <v>271</v>
      </c>
      <c r="E228" s="44" t="s">
        <v>1252</v>
      </c>
      <c r="F228" s="44" t="s">
        <v>1241</v>
      </c>
      <c r="G228" s="44"/>
      <c r="H228" s="44"/>
      <c r="I228" s="39"/>
      <c r="J228" s="39"/>
      <c r="K228" s="39"/>
      <c r="L228" s="39"/>
      <c r="M228" s="39" t="s">
        <v>1612</v>
      </c>
      <c r="N228" s="105" t="s">
        <v>1246</v>
      </c>
      <c r="O228" s="1" t="s">
        <v>1247</v>
      </c>
      <c r="P228" s="106" t="s">
        <v>1248</v>
      </c>
      <c r="Q228" s="39" t="s">
        <v>227</v>
      </c>
      <c r="R228" s="102" t="s">
        <v>1250</v>
      </c>
      <c r="S228" s="32"/>
    </row>
    <row r="229" spans="1:19" ht="15" x14ac:dyDescent="0.25">
      <c r="A229" s="39" t="s">
        <v>273</v>
      </c>
      <c r="B229" s="40" t="s">
        <v>274</v>
      </c>
      <c r="C229" s="39" t="s">
        <v>29</v>
      </c>
      <c r="D229" s="39" t="s">
        <v>271</v>
      </c>
      <c r="E229" s="44" t="s">
        <v>1240</v>
      </c>
      <c r="F229" s="44" t="s">
        <v>1277</v>
      </c>
      <c r="G229" s="44" t="s">
        <v>1267</v>
      </c>
      <c r="H229" s="44">
        <v>0</v>
      </c>
      <c r="I229" s="39" t="s">
        <v>1351</v>
      </c>
      <c r="J229" s="39">
        <v>0</v>
      </c>
      <c r="K229" s="39">
        <v>0</v>
      </c>
      <c r="L229" s="39">
        <v>0</v>
      </c>
      <c r="M229" s="39" t="s">
        <v>1613</v>
      </c>
      <c r="N229" s="107" t="s">
        <v>1253</v>
      </c>
      <c r="O229" s="1" t="s">
        <v>1254</v>
      </c>
      <c r="P229" s="106" t="s">
        <v>1278</v>
      </c>
      <c r="Q229" s="39"/>
      <c r="R229" s="102" t="s">
        <v>1250</v>
      </c>
    </row>
    <row r="230" spans="1:19" ht="15" x14ac:dyDescent="0.25">
      <c r="A230" s="39" t="s">
        <v>1614</v>
      </c>
      <c r="B230" s="40" t="s">
        <v>415</v>
      </c>
      <c r="C230" s="39" t="s">
        <v>29</v>
      </c>
      <c r="D230" s="39" t="s">
        <v>271</v>
      </c>
      <c r="E230" s="44" t="s">
        <v>1252</v>
      </c>
      <c r="F230" s="44" t="s">
        <v>1277</v>
      </c>
      <c r="G230" s="44" t="s">
        <v>1267</v>
      </c>
      <c r="H230" s="44">
        <v>0</v>
      </c>
      <c r="I230" s="39" t="s">
        <v>1278</v>
      </c>
      <c r="J230" s="39">
        <v>0</v>
      </c>
      <c r="K230" s="39">
        <v>0</v>
      </c>
      <c r="L230" s="39">
        <v>0</v>
      </c>
      <c r="M230" s="39" t="s">
        <v>1615</v>
      </c>
      <c r="N230" s="107" t="s">
        <v>1253</v>
      </c>
      <c r="O230" s="1" t="s">
        <v>1254</v>
      </c>
      <c r="P230" s="106" t="s">
        <v>1278</v>
      </c>
      <c r="Q230" s="39"/>
      <c r="R230" s="102" t="s">
        <v>1250</v>
      </c>
      <c r="S230" s="32"/>
    </row>
    <row r="231" spans="1:19" ht="15" x14ac:dyDescent="0.25">
      <c r="A231" s="39" t="s">
        <v>360</v>
      </c>
      <c r="B231" s="40" t="s">
        <v>361</v>
      </c>
      <c r="C231" s="39" t="s">
        <v>37</v>
      </c>
      <c r="D231" s="39" t="s">
        <v>271</v>
      </c>
      <c r="E231" s="44" t="s">
        <v>1252</v>
      </c>
      <c r="F231" s="44"/>
      <c r="G231" s="44" t="s">
        <v>1267</v>
      </c>
      <c r="H231" s="44">
        <v>0</v>
      </c>
      <c r="I231" s="39" t="s">
        <v>1616</v>
      </c>
      <c r="J231" s="39">
        <v>0</v>
      </c>
      <c r="K231" s="39">
        <v>0</v>
      </c>
      <c r="L231" s="39">
        <v>0</v>
      </c>
      <c r="M231" s="39" t="s">
        <v>1617</v>
      </c>
      <c r="N231" s="107" t="s">
        <v>1253</v>
      </c>
      <c r="O231" s="1" t="s">
        <v>1254</v>
      </c>
      <c r="P231" s="106" t="s">
        <v>1255</v>
      </c>
      <c r="Q231" s="39"/>
      <c r="R231" s="102" t="s">
        <v>1250</v>
      </c>
      <c r="S231" s="32"/>
    </row>
    <row r="232" spans="1:19" ht="15" x14ac:dyDescent="0.25">
      <c r="A232" s="39" t="s">
        <v>1618</v>
      </c>
      <c r="B232" s="40" t="s">
        <v>422</v>
      </c>
      <c r="C232" s="39" t="s">
        <v>29</v>
      </c>
      <c r="D232" s="39" t="s">
        <v>271</v>
      </c>
      <c r="E232" s="44" t="s">
        <v>1252</v>
      </c>
      <c r="F232" s="44" t="s">
        <v>1277</v>
      </c>
      <c r="G232" s="44" t="s">
        <v>1619</v>
      </c>
      <c r="H232" s="44">
        <v>0</v>
      </c>
      <c r="I232" s="39" t="s">
        <v>1310</v>
      </c>
      <c r="J232" s="39">
        <v>0</v>
      </c>
      <c r="K232" s="39">
        <v>0</v>
      </c>
      <c r="L232" s="39">
        <v>0</v>
      </c>
      <c r="M232" s="39" t="s">
        <v>1620</v>
      </c>
      <c r="N232" s="107" t="s">
        <v>1253</v>
      </c>
      <c r="O232" s="1" t="s">
        <v>1254</v>
      </c>
      <c r="P232" s="106" t="s">
        <v>1278</v>
      </c>
      <c r="Q232" s="39"/>
      <c r="R232" s="102" t="s">
        <v>1250</v>
      </c>
    </row>
    <row r="233" spans="1:19" ht="15" x14ac:dyDescent="0.25">
      <c r="A233" s="39" t="s">
        <v>1621</v>
      </c>
      <c r="B233" s="40" t="s">
        <v>417</v>
      </c>
      <c r="C233" s="39" t="s">
        <v>29</v>
      </c>
      <c r="D233" s="39" t="s">
        <v>271</v>
      </c>
      <c r="E233" s="44" t="s">
        <v>1252</v>
      </c>
      <c r="F233" s="44" t="s">
        <v>1277</v>
      </c>
      <c r="G233" s="44"/>
      <c r="H233" s="44"/>
      <c r="I233" s="39"/>
      <c r="J233" s="39"/>
      <c r="K233" s="39"/>
      <c r="L233" s="39"/>
      <c r="M233" s="39"/>
      <c r="N233" s="107" t="s">
        <v>1253</v>
      </c>
      <c r="O233" s="1" t="s">
        <v>1254</v>
      </c>
      <c r="P233" s="106" t="s">
        <v>1278</v>
      </c>
      <c r="Q233" s="39"/>
      <c r="R233" s="102" t="s">
        <v>1250</v>
      </c>
      <c r="S233" s="32"/>
    </row>
    <row r="234" spans="1:19" ht="15" x14ac:dyDescent="0.25">
      <c r="A234" s="39" t="s">
        <v>431</v>
      </c>
      <c r="B234" s="40" t="s">
        <v>432</v>
      </c>
      <c r="C234" s="39" t="s">
        <v>37</v>
      </c>
      <c r="D234" s="39" t="s">
        <v>271</v>
      </c>
      <c r="E234" s="44" t="s">
        <v>1252</v>
      </c>
      <c r="F234" s="44" t="s">
        <v>1277</v>
      </c>
      <c r="G234" s="44"/>
      <c r="H234" s="44"/>
      <c r="I234" s="39"/>
      <c r="J234" s="39"/>
      <c r="K234" s="39"/>
      <c r="L234" s="39"/>
      <c r="M234" s="39"/>
      <c r="N234" s="107" t="s">
        <v>1253</v>
      </c>
      <c r="O234" s="1" t="s">
        <v>1254</v>
      </c>
      <c r="P234" s="106" t="s">
        <v>1278</v>
      </c>
      <c r="Q234" s="39"/>
      <c r="R234" s="102" t="s">
        <v>1250</v>
      </c>
      <c r="S234" s="32"/>
    </row>
    <row r="235" spans="1:19" ht="15" x14ac:dyDescent="0.25">
      <c r="A235" s="39" t="s">
        <v>172</v>
      </c>
      <c r="B235" s="40" t="s">
        <v>173</v>
      </c>
      <c r="C235" s="39" t="s">
        <v>29</v>
      </c>
      <c r="D235" s="39" t="s">
        <v>271</v>
      </c>
      <c r="E235" s="44" t="s">
        <v>1240</v>
      </c>
      <c r="F235" s="44" t="s">
        <v>1277</v>
      </c>
      <c r="G235" s="44" t="s">
        <v>1619</v>
      </c>
      <c r="H235" s="44">
        <v>0</v>
      </c>
      <c r="I235" s="39" t="s">
        <v>1351</v>
      </c>
      <c r="J235" s="39">
        <v>0</v>
      </c>
      <c r="K235" s="39">
        <v>0</v>
      </c>
      <c r="L235" s="39">
        <v>0</v>
      </c>
      <c r="M235" s="39" t="s">
        <v>1622</v>
      </c>
      <c r="N235" s="107" t="s">
        <v>1253</v>
      </c>
      <c r="O235" s="1" t="s">
        <v>1254</v>
      </c>
      <c r="P235" s="106" t="s">
        <v>1278</v>
      </c>
      <c r="Q235" s="39"/>
      <c r="R235" s="102" t="s">
        <v>1250</v>
      </c>
      <c r="S235" s="32"/>
    </row>
    <row r="236" spans="1:19" ht="15" x14ac:dyDescent="0.25">
      <c r="A236" s="39" t="s">
        <v>435</v>
      </c>
      <c r="B236" s="40" t="s">
        <v>436</v>
      </c>
      <c r="C236" s="39" t="s">
        <v>29</v>
      </c>
      <c r="D236" s="39" t="s">
        <v>271</v>
      </c>
      <c r="E236" s="44" t="s">
        <v>1252</v>
      </c>
      <c r="F236" s="44" t="s">
        <v>1277</v>
      </c>
      <c r="G236" s="44"/>
      <c r="H236" s="44"/>
      <c r="I236" s="39"/>
      <c r="J236" s="39"/>
      <c r="K236" s="39"/>
      <c r="L236" s="39"/>
      <c r="M236" s="39"/>
      <c r="N236" s="107" t="s">
        <v>1253</v>
      </c>
      <c r="O236" s="1" t="s">
        <v>1254</v>
      </c>
      <c r="P236" s="106" t="s">
        <v>1278</v>
      </c>
      <c r="Q236" s="39"/>
      <c r="R236" s="102" t="s">
        <v>1250</v>
      </c>
      <c r="S236" s="32"/>
    </row>
    <row r="237" spans="1:19" ht="15" x14ac:dyDescent="0.25">
      <c r="A237" s="39" t="s">
        <v>1623</v>
      </c>
      <c r="B237" s="40" t="s">
        <v>359</v>
      </c>
      <c r="C237" s="39" t="s">
        <v>37</v>
      </c>
      <c r="D237" s="39" t="s">
        <v>271</v>
      </c>
      <c r="E237" s="44" t="s">
        <v>1252</v>
      </c>
      <c r="F237" s="44"/>
      <c r="G237" s="44" t="s">
        <v>1267</v>
      </c>
      <c r="H237" s="44">
        <v>0</v>
      </c>
      <c r="I237" s="39" t="s">
        <v>1268</v>
      </c>
      <c r="J237" s="39">
        <v>0</v>
      </c>
      <c r="K237" s="39">
        <v>0</v>
      </c>
      <c r="L237" s="39">
        <v>0</v>
      </c>
      <c r="M237" s="39" t="s">
        <v>1577</v>
      </c>
      <c r="N237" s="107" t="s">
        <v>1253</v>
      </c>
      <c r="O237" s="1" t="s">
        <v>1254</v>
      </c>
      <c r="P237" s="106" t="s">
        <v>1255</v>
      </c>
      <c r="Q237" s="39"/>
      <c r="R237" s="102" t="s">
        <v>1250</v>
      </c>
      <c r="S237" s="32"/>
    </row>
    <row r="238" spans="1:19" ht="15" x14ac:dyDescent="0.25">
      <c r="A238" s="39" t="s">
        <v>1624</v>
      </c>
      <c r="B238" s="40" t="s">
        <v>424</v>
      </c>
      <c r="C238" s="39" t="s">
        <v>29</v>
      </c>
      <c r="D238" s="39" t="s">
        <v>271</v>
      </c>
      <c r="E238" s="44" t="s">
        <v>1252</v>
      </c>
      <c r="F238" s="44" t="s">
        <v>1277</v>
      </c>
      <c r="G238" s="44"/>
      <c r="H238" s="44"/>
      <c r="I238" s="39"/>
      <c r="J238" s="39"/>
      <c r="K238" s="39"/>
      <c r="L238" s="39"/>
      <c r="M238" s="39"/>
      <c r="N238" s="107" t="s">
        <v>1253</v>
      </c>
      <c r="O238" s="1" t="s">
        <v>1254</v>
      </c>
      <c r="P238" s="106" t="s">
        <v>1278</v>
      </c>
      <c r="Q238" s="39"/>
      <c r="R238" s="102" t="s">
        <v>1250</v>
      </c>
      <c r="S238" s="32"/>
    </row>
    <row r="239" spans="1:19" ht="15" x14ac:dyDescent="0.25">
      <c r="A239" s="39" t="s">
        <v>433</v>
      </c>
      <c r="B239" s="40" t="s">
        <v>434</v>
      </c>
      <c r="C239" s="39" t="s">
        <v>29</v>
      </c>
      <c r="D239" s="39" t="s">
        <v>271</v>
      </c>
      <c r="E239" s="44" t="s">
        <v>1252</v>
      </c>
      <c r="F239" s="44" t="s">
        <v>1277</v>
      </c>
      <c r="G239" s="44" t="s">
        <v>1619</v>
      </c>
      <c r="H239" s="44">
        <v>0</v>
      </c>
      <c r="I239" s="39" t="s">
        <v>1351</v>
      </c>
      <c r="J239" s="39">
        <v>0</v>
      </c>
      <c r="K239" s="39">
        <v>0</v>
      </c>
      <c r="L239" s="39">
        <v>0</v>
      </c>
      <c r="M239" s="39" t="s">
        <v>1625</v>
      </c>
      <c r="N239" s="107" t="s">
        <v>1253</v>
      </c>
      <c r="O239" s="1" t="s">
        <v>1254</v>
      </c>
      <c r="P239" s="106" t="s">
        <v>1278</v>
      </c>
      <c r="Q239" s="39"/>
      <c r="R239" s="102" t="s">
        <v>1250</v>
      </c>
      <c r="S239" s="32"/>
    </row>
    <row r="240" spans="1:19" ht="15" x14ac:dyDescent="0.25">
      <c r="A240" s="39" t="s">
        <v>1626</v>
      </c>
      <c r="B240" s="40" t="s">
        <v>353</v>
      </c>
      <c r="C240" s="39" t="s">
        <v>37</v>
      </c>
      <c r="D240" s="39" t="s">
        <v>271</v>
      </c>
      <c r="E240" s="44" t="s">
        <v>1252</v>
      </c>
      <c r="F240" s="44"/>
      <c r="G240" s="44"/>
      <c r="H240" s="44"/>
      <c r="I240" s="39"/>
      <c r="J240" s="39"/>
      <c r="K240" s="39"/>
      <c r="L240" s="39"/>
      <c r="M240" s="39"/>
      <c r="N240" s="107" t="s">
        <v>1253</v>
      </c>
      <c r="O240" s="1" t="s">
        <v>1254</v>
      </c>
      <c r="P240" s="106" t="s">
        <v>1255</v>
      </c>
      <c r="Q240" s="39"/>
      <c r="R240" s="102" t="s">
        <v>1250</v>
      </c>
      <c r="S240" s="32"/>
    </row>
    <row r="241" spans="1:19" ht="15" x14ac:dyDescent="0.25">
      <c r="A241" s="39" t="s">
        <v>1627</v>
      </c>
      <c r="B241" s="40" t="s">
        <v>419</v>
      </c>
      <c r="C241" s="39" t="s">
        <v>29</v>
      </c>
      <c r="D241" s="39" t="s">
        <v>271</v>
      </c>
      <c r="E241" s="44" t="s">
        <v>1252</v>
      </c>
      <c r="F241" s="44" t="s">
        <v>1277</v>
      </c>
      <c r="G241" s="44"/>
      <c r="H241" s="44"/>
      <c r="I241" s="39"/>
      <c r="J241" s="39"/>
      <c r="K241" s="39"/>
      <c r="L241" s="39"/>
      <c r="M241" s="39"/>
      <c r="N241" s="107" t="s">
        <v>1253</v>
      </c>
      <c r="O241" s="1" t="s">
        <v>1254</v>
      </c>
      <c r="P241" s="106" t="s">
        <v>1278</v>
      </c>
      <c r="Q241" s="39"/>
      <c r="R241" s="102" t="s">
        <v>1250</v>
      </c>
      <c r="S241" s="32"/>
    </row>
    <row r="242" spans="1:19" ht="15" x14ac:dyDescent="0.25">
      <c r="A242" s="39" t="s">
        <v>1628</v>
      </c>
      <c r="B242" s="40" t="s">
        <v>709</v>
      </c>
      <c r="C242" s="39" t="s">
        <v>29</v>
      </c>
      <c r="D242" s="39" t="s">
        <v>271</v>
      </c>
      <c r="E242" s="44" t="s">
        <v>1252</v>
      </c>
      <c r="F242" s="44" t="s">
        <v>1241</v>
      </c>
      <c r="G242" s="44"/>
      <c r="H242" s="44"/>
      <c r="I242" s="39"/>
      <c r="J242" s="39"/>
      <c r="K242" s="39"/>
      <c r="L242" s="39"/>
      <c r="M242" s="39" t="s">
        <v>1629</v>
      </c>
      <c r="N242" s="109" t="s">
        <v>1253</v>
      </c>
      <c r="O242" s="1" t="s">
        <v>1254</v>
      </c>
      <c r="P242" s="106" t="s">
        <v>1248</v>
      </c>
      <c r="Q242" s="39" t="s">
        <v>227</v>
      </c>
      <c r="R242" s="102" t="s">
        <v>1250</v>
      </c>
      <c r="S242" s="32"/>
    </row>
    <row r="243" spans="1:19" ht="15" x14ac:dyDescent="0.25">
      <c r="A243" s="39" t="s">
        <v>179</v>
      </c>
      <c r="B243" s="40" t="s">
        <v>180</v>
      </c>
      <c r="C243" s="39" t="s">
        <v>37</v>
      </c>
      <c r="D243" s="39" t="s">
        <v>271</v>
      </c>
      <c r="E243" s="44" t="s">
        <v>1240</v>
      </c>
      <c r="F243" s="44" t="s">
        <v>1241</v>
      </c>
      <c r="G243" s="104">
        <v>5</v>
      </c>
      <c r="H243" s="44">
        <v>0</v>
      </c>
      <c r="I243" s="39" t="s">
        <v>1630</v>
      </c>
      <c r="J243" s="39">
        <v>0</v>
      </c>
      <c r="K243" s="39">
        <v>0</v>
      </c>
      <c r="L243" s="39">
        <v>0</v>
      </c>
      <c r="M243" s="39" t="s">
        <v>1631</v>
      </c>
      <c r="N243" s="109" t="s">
        <v>1253</v>
      </c>
      <c r="O243" s="1" t="s">
        <v>1254</v>
      </c>
      <c r="P243" s="106" t="s">
        <v>1248</v>
      </c>
      <c r="Q243" s="39" t="s">
        <v>227</v>
      </c>
      <c r="R243" s="102" t="s">
        <v>1250</v>
      </c>
      <c r="S243" s="32"/>
    </row>
    <row r="244" spans="1:19" ht="15" x14ac:dyDescent="0.25">
      <c r="A244" s="39" t="s">
        <v>1632</v>
      </c>
      <c r="B244" s="40" t="s">
        <v>520</v>
      </c>
      <c r="C244" s="39" t="s">
        <v>29</v>
      </c>
      <c r="D244" s="39" t="s">
        <v>271</v>
      </c>
      <c r="E244" s="44" t="s">
        <v>1252</v>
      </c>
      <c r="F244" s="44" t="s">
        <v>1283</v>
      </c>
      <c r="G244" s="44" t="s">
        <v>1267</v>
      </c>
      <c r="H244" s="44">
        <v>6</v>
      </c>
      <c r="I244" s="39" t="s">
        <v>1321</v>
      </c>
      <c r="J244" s="39">
        <v>0</v>
      </c>
      <c r="K244" s="39">
        <v>0</v>
      </c>
      <c r="L244" s="39">
        <v>0</v>
      </c>
      <c r="M244" s="39" t="s">
        <v>1633</v>
      </c>
      <c r="N244" s="109" t="s">
        <v>1253</v>
      </c>
      <c r="O244" s="1" t="s">
        <v>1254</v>
      </c>
      <c r="P244" s="106" t="s">
        <v>1287</v>
      </c>
      <c r="Q244" s="39" t="s">
        <v>227</v>
      </c>
      <c r="R244" s="102">
        <v>1.5</v>
      </c>
      <c r="S244" s="32"/>
    </row>
    <row r="245" spans="1:19" ht="15" x14ac:dyDescent="0.25">
      <c r="A245" s="39" t="s">
        <v>183</v>
      </c>
      <c r="B245" s="40" t="s">
        <v>184</v>
      </c>
      <c r="C245" s="39" t="s">
        <v>29</v>
      </c>
      <c r="D245" s="39" t="s">
        <v>271</v>
      </c>
      <c r="E245" s="44" t="s">
        <v>1240</v>
      </c>
      <c r="F245" s="44" t="s">
        <v>1241</v>
      </c>
      <c r="G245" s="104">
        <v>5</v>
      </c>
      <c r="H245" s="44">
        <v>8</v>
      </c>
      <c r="I245" s="39" t="s">
        <v>1244</v>
      </c>
      <c r="J245" s="39"/>
      <c r="K245" s="39"/>
      <c r="L245" s="39"/>
      <c r="M245" s="39" t="s">
        <v>1548</v>
      </c>
      <c r="N245" s="105" t="s">
        <v>1246</v>
      </c>
      <c r="O245" s="1" t="s">
        <v>1247</v>
      </c>
      <c r="P245" s="106" t="s">
        <v>1248</v>
      </c>
      <c r="Q245" s="39" t="s">
        <v>227</v>
      </c>
      <c r="R245" s="102" t="s">
        <v>1250</v>
      </c>
    </row>
    <row r="246" spans="1:19" ht="15" x14ac:dyDescent="0.25">
      <c r="A246" s="39" t="s">
        <v>1634</v>
      </c>
      <c r="B246" s="40" t="s">
        <v>677</v>
      </c>
      <c r="C246" s="39" t="s">
        <v>37</v>
      </c>
      <c r="D246" s="39" t="s">
        <v>271</v>
      </c>
      <c r="E246" s="44" t="s">
        <v>1252</v>
      </c>
      <c r="F246" s="44" t="s">
        <v>1241</v>
      </c>
      <c r="G246" s="104">
        <v>6</v>
      </c>
      <c r="H246" s="44">
        <v>4</v>
      </c>
      <c r="I246" s="39" t="s">
        <v>1257</v>
      </c>
      <c r="J246" s="39">
        <v>0</v>
      </c>
      <c r="K246" s="39">
        <v>0</v>
      </c>
      <c r="L246" s="39">
        <v>0</v>
      </c>
      <c r="M246" s="39" t="s">
        <v>1635</v>
      </c>
      <c r="N246" s="109" t="s">
        <v>1253</v>
      </c>
      <c r="O246" s="1" t="s">
        <v>1254</v>
      </c>
      <c r="P246" s="106" t="s">
        <v>1248</v>
      </c>
      <c r="Q246" s="39" t="s">
        <v>1308</v>
      </c>
      <c r="R246" s="102" t="s">
        <v>1250</v>
      </c>
      <c r="S246" s="32"/>
    </row>
    <row r="247" spans="1:19" ht="15" x14ac:dyDescent="0.25">
      <c r="A247" s="39" t="s">
        <v>170</v>
      </c>
      <c r="B247" s="40" t="s">
        <v>171</v>
      </c>
      <c r="C247" s="39" t="s">
        <v>37</v>
      </c>
      <c r="D247" s="39" t="s">
        <v>271</v>
      </c>
      <c r="E247" s="44" t="s">
        <v>1240</v>
      </c>
      <c r="F247" s="44"/>
      <c r="G247" s="44" t="s">
        <v>1267</v>
      </c>
      <c r="H247" s="44">
        <v>0</v>
      </c>
      <c r="I247" s="39" t="s">
        <v>1351</v>
      </c>
      <c r="J247" s="39">
        <v>0</v>
      </c>
      <c r="K247" s="39">
        <v>0</v>
      </c>
      <c r="L247" s="39">
        <v>0</v>
      </c>
      <c r="M247" s="39" t="s">
        <v>1636</v>
      </c>
      <c r="N247" s="107" t="s">
        <v>1253</v>
      </c>
      <c r="O247" s="1" t="s">
        <v>1254</v>
      </c>
      <c r="P247" s="106" t="s">
        <v>1255</v>
      </c>
      <c r="Q247" s="39"/>
      <c r="R247" s="102" t="s">
        <v>1250</v>
      </c>
      <c r="S247" s="32"/>
    </row>
    <row r="248" spans="1:19" ht="15" x14ac:dyDescent="0.25">
      <c r="A248" s="39" t="s">
        <v>40</v>
      </c>
      <c r="B248" s="40" t="s">
        <v>41</v>
      </c>
      <c r="C248" s="39" t="s">
        <v>39</v>
      </c>
      <c r="D248" s="39" t="s">
        <v>227</v>
      </c>
      <c r="E248" s="44" t="s">
        <v>1240</v>
      </c>
      <c r="F248" s="44"/>
      <c r="G248" s="44" t="s">
        <v>1267</v>
      </c>
      <c r="H248" s="44">
        <v>0</v>
      </c>
      <c r="I248" s="39" t="s">
        <v>1268</v>
      </c>
      <c r="J248" s="39">
        <v>0</v>
      </c>
      <c r="K248" s="39">
        <v>0</v>
      </c>
      <c r="L248" s="39">
        <v>0</v>
      </c>
      <c r="M248" s="39" t="s">
        <v>1637</v>
      </c>
      <c r="N248" s="107" t="s">
        <v>1253</v>
      </c>
      <c r="O248" s="1" t="s">
        <v>1254</v>
      </c>
      <c r="P248" s="106" t="s">
        <v>1255</v>
      </c>
      <c r="Q248" s="39"/>
      <c r="R248" s="102" t="s">
        <v>1250</v>
      </c>
    </row>
    <row r="249" spans="1:19" ht="15" x14ac:dyDescent="0.25">
      <c r="A249" s="39" t="s">
        <v>1638</v>
      </c>
      <c r="B249" s="40" t="s">
        <v>343</v>
      </c>
      <c r="C249" s="39" t="s">
        <v>39</v>
      </c>
      <c r="D249" s="41" t="s">
        <v>227</v>
      </c>
      <c r="E249" s="44" t="s">
        <v>1252</v>
      </c>
      <c r="F249" s="44"/>
      <c r="G249" s="44"/>
      <c r="H249" s="44"/>
      <c r="I249" s="39"/>
      <c r="J249" s="39"/>
      <c r="K249" s="39"/>
      <c r="L249" s="39"/>
      <c r="M249" s="39"/>
      <c r="N249" s="107" t="s">
        <v>1253</v>
      </c>
      <c r="O249" s="1" t="s">
        <v>1254</v>
      </c>
      <c r="P249" s="106" t="s">
        <v>1255</v>
      </c>
      <c r="Q249" s="39"/>
      <c r="R249" s="102" t="s">
        <v>1250</v>
      </c>
      <c r="S249" s="32"/>
    </row>
    <row r="250" spans="1:19" ht="15" x14ac:dyDescent="0.25">
      <c r="A250" s="39" t="s">
        <v>1639</v>
      </c>
      <c r="B250" s="40" t="s">
        <v>463</v>
      </c>
      <c r="C250" s="39" t="s">
        <v>37</v>
      </c>
      <c r="D250" s="39" t="s">
        <v>271</v>
      </c>
      <c r="E250" s="44" t="s">
        <v>1252</v>
      </c>
      <c r="F250" s="44"/>
      <c r="G250" s="44"/>
      <c r="H250" s="44"/>
      <c r="I250" s="39"/>
      <c r="J250" s="39"/>
      <c r="K250" s="39"/>
      <c r="L250" s="39"/>
      <c r="M250" s="39"/>
      <c r="N250" s="107" t="s">
        <v>1253</v>
      </c>
      <c r="O250" s="1" t="s">
        <v>1254</v>
      </c>
      <c r="P250" s="106" t="s">
        <v>1255</v>
      </c>
      <c r="Q250" s="39"/>
      <c r="R250" s="102" t="s">
        <v>1250</v>
      </c>
      <c r="S250" s="32"/>
    </row>
    <row r="251" spans="1:19" ht="15" x14ac:dyDescent="0.25">
      <c r="A251" s="39" t="s">
        <v>1640</v>
      </c>
      <c r="B251" s="40" t="s">
        <v>238</v>
      </c>
      <c r="C251" s="39" t="s">
        <v>37</v>
      </c>
      <c r="D251" s="39" t="s">
        <v>227</v>
      </c>
      <c r="E251" s="44" t="s">
        <v>1240</v>
      </c>
      <c r="F251" s="44"/>
      <c r="G251" s="44" t="s">
        <v>1267</v>
      </c>
      <c r="H251" s="44" t="s">
        <v>1267</v>
      </c>
      <c r="I251" s="39" t="s">
        <v>1351</v>
      </c>
      <c r="J251" s="39">
        <v>0</v>
      </c>
      <c r="K251" s="39">
        <v>0</v>
      </c>
      <c r="L251" s="39">
        <v>0</v>
      </c>
      <c r="M251" s="39" t="s">
        <v>1636</v>
      </c>
      <c r="N251" s="107" t="s">
        <v>1253</v>
      </c>
      <c r="O251" s="1" t="s">
        <v>1254</v>
      </c>
      <c r="P251" s="106" t="s">
        <v>1255</v>
      </c>
      <c r="Q251" s="39"/>
      <c r="R251" s="102">
        <v>1</v>
      </c>
      <c r="S251" s="32"/>
    </row>
    <row r="252" spans="1:19" ht="15" x14ac:dyDescent="0.25">
      <c r="A252" s="39" t="s">
        <v>127</v>
      </c>
      <c r="B252" s="40" t="s">
        <v>272</v>
      </c>
      <c r="C252" s="39" t="s">
        <v>39</v>
      </c>
      <c r="D252" s="41" t="s">
        <v>227</v>
      </c>
      <c r="E252" s="44" t="s">
        <v>1240</v>
      </c>
      <c r="F252" s="44"/>
      <c r="G252" s="44"/>
      <c r="H252" s="44"/>
      <c r="I252" s="39"/>
      <c r="J252" s="39"/>
      <c r="K252" s="39"/>
      <c r="L252" s="39"/>
      <c r="M252" s="39"/>
      <c r="N252" s="107" t="s">
        <v>1253</v>
      </c>
      <c r="O252" s="1" t="s">
        <v>1254</v>
      </c>
      <c r="P252" s="106" t="s">
        <v>1255</v>
      </c>
      <c r="Q252" s="39"/>
      <c r="R252" s="102" t="s">
        <v>1250</v>
      </c>
    </row>
    <row r="253" spans="1:19" ht="15" x14ac:dyDescent="0.25">
      <c r="A253" s="39" t="s">
        <v>127</v>
      </c>
      <c r="B253" s="40" t="s">
        <v>272</v>
      </c>
      <c r="C253" s="39" t="s">
        <v>39</v>
      </c>
      <c r="D253" s="41" t="s">
        <v>227</v>
      </c>
      <c r="E253" s="44" t="s">
        <v>1300</v>
      </c>
      <c r="F253" s="44"/>
      <c r="G253" s="44"/>
      <c r="H253" s="44"/>
      <c r="I253" s="39"/>
      <c r="J253" s="39"/>
      <c r="K253" s="39"/>
      <c r="L253" s="39"/>
      <c r="M253" s="39"/>
      <c r="N253" s="107" t="s">
        <v>1253</v>
      </c>
      <c r="O253" s="1" t="s">
        <v>1254</v>
      </c>
      <c r="P253" s="106" t="s">
        <v>1255</v>
      </c>
      <c r="Q253" s="39"/>
      <c r="R253" s="102" t="s">
        <v>1250</v>
      </c>
      <c r="S253" s="32"/>
    </row>
    <row r="254" spans="1:19" ht="15" x14ac:dyDescent="0.25">
      <c r="A254" s="39" t="s">
        <v>1641</v>
      </c>
      <c r="B254" s="40" t="s">
        <v>461</v>
      </c>
      <c r="C254" s="39" t="s">
        <v>29</v>
      </c>
      <c r="D254" s="39" t="s">
        <v>271</v>
      </c>
      <c r="E254" s="44" t="s">
        <v>1252</v>
      </c>
      <c r="F254" s="44"/>
      <c r="G254" s="44" t="s">
        <v>1267</v>
      </c>
      <c r="H254" s="44">
        <v>0</v>
      </c>
      <c r="I254" s="39" t="s">
        <v>1351</v>
      </c>
      <c r="J254" s="39">
        <v>0</v>
      </c>
      <c r="K254" s="39">
        <v>0</v>
      </c>
      <c r="L254" s="39">
        <v>0</v>
      </c>
      <c r="M254" s="39" t="s">
        <v>1636</v>
      </c>
      <c r="N254" s="107" t="s">
        <v>1253</v>
      </c>
      <c r="O254" s="1" t="s">
        <v>1254</v>
      </c>
      <c r="P254" s="106" t="s">
        <v>1255</v>
      </c>
      <c r="Q254" s="39"/>
      <c r="R254" s="102" t="s">
        <v>1250</v>
      </c>
    </row>
    <row r="255" spans="1:19" ht="15" x14ac:dyDescent="0.25">
      <c r="A255" s="39" t="s">
        <v>242</v>
      </c>
      <c r="B255" s="40" t="s">
        <v>243</v>
      </c>
      <c r="C255" s="39" t="s">
        <v>37</v>
      </c>
      <c r="D255" s="39" t="s">
        <v>227</v>
      </c>
      <c r="E255" s="44" t="s">
        <v>1240</v>
      </c>
      <c r="F255" s="44" t="s">
        <v>1283</v>
      </c>
      <c r="G255" s="104">
        <v>5.5</v>
      </c>
      <c r="H255" s="44">
        <v>2</v>
      </c>
      <c r="I255" s="39" t="s">
        <v>1313</v>
      </c>
      <c r="J255" s="39" t="s">
        <v>1315</v>
      </c>
      <c r="K255" s="39">
        <v>0</v>
      </c>
      <c r="L255" s="39">
        <v>0</v>
      </c>
      <c r="M255" s="39" t="s">
        <v>1642</v>
      </c>
      <c r="N255" s="109" t="s">
        <v>1253</v>
      </c>
      <c r="O255" s="1" t="s">
        <v>1254</v>
      </c>
      <c r="P255" s="106" t="s">
        <v>1287</v>
      </c>
      <c r="Q255" s="39" t="s">
        <v>227</v>
      </c>
      <c r="R255" s="102">
        <v>0.8</v>
      </c>
      <c r="S255" s="32"/>
    </row>
    <row r="256" spans="1:19" ht="15" x14ac:dyDescent="0.25">
      <c r="A256" s="39" t="s">
        <v>185</v>
      </c>
      <c r="B256" s="40" t="s">
        <v>186</v>
      </c>
      <c r="C256" s="39" t="s">
        <v>29</v>
      </c>
      <c r="D256" s="39" t="s">
        <v>271</v>
      </c>
      <c r="E256" s="44" t="s">
        <v>1240</v>
      </c>
      <c r="F256" s="44" t="s">
        <v>1277</v>
      </c>
      <c r="G256" s="44" t="s">
        <v>1267</v>
      </c>
      <c r="H256" s="44">
        <v>2</v>
      </c>
      <c r="I256" s="39" t="s">
        <v>1293</v>
      </c>
      <c r="J256" s="39">
        <v>0</v>
      </c>
      <c r="K256" s="39">
        <v>0</v>
      </c>
      <c r="L256" s="39">
        <v>0</v>
      </c>
      <c r="M256" s="39" t="s">
        <v>1643</v>
      </c>
      <c r="N256" s="109" t="s">
        <v>1253</v>
      </c>
      <c r="O256" s="1" t="s">
        <v>1254</v>
      </c>
      <c r="P256" s="106" t="s">
        <v>1295</v>
      </c>
      <c r="Q256" s="39" t="s">
        <v>227</v>
      </c>
      <c r="R256" s="102" t="s">
        <v>1250</v>
      </c>
      <c r="S256" s="32"/>
    </row>
    <row r="257" spans="1:19" ht="15" x14ac:dyDescent="0.25">
      <c r="A257" s="39" t="s">
        <v>1644</v>
      </c>
      <c r="B257" s="40" t="s">
        <v>336</v>
      </c>
      <c r="C257" s="39" t="s">
        <v>39</v>
      </c>
      <c r="D257" s="39" t="s">
        <v>271</v>
      </c>
      <c r="E257" s="44" t="s">
        <v>1252</v>
      </c>
      <c r="F257" s="44"/>
      <c r="G257" s="44"/>
      <c r="H257" s="44"/>
      <c r="I257" s="39"/>
      <c r="J257" s="39"/>
      <c r="K257" s="39"/>
      <c r="L257" s="39"/>
      <c r="M257" s="39"/>
      <c r="N257" s="107" t="s">
        <v>1253</v>
      </c>
      <c r="O257" s="1" t="s">
        <v>1254</v>
      </c>
      <c r="P257" s="106" t="s">
        <v>1255</v>
      </c>
      <c r="Q257" s="39"/>
      <c r="R257" s="102" t="s">
        <v>1250</v>
      </c>
    </row>
    <row r="258" spans="1:19" ht="15" x14ac:dyDescent="0.25">
      <c r="A258" s="39" t="s">
        <v>1645</v>
      </c>
      <c r="B258" s="40" t="s">
        <v>357</v>
      </c>
      <c r="C258" s="39" t="s">
        <v>37</v>
      </c>
      <c r="D258" s="39" t="s">
        <v>271</v>
      </c>
      <c r="E258" s="44" t="s">
        <v>1252</v>
      </c>
      <c r="F258" s="44"/>
      <c r="G258" s="44"/>
      <c r="H258" s="44"/>
      <c r="I258" s="39"/>
      <c r="J258" s="39"/>
      <c r="K258" s="39"/>
      <c r="L258" s="39"/>
      <c r="M258" s="39"/>
      <c r="N258" s="107" t="s">
        <v>1253</v>
      </c>
      <c r="O258" s="1" t="s">
        <v>1254</v>
      </c>
      <c r="P258" s="106" t="s">
        <v>1255</v>
      </c>
      <c r="Q258" s="39"/>
      <c r="R258" s="102" t="s">
        <v>1250</v>
      </c>
      <c r="S258" s="32"/>
    </row>
    <row r="259" spans="1:19" ht="15" x14ac:dyDescent="0.25">
      <c r="A259" s="39" t="s">
        <v>1646</v>
      </c>
      <c r="B259" s="40" t="s">
        <v>355</v>
      </c>
      <c r="C259" s="39" t="s">
        <v>37</v>
      </c>
      <c r="D259" s="39" t="s">
        <v>271</v>
      </c>
      <c r="E259" s="44" t="s">
        <v>1252</v>
      </c>
      <c r="F259" s="44"/>
      <c r="G259" s="44"/>
      <c r="H259" s="44"/>
      <c r="I259" s="39"/>
      <c r="J259" s="39"/>
      <c r="K259" s="39"/>
      <c r="L259" s="39"/>
      <c r="M259" s="39"/>
      <c r="N259" s="107" t="s">
        <v>1253</v>
      </c>
      <c r="O259" s="1" t="s">
        <v>1254</v>
      </c>
      <c r="P259" s="106" t="s">
        <v>1255</v>
      </c>
      <c r="Q259" s="39"/>
      <c r="R259" s="102" t="s">
        <v>1250</v>
      </c>
      <c r="S259" s="32"/>
    </row>
    <row r="260" spans="1:19" ht="15" x14ac:dyDescent="0.25">
      <c r="A260" s="39" t="s">
        <v>1647</v>
      </c>
      <c r="B260" s="40" t="s">
        <v>471</v>
      </c>
      <c r="C260" s="39" t="s">
        <v>37</v>
      </c>
      <c r="D260" s="39" t="s">
        <v>271</v>
      </c>
      <c r="E260" s="44" t="s">
        <v>1252</v>
      </c>
      <c r="F260" s="44"/>
      <c r="G260" s="44"/>
      <c r="H260" s="44"/>
      <c r="I260" s="39"/>
      <c r="J260" s="39"/>
      <c r="K260" s="39"/>
      <c r="L260" s="39"/>
      <c r="M260" s="39"/>
      <c r="N260" s="107" t="s">
        <v>1253</v>
      </c>
      <c r="O260" s="1" t="s">
        <v>1254</v>
      </c>
      <c r="P260" s="106" t="s">
        <v>1255</v>
      </c>
      <c r="Q260" s="39"/>
      <c r="R260" s="102" t="s">
        <v>1250</v>
      </c>
      <c r="S260" s="32"/>
    </row>
    <row r="261" spans="1:19" ht="15" x14ac:dyDescent="0.25">
      <c r="A261" s="39" t="s">
        <v>1648</v>
      </c>
      <c r="B261" s="40" t="s">
        <v>469</v>
      </c>
      <c r="C261" s="39" t="s">
        <v>37</v>
      </c>
      <c r="D261" s="39" t="s">
        <v>271</v>
      </c>
      <c r="E261" s="44" t="s">
        <v>1252</v>
      </c>
      <c r="F261" s="44"/>
      <c r="G261" s="44"/>
      <c r="H261" s="44"/>
      <c r="I261" s="39"/>
      <c r="J261" s="39"/>
      <c r="K261" s="39"/>
      <c r="L261" s="39"/>
      <c r="M261" s="39"/>
      <c r="N261" s="107" t="s">
        <v>1253</v>
      </c>
      <c r="O261" s="1" t="s">
        <v>1254</v>
      </c>
      <c r="P261" s="106" t="s">
        <v>1255</v>
      </c>
      <c r="Q261" s="39"/>
      <c r="R261" s="102" t="s">
        <v>1250</v>
      </c>
      <c r="S261" s="32"/>
    </row>
    <row r="262" spans="1:19" ht="15" x14ac:dyDescent="0.25">
      <c r="A262" s="39" t="s">
        <v>1649</v>
      </c>
      <c r="B262" s="40" t="s">
        <v>465</v>
      </c>
      <c r="C262" s="39" t="s">
        <v>39</v>
      </c>
      <c r="D262" s="39" t="s">
        <v>271</v>
      </c>
      <c r="E262" s="44" t="s">
        <v>1252</v>
      </c>
      <c r="F262" s="44"/>
      <c r="G262" s="44"/>
      <c r="H262" s="44"/>
      <c r="I262" s="39"/>
      <c r="J262" s="39"/>
      <c r="K262" s="39"/>
      <c r="L262" s="39"/>
      <c r="M262" s="39"/>
      <c r="N262" s="107" t="s">
        <v>1253</v>
      </c>
      <c r="O262" s="1" t="s">
        <v>1254</v>
      </c>
      <c r="P262" s="106" t="s">
        <v>1255</v>
      </c>
      <c r="Q262" s="39"/>
      <c r="R262" s="102" t="s">
        <v>1250</v>
      </c>
      <c r="S262" s="32"/>
    </row>
    <row r="263" spans="1:19" ht="15" x14ac:dyDescent="0.25">
      <c r="A263" s="41" t="s">
        <v>1650</v>
      </c>
      <c r="B263" s="40" t="s">
        <v>599</v>
      </c>
      <c r="C263" s="39" t="s">
        <v>37</v>
      </c>
      <c r="D263" s="39" t="s">
        <v>271</v>
      </c>
      <c r="E263" s="44" t="s">
        <v>1252</v>
      </c>
      <c r="F263" s="44" t="s">
        <v>1283</v>
      </c>
      <c r="G263" s="44"/>
      <c r="H263" s="44"/>
      <c r="I263" s="39" t="s">
        <v>1314</v>
      </c>
      <c r="J263" s="39" t="s">
        <v>1313</v>
      </c>
      <c r="K263" s="39" t="s">
        <v>1315</v>
      </c>
      <c r="L263" s="39"/>
      <c r="M263" s="39" t="s">
        <v>1593</v>
      </c>
      <c r="N263" s="105" t="s">
        <v>1246</v>
      </c>
      <c r="O263" s="1" t="s">
        <v>1247</v>
      </c>
      <c r="P263" s="106" t="s">
        <v>1287</v>
      </c>
      <c r="Q263" s="39" t="s">
        <v>227</v>
      </c>
      <c r="R263" s="102" t="s">
        <v>1250</v>
      </c>
      <c r="S263" s="32"/>
    </row>
    <row r="264" spans="1:19" ht="15" x14ac:dyDescent="0.25">
      <c r="A264" s="41" t="s">
        <v>1651</v>
      </c>
      <c r="B264" s="40" t="s">
        <v>550</v>
      </c>
      <c r="C264" s="39" t="s">
        <v>29</v>
      </c>
      <c r="D264" s="39" t="s">
        <v>271</v>
      </c>
      <c r="E264" s="44" t="s">
        <v>1252</v>
      </c>
      <c r="F264" s="44" t="s">
        <v>1283</v>
      </c>
      <c r="G264" s="44"/>
      <c r="H264" s="44"/>
      <c r="I264" s="39" t="s">
        <v>1315</v>
      </c>
      <c r="J264" s="39" t="s">
        <v>1312</v>
      </c>
      <c r="K264" s="39">
        <v>0</v>
      </c>
      <c r="L264" s="39">
        <v>0</v>
      </c>
      <c r="M264" s="39" t="s">
        <v>1652</v>
      </c>
      <c r="N264" s="109" t="s">
        <v>1253</v>
      </c>
      <c r="O264" s="1" t="s">
        <v>1254</v>
      </c>
      <c r="P264" s="106" t="s">
        <v>1287</v>
      </c>
      <c r="Q264" s="39" t="s">
        <v>227</v>
      </c>
      <c r="R264" s="102" t="s">
        <v>1250</v>
      </c>
      <c r="S264" s="32"/>
    </row>
    <row r="265" spans="1:19" ht="15" x14ac:dyDescent="0.25">
      <c r="A265" s="39" t="s">
        <v>1653</v>
      </c>
      <c r="B265" s="40" t="s">
        <v>787</v>
      </c>
      <c r="C265" s="39" t="s">
        <v>37</v>
      </c>
      <c r="D265" s="39" t="s">
        <v>271</v>
      </c>
      <c r="E265" s="44" t="s">
        <v>1345</v>
      </c>
      <c r="F265" s="44" t="s">
        <v>1241</v>
      </c>
      <c r="G265" s="44" t="s">
        <v>1346</v>
      </c>
      <c r="H265" s="44">
        <v>12</v>
      </c>
      <c r="I265" s="39" t="s">
        <v>1257</v>
      </c>
      <c r="J265" s="39">
        <v>0</v>
      </c>
      <c r="K265" s="39">
        <v>0</v>
      </c>
      <c r="L265" s="39">
        <v>0</v>
      </c>
      <c r="M265" s="39" t="s">
        <v>1654</v>
      </c>
      <c r="N265" s="105" t="s">
        <v>1246</v>
      </c>
      <c r="O265" s="1" t="s">
        <v>1247</v>
      </c>
      <c r="P265" s="106" t="s">
        <v>1248</v>
      </c>
      <c r="Q265" s="39" t="s">
        <v>227</v>
      </c>
      <c r="R265" s="102" t="s">
        <v>1250</v>
      </c>
      <c r="S265" s="32"/>
    </row>
    <row r="266" spans="1:19" ht="15" x14ac:dyDescent="0.25">
      <c r="A266" s="39" t="s">
        <v>224</v>
      </c>
      <c r="B266" s="40" t="s">
        <v>298</v>
      </c>
      <c r="C266" s="39" t="s">
        <v>29</v>
      </c>
      <c r="D266" s="1" t="s">
        <v>227</v>
      </c>
      <c r="E266" s="115" t="s">
        <v>1240</v>
      </c>
      <c r="F266" s="44"/>
      <c r="G266" s="44"/>
      <c r="H266" s="44">
        <v>24</v>
      </c>
      <c r="I266" s="39" t="s">
        <v>1278</v>
      </c>
      <c r="J266" s="39"/>
      <c r="K266" s="39"/>
      <c r="L266" s="39"/>
      <c r="M266" s="39" t="s">
        <v>1655</v>
      </c>
      <c r="N266" s="109" t="s">
        <v>1253</v>
      </c>
      <c r="O266" s="1" t="s">
        <v>1254</v>
      </c>
      <c r="P266" s="106" t="s">
        <v>1278</v>
      </c>
      <c r="Q266" s="39" t="s">
        <v>1308</v>
      </c>
      <c r="R266" s="102">
        <v>0.88</v>
      </c>
      <c r="S266" s="32"/>
    </row>
    <row r="267" spans="1:19" ht="15" x14ac:dyDescent="0.25">
      <c r="A267" s="39" t="s">
        <v>1656</v>
      </c>
      <c r="B267" s="40" t="s">
        <v>210</v>
      </c>
      <c r="C267" s="39" t="s">
        <v>37</v>
      </c>
      <c r="D267" s="39" t="s">
        <v>271</v>
      </c>
      <c r="E267" s="44" t="s">
        <v>1300</v>
      </c>
      <c r="F267" s="44" t="s">
        <v>1241</v>
      </c>
      <c r="G267" s="104">
        <v>6</v>
      </c>
      <c r="H267" s="44">
        <v>12</v>
      </c>
      <c r="I267" s="39" t="s">
        <v>1244</v>
      </c>
      <c r="J267" s="39">
        <v>0</v>
      </c>
      <c r="K267" s="39">
        <v>0</v>
      </c>
      <c r="L267" s="39">
        <v>0</v>
      </c>
      <c r="M267" s="39" t="s">
        <v>1467</v>
      </c>
      <c r="N267" s="41" t="s">
        <v>1261</v>
      </c>
      <c r="O267" s="1" t="s">
        <v>1262</v>
      </c>
      <c r="P267" s="106" t="s">
        <v>1248</v>
      </c>
      <c r="Q267" s="39" t="s">
        <v>227</v>
      </c>
      <c r="R267" s="102" t="s">
        <v>1250</v>
      </c>
      <c r="S267" s="32"/>
    </row>
    <row r="268" spans="1:19" ht="15" x14ac:dyDescent="0.25">
      <c r="A268" s="39" t="s">
        <v>1657</v>
      </c>
      <c r="B268" s="40" t="s">
        <v>691</v>
      </c>
      <c r="C268" s="39" t="s">
        <v>29</v>
      </c>
      <c r="D268" s="39" t="s">
        <v>271</v>
      </c>
      <c r="E268" s="44" t="s">
        <v>1252</v>
      </c>
      <c r="F268" s="44" t="s">
        <v>1241</v>
      </c>
      <c r="G268" s="104">
        <v>6</v>
      </c>
      <c r="H268" s="44">
        <v>12</v>
      </c>
      <c r="I268" s="39" t="s">
        <v>1244</v>
      </c>
      <c r="J268" s="39">
        <v>0</v>
      </c>
      <c r="K268" s="39">
        <v>0</v>
      </c>
      <c r="L268" s="39">
        <v>0</v>
      </c>
      <c r="M268" s="39" t="s">
        <v>1658</v>
      </c>
      <c r="N268" s="41" t="s">
        <v>1261</v>
      </c>
      <c r="O268" s="1" t="s">
        <v>1262</v>
      </c>
      <c r="P268" s="106" t="s">
        <v>1248</v>
      </c>
      <c r="Q268" s="39" t="s">
        <v>1308</v>
      </c>
      <c r="R268" s="102" t="s">
        <v>1250</v>
      </c>
      <c r="S268" s="32"/>
    </row>
    <row r="269" spans="1:19" ht="15" x14ac:dyDescent="0.25">
      <c r="A269" s="39" t="s">
        <v>214</v>
      </c>
      <c r="B269" s="40" t="s">
        <v>250</v>
      </c>
      <c r="C269" s="39" t="s">
        <v>37</v>
      </c>
      <c r="D269" s="39" t="s">
        <v>227</v>
      </c>
      <c r="E269" s="44" t="s">
        <v>1240</v>
      </c>
      <c r="F269" s="44" t="s">
        <v>1283</v>
      </c>
      <c r="G269" s="44"/>
      <c r="H269" s="44"/>
      <c r="I269" s="39"/>
      <c r="J269" s="39"/>
      <c r="K269" s="39"/>
      <c r="L269" s="39"/>
      <c r="M269" s="39" t="s">
        <v>1457</v>
      </c>
      <c r="N269" s="109" t="s">
        <v>1253</v>
      </c>
      <c r="O269" s="1" t="s">
        <v>1254</v>
      </c>
      <c r="P269" s="106" t="s">
        <v>1287</v>
      </c>
      <c r="Q269" s="39" t="s">
        <v>227</v>
      </c>
      <c r="R269" s="102">
        <v>2</v>
      </c>
      <c r="S269" s="32"/>
    </row>
    <row r="270" spans="1:19" ht="15" x14ac:dyDescent="0.25">
      <c r="A270" s="39" t="s">
        <v>1659</v>
      </c>
      <c r="B270" s="40" t="s">
        <v>603</v>
      </c>
      <c r="C270" s="39" t="s">
        <v>37</v>
      </c>
      <c r="D270" s="39" t="s">
        <v>271</v>
      </c>
      <c r="E270" s="44" t="s">
        <v>1252</v>
      </c>
      <c r="F270" s="44" t="s">
        <v>1283</v>
      </c>
      <c r="G270" s="44"/>
      <c r="H270" s="44"/>
      <c r="I270" s="39"/>
      <c r="J270" s="39"/>
      <c r="K270" s="39"/>
      <c r="L270" s="39"/>
      <c r="M270" s="39" t="s">
        <v>1286</v>
      </c>
      <c r="N270" s="105" t="s">
        <v>1246</v>
      </c>
      <c r="O270" s="1" t="s">
        <v>1247</v>
      </c>
      <c r="P270" s="106" t="s">
        <v>1287</v>
      </c>
      <c r="Q270" s="39" t="s">
        <v>227</v>
      </c>
      <c r="R270" s="102" t="s">
        <v>1250</v>
      </c>
      <c r="S270" s="32"/>
    </row>
    <row r="271" spans="1:19" ht="15" x14ac:dyDescent="0.25">
      <c r="A271" s="39" t="s">
        <v>1660</v>
      </c>
      <c r="B271" s="40" t="s">
        <v>487</v>
      </c>
      <c r="C271" s="39" t="s">
        <v>480</v>
      </c>
      <c r="D271" s="39" t="s">
        <v>271</v>
      </c>
      <c r="E271" s="44" t="s">
        <v>1252</v>
      </c>
      <c r="F271" s="44"/>
      <c r="G271" s="44"/>
      <c r="H271" s="44"/>
      <c r="I271" s="39"/>
      <c r="J271" s="39"/>
      <c r="K271" s="39"/>
      <c r="L271" s="39"/>
      <c r="M271" s="39" t="s">
        <v>1661</v>
      </c>
      <c r="N271" s="107" t="s">
        <v>1253</v>
      </c>
      <c r="O271" s="1" t="s">
        <v>1254</v>
      </c>
      <c r="P271" s="106" t="s">
        <v>1418</v>
      </c>
      <c r="Q271" s="39"/>
      <c r="R271" s="102" t="s">
        <v>1250</v>
      </c>
      <c r="S271" s="32"/>
    </row>
    <row r="272" spans="1:19" ht="15" x14ac:dyDescent="0.25">
      <c r="A272" s="39" t="s">
        <v>1662</v>
      </c>
      <c r="B272" s="40" t="s">
        <v>479</v>
      </c>
      <c r="C272" s="39" t="s">
        <v>480</v>
      </c>
      <c r="D272" s="39" t="s">
        <v>271</v>
      </c>
      <c r="E272" s="44" t="s">
        <v>1252</v>
      </c>
      <c r="F272" s="44"/>
      <c r="G272" s="44"/>
      <c r="H272" s="44"/>
      <c r="I272" s="39"/>
      <c r="J272" s="39"/>
      <c r="K272" s="39"/>
      <c r="L272" s="39"/>
      <c r="M272" s="39" t="s">
        <v>1661</v>
      </c>
      <c r="N272" s="107" t="s">
        <v>1253</v>
      </c>
      <c r="O272" s="1" t="s">
        <v>1254</v>
      </c>
      <c r="P272" s="106" t="s">
        <v>1418</v>
      </c>
      <c r="Q272" s="39"/>
      <c r="R272" s="102" t="s">
        <v>1250</v>
      </c>
      <c r="S272" s="32"/>
    </row>
    <row r="273" spans="1:19" ht="15" x14ac:dyDescent="0.25">
      <c r="A273" s="39" t="s">
        <v>1663</v>
      </c>
      <c r="B273" s="40" t="s">
        <v>679</v>
      </c>
      <c r="C273" s="39" t="s">
        <v>37</v>
      </c>
      <c r="D273" s="39" t="s">
        <v>271</v>
      </c>
      <c r="E273" s="44" t="s">
        <v>1252</v>
      </c>
      <c r="F273" s="44" t="s">
        <v>1241</v>
      </c>
      <c r="G273" s="44"/>
      <c r="H273" s="44"/>
      <c r="I273" s="39"/>
      <c r="J273" s="39"/>
      <c r="K273" s="39"/>
      <c r="L273" s="39"/>
      <c r="M273" s="39" t="s">
        <v>1664</v>
      </c>
      <c r="N273" s="105" t="s">
        <v>1246</v>
      </c>
      <c r="O273" s="1" t="s">
        <v>1247</v>
      </c>
      <c r="P273" s="106" t="s">
        <v>1248</v>
      </c>
      <c r="Q273" s="39" t="s">
        <v>227</v>
      </c>
      <c r="R273" s="102" t="s">
        <v>1250</v>
      </c>
    </row>
    <row r="274" spans="1:19" ht="15" x14ac:dyDescent="0.25">
      <c r="A274" s="39" t="s">
        <v>43</v>
      </c>
      <c r="B274" s="40" t="s">
        <v>44</v>
      </c>
      <c r="C274" s="39" t="s">
        <v>29</v>
      </c>
      <c r="D274" s="39" t="s">
        <v>227</v>
      </c>
      <c r="E274" s="44" t="s">
        <v>1240</v>
      </c>
      <c r="F274" s="44" t="s">
        <v>1256</v>
      </c>
      <c r="G274" s="104">
        <v>5</v>
      </c>
      <c r="H274" s="44">
        <v>12</v>
      </c>
      <c r="I274" s="39" t="s">
        <v>1242</v>
      </c>
      <c r="J274" s="39" t="s">
        <v>1290</v>
      </c>
      <c r="K274" s="39">
        <v>0</v>
      </c>
      <c r="L274" s="39">
        <v>0</v>
      </c>
      <c r="M274" s="39" t="s">
        <v>1665</v>
      </c>
      <c r="N274" s="41" t="s">
        <v>1261</v>
      </c>
      <c r="O274" s="1" t="s">
        <v>1262</v>
      </c>
      <c r="P274" s="106" t="s">
        <v>1248</v>
      </c>
      <c r="Q274" s="39" t="s">
        <v>227</v>
      </c>
      <c r="R274" s="102">
        <v>1</v>
      </c>
      <c r="S274" s="32"/>
    </row>
    <row r="275" spans="1:19" ht="15" x14ac:dyDescent="0.25">
      <c r="A275" s="39" t="s">
        <v>1666</v>
      </c>
      <c r="B275" s="40" t="s">
        <v>411</v>
      </c>
      <c r="C275" s="39" t="s">
        <v>29</v>
      </c>
      <c r="D275" s="39" t="s">
        <v>271</v>
      </c>
      <c r="E275" s="44" t="s">
        <v>1252</v>
      </c>
      <c r="F275" s="44" t="s">
        <v>1277</v>
      </c>
      <c r="G275" s="44"/>
      <c r="H275" s="44"/>
      <c r="I275" s="39"/>
      <c r="J275" s="39"/>
      <c r="K275" s="39"/>
      <c r="L275" s="39"/>
      <c r="M275" s="39"/>
      <c r="N275" s="107" t="s">
        <v>1253</v>
      </c>
      <c r="O275" s="1" t="s">
        <v>1254</v>
      </c>
      <c r="P275" s="106" t="s">
        <v>1278</v>
      </c>
      <c r="Q275" s="39"/>
      <c r="R275" s="102" t="s">
        <v>1250</v>
      </c>
      <c r="S275" s="32"/>
    </row>
    <row r="276" spans="1:19" ht="15" x14ac:dyDescent="0.25">
      <c r="A276" s="39" t="s">
        <v>845</v>
      </c>
      <c r="B276" s="40" t="s">
        <v>239</v>
      </c>
      <c r="C276" s="39" t="s">
        <v>29</v>
      </c>
      <c r="D276" s="39" t="s">
        <v>227</v>
      </c>
      <c r="E276" s="44" t="s">
        <v>1240</v>
      </c>
      <c r="F276" s="44" t="s">
        <v>1325</v>
      </c>
      <c r="G276" s="104">
        <v>7</v>
      </c>
      <c r="H276" s="110">
        <v>6</v>
      </c>
      <c r="I276" s="39" t="s">
        <v>1313</v>
      </c>
      <c r="J276" s="39">
        <v>0</v>
      </c>
      <c r="K276" s="39">
        <v>0</v>
      </c>
      <c r="L276" s="39">
        <v>0</v>
      </c>
      <c r="M276" s="39" t="s">
        <v>1667</v>
      </c>
      <c r="N276" s="41" t="s">
        <v>1261</v>
      </c>
      <c r="O276" s="1" t="s">
        <v>1262</v>
      </c>
      <c r="P276" s="106" t="s">
        <v>1287</v>
      </c>
      <c r="Q276" s="39" t="s">
        <v>227</v>
      </c>
      <c r="R276" s="102">
        <v>1</v>
      </c>
      <c r="S276" s="32"/>
    </row>
    <row r="277" spans="1:19" ht="15" x14ac:dyDescent="0.25">
      <c r="A277" s="39" t="s">
        <v>149</v>
      </c>
      <c r="B277" s="40" t="s">
        <v>150</v>
      </c>
      <c r="C277" s="39" t="s">
        <v>37</v>
      </c>
      <c r="D277" s="39" t="s">
        <v>271</v>
      </c>
      <c r="E277" s="44" t="s">
        <v>1240</v>
      </c>
      <c r="F277" s="44" t="s">
        <v>1283</v>
      </c>
      <c r="G277" s="104">
        <v>5</v>
      </c>
      <c r="H277" s="44">
        <v>2</v>
      </c>
      <c r="I277" s="39" t="s">
        <v>1321</v>
      </c>
      <c r="J277" s="39">
        <v>0</v>
      </c>
      <c r="K277" s="39">
        <v>0</v>
      </c>
      <c r="L277" s="39">
        <v>0</v>
      </c>
      <c r="M277" s="39" t="s">
        <v>1668</v>
      </c>
      <c r="N277" s="105" t="s">
        <v>1246</v>
      </c>
      <c r="O277" s="1" t="s">
        <v>1247</v>
      </c>
      <c r="P277" s="106" t="s">
        <v>1287</v>
      </c>
      <c r="Q277" s="39" t="s">
        <v>227</v>
      </c>
      <c r="R277" s="102" t="s">
        <v>1250</v>
      </c>
      <c r="S277" s="32"/>
    </row>
    <row r="278" spans="1:19" ht="15" x14ac:dyDescent="0.25">
      <c r="A278" s="39" t="s">
        <v>1669</v>
      </c>
      <c r="B278" s="40" t="s">
        <v>526</v>
      </c>
      <c r="C278" s="39" t="s">
        <v>29</v>
      </c>
      <c r="D278" s="39" t="s">
        <v>271</v>
      </c>
      <c r="E278" s="44" t="s">
        <v>1252</v>
      </c>
      <c r="F278" s="44" t="s">
        <v>1283</v>
      </c>
      <c r="G278" s="44" t="s">
        <v>1267</v>
      </c>
      <c r="H278" s="44">
        <v>2</v>
      </c>
      <c r="I278" s="39" t="s">
        <v>1670</v>
      </c>
      <c r="J278" s="39">
        <v>0</v>
      </c>
      <c r="K278" s="39">
        <v>0</v>
      </c>
      <c r="L278" s="39">
        <v>0</v>
      </c>
      <c r="M278" s="39" t="s">
        <v>1671</v>
      </c>
      <c r="N278" s="41" t="s">
        <v>1261</v>
      </c>
      <c r="O278" s="1" t="s">
        <v>1262</v>
      </c>
      <c r="P278" s="106" t="s">
        <v>1287</v>
      </c>
      <c r="Q278" s="39" t="s">
        <v>1308</v>
      </c>
      <c r="R278" s="102" t="s">
        <v>1250</v>
      </c>
      <c r="S278" s="32"/>
    </row>
    <row r="279" spans="1:19" ht="15" x14ac:dyDescent="0.25">
      <c r="A279" s="39" t="s">
        <v>264</v>
      </c>
      <c r="B279" s="40" t="s">
        <v>265</v>
      </c>
      <c r="C279" s="39" t="s">
        <v>29</v>
      </c>
      <c r="D279" s="39" t="s">
        <v>227</v>
      </c>
      <c r="E279" s="44" t="s">
        <v>1240</v>
      </c>
      <c r="F279" s="44" t="s">
        <v>1241</v>
      </c>
      <c r="G279" s="110" t="s">
        <v>1263</v>
      </c>
      <c r="H279" s="110">
        <v>8</v>
      </c>
      <c r="I279" s="108" t="s">
        <v>1257</v>
      </c>
      <c r="J279" s="39">
        <v>0</v>
      </c>
      <c r="K279" s="39">
        <v>0</v>
      </c>
      <c r="L279" s="39">
        <v>0</v>
      </c>
      <c r="M279" s="39" t="s">
        <v>1672</v>
      </c>
      <c r="N279" s="105" t="s">
        <v>1246</v>
      </c>
      <c r="O279" s="1" t="s">
        <v>1247</v>
      </c>
      <c r="P279" s="106" t="s">
        <v>1248</v>
      </c>
      <c r="Q279" s="39" t="s">
        <v>227</v>
      </c>
      <c r="R279" s="102">
        <v>0.5</v>
      </c>
    </row>
    <row r="280" spans="1:19" ht="15" x14ac:dyDescent="0.25">
      <c r="A280" s="39" t="s">
        <v>1673</v>
      </c>
      <c r="B280" s="40" t="s">
        <v>681</v>
      </c>
      <c r="C280" s="39" t="s">
        <v>37</v>
      </c>
      <c r="D280" s="39" t="s">
        <v>271</v>
      </c>
      <c r="E280" s="44" t="s">
        <v>1252</v>
      </c>
      <c r="F280" s="44" t="s">
        <v>1241</v>
      </c>
      <c r="G280" s="44"/>
      <c r="H280" s="44"/>
      <c r="I280" s="39"/>
      <c r="J280" s="39"/>
      <c r="K280" s="39"/>
      <c r="L280" s="39"/>
      <c r="M280" s="39"/>
      <c r="N280" s="39"/>
      <c r="O280" s="39"/>
      <c r="P280" s="106" t="s">
        <v>1248</v>
      </c>
      <c r="Q280" s="39" t="s">
        <v>1308</v>
      </c>
      <c r="R280" s="102" t="s">
        <v>1250</v>
      </c>
    </row>
    <row r="281" spans="1:19" ht="15" x14ac:dyDescent="0.25">
      <c r="A281" s="39" t="s">
        <v>1674</v>
      </c>
      <c r="B281" s="40" t="s">
        <v>516</v>
      </c>
      <c r="C281" s="39" t="s">
        <v>37</v>
      </c>
      <c r="D281" s="39" t="s">
        <v>271</v>
      </c>
      <c r="E281" s="44" t="s">
        <v>1252</v>
      </c>
      <c r="F281" s="44" t="s">
        <v>1283</v>
      </c>
      <c r="G281" s="104">
        <v>6</v>
      </c>
      <c r="H281" s="44">
        <v>6</v>
      </c>
      <c r="I281" s="39" t="s">
        <v>1312</v>
      </c>
      <c r="J281" s="39">
        <v>0</v>
      </c>
      <c r="K281" s="39">
        <v>0</v>
      </c>
      <c r="L281" s="39">
        <v>0</v>
      </c>
      <c r="M281" s="39" t="s">
        <v>1675</v>
      </c>
      <c r="N281" s="109" t="s">
        <v>1253</v>
      </c>
      <c r="O281" s="1" t="s">
        <v>1254</v>
      </c>
      <c r="P281" s="106" t="s">
        <v>1287</v>
      </c>
      <c r="Q281" s="39" t="s">
        <v>1308</v>
      </c>
      <c r="R281" s="102" t="s">
        <v>1250</v>
      </c>
      <c r="S281" s="32"/>
    </row>
    <row r="282" spans="1:19" ht="15" x14ac:dyDescent="0.25">
      <c r="A282" s="39" t="s">
        <v>1676</v>
      </c>
      <c r="B282" s="40" t="s">
        <v>755</v>
      </c>
      <c r="C282" s="39" t="s">
        <v>496</v>
      </c>
      <c r="D282" s="39" t="s">
        <v>271</v>
      </c>
      <c r="E282" s="44" t="s">
        <v>1252</v>
      </c>
      <c r="F282" s="44"/>
      <c r="G282" s="44"/>
      <c r="H282" s="44"/>
      <c r="I282" s="39"/>
      <c r="J282" s="39"/>
      <c r="K282" s="39"/>
      <c r="L282" s="39"/>
      <c r="M282" s="39"/>
      <c r="N282" s="107" t="s">
        <v>1253</v>
      </c>
      <c r="O282" s="1" t="s">
        <v>1254</v>
      </c>
      <c r="P282" s="106" t="s">
        <v>1266</v>
      </c>
      <c r="Q282" s="39"/>
      <c r="R282" s="102" t="s">
        <v>1250</v>
      </c>
      <c r="S282" s="32"/>
    </row>
    <row r="283" spans="1:19" ht="15" x14ac:dyDescent="0.25">
      <c r="A283" s="39" t="s">
        <v>1677</v>
      </c>
      <c r="B283" s="40" t="s">
        <v>759</v>
      </c>
      <c r="C283" s="39" t="s">
        <v>496</v>
      </c>
      <c r="D283" s="39" t="s">
        <v>271</v>
      </c>
      <c r="E283" s="44" t="s">
        <v>1252</v>
      </c>
      <c r="F283" s="44"/>
      <c r="G283" s="44"/>
      <c r="H283" s="44"/>
      <c r="I283" s="39"/>
      <c r="J283" s="39"/>
      <c r="K283" s="39"/>
      <c r="L283" s="39"/>
      <c r="M283" s="39"/>
      <c r="N283" s="107" t="s">
        <v>1253</v>
      </c>
      <c r="O283" s="1" t="s">
        <v>1254</v>
      </c>
      <c r="P283" s="106" t="s">
        <v>1266</v>
      </c>
      <c r="Q283" s="39"/>
      <c r="R283" s="102" t="s">
        <v>1250</v>
      </c>
      <c r="S283" s="32"/>
    </row>
    <row r="284" spans="1:19" ht="15" x14ac:dyDescent="0.25">
      <c r="A284" s="39" t="s">
        <v>45</v>
      </c>
      <c r="B284" s="40" t="s">
        <v>46</v>
      </c>
      <c r="C284" s="39" t="s">
        <v>37</v>
      </c>
      <c r="D284" s="39" t="s">
        <v>227</v>
      </c>
      <c r="E284" s="44" t="s">
        <v>1240</v>
      </c>
      <c r="F284" s="44" t="s">
        <v>1283</v>
      </c>
      <c r="G284" s="104">
        <v>7</v>
      </c>
      <c r="H284" s="44">
        <v>2</v>
      </c>
      <c r="I284" s="39" t="s">
        <v>1313</v>
      </c>
      <c r="J284" s="39" t="s">
        <v>1312</v>
      </c>
      <c r="K284" s="39">
        <v>0</v>
      </c>
      <c r="L284" s="39">
        <v>0</v>
      </c>
      <c r="M284" s="39" t="s">
        <v>1678</v>
      </c>
      <c r="N284" s="105" t="s">
        <v>1246</v>
      </c>
      <c r="O284" s="1" t="s">
        <v>1247</v>
      </c>
      <c r="P284" s="106" t="s">
        <v>1287</v>
      </c>
      <c r="Q284" s="39" t="s">
        <v>227</v>
      </c>
      <c r="R284" s="102">
        <v>0.25</v>
      </c>
      <c r="S284" s="32"/>
    </row>
    <row r="285" spans="1:19" ht="15" x14ac:dyDescent="0.25">
      <c r="A285" s="39" t="s">
        <v>388</v>
      </c>
      <c r="B285" s="40" t="s">
        <v>389</v>
      </c>
      <c r="C285" s="39" t="s">
        <v>29</v>
      </c>
      <c r="D285" s="39" t="s">
        <v>271</v>
      </c>
      <c r="E285" s="44" t="s">
        <v>1252</v>
      </c>
      <c r="F285" s="44" t="s">
        <v>1277</v>
      </c>
      <c r="G285" s="44"/>
      <c r="H285" s="44"/>
      <c r="I285" s="39"/>
      <c r="J285" s="39"/>
      <c r="K285" s="39"/>
      <c r="L285" s="39"/>
      <c r="M285" s="39"/>
      <c r="N285" s="107" t="s">
        <v>1253</v>
      </c>
      <c r="O285" s="1" t="s">
        <v>1254</v>
      </c>
      <c r="P285" s="106" t="s">
        <v>1278</v>
      </c>
      <c r="Q285" s="39"/>
      <c r="R285" s="102" t="s">
        <v>1250</v>
      </c>
      <c r="S285" s="32"/>
    </row>
    <row r="286" spans="1:19" ht="15" x14ac:dyDescent="0.25">
      <c r="A286" s="39" t="s">
        <v>454</v>
      </c>
      <c r="B286" s="40" t="s">
        <v>455</v>
      </c>
      <c r="C286" s="39" t="s">
        <v>29</v>
      </c>
      <c r="D286" s="39" t="s">
        <v>271</v>
      </c>
      <c r="E286" s="44" t="s">
        <v>1252</v>
      </c>
      <c r="F286" s="44"/>
      <c r="G286" s="44"/>
      <c r="H286" s="44"/>
      <c r="I286" s="39"/>
      <c r="J286" s="39"/>
      <c r="K286" s="39"/>
      <c r="L286" s="39"/>
      <c r="M286" s="39"/>
      <c r="N286" s="107" t="s">
        <v>1253</v>
      </c>
      <c r="O286" s="1" t="s">
        <v>1254</v>
      </c>
      <c r="P286" s="106" t="s">
        <v>1255</v>
      </c>
      <c r="Q286" s="39"/>
      <c r="R286" s="102" t="s">
        <v>1250</v>
      </c>
    </row>
    <row r="287" spans="1:19" ht="15" x14ac:dyDescent="0.25">
      <c r="A287" s="39" t="s">
        <v>92</v>
      </c>
      <c r="B287" s="40" t="s">
        <v>93</v>
      </c>
      <c r="C287" s="39" t="s">
        <v>29</v>
      </c>
      <c r="D287" s="39" t="s">
        <v>227</v>
      </c>
      <c r="E287" s="44" t="s">
        <v>1240</v>
      </c>
      <c r="F287" s="44" t="s">
        <v>1256</v>
      </c>
      <c r="G287" s="104">
        <v>7</v>
      </c>
      <c r="H287" s="44">
        <v>4</v>
      </c>
      <c r="I287" s="39" t="s">
        <v>1257</v>
      </c>
      <c r="J287" s="39" t="s">
        <v>1290</v>
      </c>
      <c r="K287" s="39" t="s">
        <v>1289</v>
      </c>
      <c r="L287" s="39"/>
      <c r="M287" s="39" t="s">
        <v>1679</v>
      </c>
      <c r="N287" s="109" t="s">
        <v>1253</v>
      </c>
      <c r="O287" s="1" t="s">
        <v>1254</v>
      </c>
      <c r="P287" s="106" t="s">
        <v>1248</v>
      </c>
      <c r="Q287" s="39" t="s">
        <v>227</v>
      </c>
      <c r="R287" s="102">
        <v>1.25</v>
      </c>
      <c r="S287" s="32"/>
    </row>
    <row r="288" spans="1:19" ht="15" x14ac:dyDescent="0.25">
      <c r="A288" s="39" t="s">
        <v>47</v>
      </c>
      <c r="B288" s="40" t="s">
        <v>48</v>
      </c>
      <c r="C288" s="39" t="s">
        <v>37</v>
      </c>
      <c r="D288" s="39" t="s">
        <v>271</v>
      </c>
      <c r="E288" s="44" t="s">
        <v>1240</v>
      </c>
      <c r="F288" s="44" t="s">
        <v>1283</v>
      </c>
      <c r="G288" s="44">
        <v>5.5</v>
      </c>
      <c r="H288" s="44">
        <v>2</v>
      </c>
      <c r="I288" s="39" t="s">
        <v>1285</v>
      </c>
      <c r="J288" s="39" t="s">
        <v>1314</v>
      </c>
      <c r="K288" s="39" t="s">
        <v>1284</v>
      </c>
      <c r="L288" s="39">
        <v>0</v>
      </c>
      <c r="M288" s="39" t="s">
        <v>1680</v>
      </c>
      <c r="N288" s="109" t="s">
        <v>1253</v>
      </c>
      <c r="O288" s="1" t="s">
        <v>1254</v>
      </c>
      <c r="P288" s="106" t="s">
        <v>1287</v>
      </c>
      <c r="Q288" s="39" t="s">
        <v>227</v>
      </c>
      <c r="R288" s="102">
        <v>1.2</v>
      </c>
      <c r="S288" s="32"/>
    </row>
    <row r="289" spans="1:19" ht="15" x14ac:dyDescent="0.25">
      <c r="A289" s="39" t="s">
        <v>2</v>
      </c>
      <c r="B289" s="40" t="s">
        <v>49</v>
      </c>
      <c r="C289" s="39" t="s">
        <v>29</v>
      </c>
      <c r="D289" s="39" t="s">
        <v>227</v>
      </c>
      <c r="E289" s="44" t="s">
        <v>1240</v>
      </c>
      <c r="F289" s="44" t="s">
        <v>1283</v>
      </c>
      <c r="G289" s="104">
        <v>6</v>
      </c>
      <c r="H289" s="44">
        <v>2</v>
      </c>
      <c r="I289" s="39" t="s">
        <v>1285</v>
      </c>
      <c r="J289" s="39">
        <v>0</v>
      </c>
      <c r="K289" s="39">
        <v>0</v>
      </c>
      <c r="L289" s="39">
        <v>0</v>
      </c>
      <c r="M289" s="39" t="s">
        <v>1681</v>
      </c>
      <c r="N289" s="109" t="s">
        <v>1253</v>
      </c>
      <c r="O289" s="1" t="s">
        <v>1254</v>
      </c>
      <c r="P289" s="106" t="s">
        <v>1287</v>
      </c>
      <c r="Q289" s="39" t="s">
        <v>227</v>
      </c>
      <c r="R289" s="102">
        <v>1.2</v>
      </c>
      <c r="S289" s="32"/>
    </row>
    <row r="290" spans="1:19" ht="15" x14ac:dyDescent="0.25">
      <c r="A290" s="39" t="s">
        <v>620</v>
      </c>
      <c r="B290" s="40" t="s">
        <v>621</v>
      </c>
      <c r="C290" s="39" t="s">
        <v>29</v>
      </c>
      <c r="D290" s="39" t="s">
        <v>271</v>
      </c>
      <c r="E290" s="44" t="s">
        <v>1252</v>
      </c>
      <c r="F290" s="44" t="s">
        <v>1283</v>
      </c>
      <c r="G290" s="44"/>
      <c r="H290" s="44"/>
      <c r="I290" s="39"/>
      <c r="J290" s="39"/>
      <c r="K290" s="39"/>
      <c r="L290" s="39"/>
      <c r="M290" s="39"/>
      <c r="N290" s="39"/>
      <c r="O290" s="39"/>
      <c r="P290" s="106" t="s">
        <v>1287</v>
      </c>
      <c r="Q290" s="39" t="s">
        <v>1308</v>
      </c>
      <c r="R290" s="102" t="s">
        <v>1250</v>
      </c>
      <c r="S290" s="32"/>
    </row>
    <row r="291" spans="1:19" ht="15" x14ac:dyDescent="0.25">
      <c r="A291" s="39" t="s">
        <v>1682</v>
      </c>
      <c r="B291" s="40" t="s">
        <v>582</v>
      </c>
      <c r="C291" s="39" t="s">
        <v>29</v>
      </c>
      <c r="D291" s="39" t="s">
        <v>271</v>
      </c>
      <c r="E291" s="44" t="s">
        <v>1252</v>
      </c>
      <c r="F291" s="44" t="s">
        <v>1283</v>
      </c>
      <c r="G291" s="44" t="s">
        <v>1505</v>
      </c>
      <c r="H291" s="44">
        <v>12</v>
      </c>
      <c r="I291" s="39" t="s">
        <v>1321</v>
      </c>
      <c r="J291" s="39">
        <v>0</v>
      </c>
      <c r="K291" s="39">
        <v>0</v>
      </c>
      <c r="L291" s="39">
        <v>0</v>
      </c>
      <c r="M291" s="39" t="s">
        <v>1683</v>
      </c>
      <c r="N291" s="41" t="s">
        <v>1261</v>
      </c>
      <c r="O291" s="1" t="s">
        <v>1262</v>
      </c>
      <c r="P291" s="106" t="s">
        <v>1287</v>
      </c>
      <c r="Q291" s="39" t="s">
        <v>227</v>
      </c>
      <c r="R291" s="102" t="s">
        <v>1250</v>
      </c>
    </row>
    <row r="292" spans="1:19" ht="15" x14ac:dyDescent="0.25">
      <c r="A292" s="39" t="s">
        <v>1684</v>
      </c>
      <c r="B292" s="40" t="s">
        <v>653</v>
      </c>
      <c r="C292" s="39" t="s">
        <v>29</v>
      </c>
      <c r="D292" s="39" t="s">
        <v>271</v>
      </c>
      <c r="E292" s="44" t="s">
        <v>1252</v>
      </c>
      <c r="F292" s="44"/>
      <c r="G292" s="44"/>
      <c r="H292" s="44"/>
      <c r="I292" s="39"/>
      <c r="J292" s="39"/>
      <c r="K292" s="39"/>
      <c r="L292" s="39"/>
      <c r="M292" s="39" t="s">
        <v>1685</v>
      </c>
      <c r="N292" s="105" t="s">
        <v>1246</v>
      </c>
      <c r="O292" s="1" t="s">
        <v>1247</v>
      </c>
      <c r="P292" s="106" t="s">
        <v>1299</v>
      </c>
      <c r="Q292" s="39" t="s">
        <v>227</v>
      </c>
      <c r="R292" s="102" t="s">
        <v>1250</v>
      </c>
      <c r="S292" s="32"/>
    </row>
    <row r="293" spans="1:19" ht="15" x14ac:dyDescent="0.25">
      <c r="A293" s="39" t="s">
        <v>211</v>
      </c>
      <c r="B293" s="40" t="s">
        <v>212</v>
      </c>
      <c r="C293" s="39" t="s">
        <v>29</v>
      </c>
      <c r="D293" s="39" t="s">
        <v>227</v>
      </c>
      <c r="E293" s="44" t="s">
        <v>1240</v>
      </c>
      <c r="F293" s="44" t="s">
        <v>1241</v>
      </c>
      <c r="G293" s="111">
        <v>6</v>
      </c>
      <c r="H293" s="110">
        <v>12</v>
      </c>
      <c r="I293" s="108" t="s">
        <v>1318</v>
      </c>
      <c r="J293" s="39"/>
      <c r="K293" s="39"/>
      <c r="L293" s="39"/>
      <c r="M293" s="39" t="s">
        <v>1686</v>
      </c>
      <c r="N293" s="105" t="s">
        <v>1246</v>
      </c>
      <c r="O293" s="1" t="s">
        <v>1247</v>
      </c>
      <c r="P293" s="106" t="s">
        <v>1248</v>
      </c>
      <c r="Q293" s="39" t="s">
        <v>227</v>
      </c>
      <c r="R293" s="102">
        <v>0.5</v>
      </c>
      <c r="S293" s="32"/>
    </row>
    <row r="294" spans="1:19" ht="15" x14ac:dyDescent="0.25">
      <c r="A294" s="39" t="s">
        <v>909</v>
      </c>
      <c r="B294" s="40" t="s">
        <v>420</v>
      </c>
      <c r="C294" s="39" t="s">
        <v>29</v>
      </c>
      <c r="D294" s="39" t="s">
        <v>271</v>
      </c>
      <c r="E294" s="44" t="s">
        <v>1252</v>
      </c>
      <c r="F294" s="44" t="s">
        <v>1277</v>
      </c>
      <c r="G294" s="44" t="s">
        <v>1687</v>
      </c>
      <c r="H294" s="44">
        <v>0</v>
      </c>
      <c r="I294" s="39" t="s">
        <v>1278</v>
      </c>
      <c r="J294" s="39">
        <v>0</v>
      </c>
      <c r="K294" s="39">
        <v>0</v>
      </c>
      <c r="L294" s="39">
        <v>0</v>
      </c>
      <c r="M294" s="39" t="s">
        <v>1688</v>
      </c>
      <c r="N294" s="107" t="s">
        <v>1253</v>
      </c>
      <c r="O294" s="1" t="s">
        <v>1254</v>
      </c>
      <c r="P294" s="106" t="s">
        <v>1278</v>
      </c>
      <c r="Q294" s="39"/>
      <c r="R294" s="102" t="s">
        <v>1250</v>
      </c>
      <c r="S294" s="32"/>
    </row>
    <row r="295" spans="1:19" ht="15" x14ac:dyDescent="0.25">
      <c r="A295" s="39" t="s">
        <v>1689</v>
      </c>
      <c r="B295" s="40" t="s">
        <v>578</v>
      </c>
      <c r="C295" s="39" t="s">
        <v>37</v>
      </c>
      <c r="D295" s="39" t="s">
        <v>271</v>
      </c>
      <c r="E295" s="44" t="s">
        <v>1252</v>
      </c>
      <c r="F295" s="44" t="s">
        <v>1283</v>
      </c>
      <c r="G295" s="44" t="s">
        <v>1472</v>
      </c>
      <c r="H295" s="44">
        <v>6</v>
      </c>
      <c r="I295" s="39" t="s">
        <v>1321</v>
      </c>
      <c r="J295" s="39">
        <v>0</v>
      </c>
      <c r="K295" s="39">
        <v>0</v>
      </c>
      <c r="L295" s="39">
        <v>0</v>
      </c>
      <c r="M295" s="39" t="s">
        <v>1690</v>
      </c>
      <c r="N295" s="105" t="s">
        <v>1246</v>
      </c>
      <c r="O295" s="1" t="s">
        <v>1247</v>
      </c>
      <c r="P295" s="106" t="s">
        <v>1287</v>
      </c>
      <c r="Q295" s="39" t="s">
        <v>227</v>
      </c>
      <c r="R295" s="102" t="s">
        <v>1250</v>
      </c>
      <c r="S295" s="32"/>
    </row>
    <row r="296" spans="1:19" ht="15" x14ac:dyDescent="0.25">
      <c r="A296" s="39" t="s">
        <v>1691</v>
      </c>
      <c r="B296" s="40" t="s">
        <v>631</v>
      </c>
      <c r="C296" s="39" t="s">
        <v>29</v>
      </c>
      <c r="D296" s="39" t="s">
        <v>271</v>
      </c>
      <c r="E296" s="44" t="s">
        <v>1252</v>
      </c>
      <c r="F296" s="44"/>
      <c r="G296" s="44" t="s">
        <v>1522</v>
      </c>
      <c r="H296" s="44">
        <v>4</v>
      </c>
      <c r="I296" s="39" t="s">
        <v>1523</v>
      </c>
      <c r="J296" s="39">
        <v>0</v>
      </c>
      <c r="K296" s="39">
        <v>0</v>
      </c>
      <c r="L296" s="39">
        <v>0</v>
      </c>
      <c r="M296" s="39" t="s">
        <v>1524</v>
      </c>
      <c r="N296" s="109" t="s">
        <v>1253</v>
      </c>
      <c r="O296" s="1" t="s">
        <v>1254</v>
      </c>
      <c r="P296" s="106" t="s">
        <v>1299</v>
      </c>
      <c r="Q296" s="39" t="s">
        <v>227</v>
      </c>
      <c r="R296" s="102" t="s">
        <v>1250</v>
      </c>
    </row>
    <row r="297" spans="1:19" ht="15" x14ac:dyDescent="0.25">
      <c r="A297" s="39" t="s">
        <v>100</v>
      </c>
      <c r="B297" s="40" t="s">
        <v>263</v>
      </c>
      <c r="C297" s="39" t="s">
        <v>29</v>
      </c>
      <c r="D297" s="39" t="s">
        <v>227</v>
      </c>
      <c r="E297" s="44" t="s">
        <v>1240</v>
      </c>
      <c r="F297" s="44" t="s">
        <v>1256</v>
      </c>
      <c r="G297" s="104">
        <v>6</v>
      </c>
      <c r="H297" s="44">
        <v>12</v>
      </c>
      <c r="I297" s="39" t="s">
        <v>1244</v>
      </c>
      <c r="J297" s="39">
        <v>0</v>
      </c>
      <c r="K297" s="39">
        <v>0</v>
      </c>
      <c r="L297" s="39">
        <v>0</v>
      </c>
      <c r="M297" s="39" t="s">
        <v>1423</v>
      </c>
      <c r="N297" s="41" t="s">
        <v>1261</v>
      </c>
      <c r="O297" s="1" t="s">
        <v>1262</v>
      </c>
      <c r="P297" s="106" t="s">
        <v>1248</v>
      </c>
      <c r="Q297" s="39" t="s">
        <v>227</v>
      </c>
      <c r="R297" s="102">
        <v>0.5</v>
      </c>
    </row>
    <row r="298" spans="1:19" ht="15" x14ac:dyDescent="0.25">
      <c r="A298" s="39" t="s">
        <v>729</v>
      </c>
      <c r="B298" s="40" t="s">
        <v>101</v>
      </c>
      <c r="C298" s="39" t="s">
        <v>37</v>
      </c>
      <c r="D298" s="39" t="s">
        <v>271</v>
      </c>
      <c r="E298" s="44" t="s">
        <v>1240</v>
      </c>
      <c r="F298" s="44" t="s">
        <v>1241</v>
      </c>
      <c r="G298" s="44">
        <v>5.5</v>
      </c>
      <c r="H298" s="44">
        <v>12</v>
      </c>
      <c r="I298" s="39" t="s">
        <v>1244</v>
      </c>
      <c r="J298" s="39">
        <v>0</v>
      </c>
      <c r="K298" s="39">
        <v>0</v>
      </c>
      <c r="L298" s="39">
        <v>0</v>
      </c>
      <c r="M298" s="39" t="s">
        <v>1423</v>
      </c>
      <c r="N298" s="41" t="s">
        <v>1261</v>
      </c>
      <c r="O298" s="1" t="s">
        <v>1262</v>
      </c>
      <c r="P298" s="106" t="s">
        <v>1248</v>
      </c>
      <c r="Q298" s="39" t="s">
        <v>227</v>
      </c>
      <c r="R298" s="102" t="s">
        <v>1250</v>
      </c>
      <c r="S298" s="32"/>
    </row>
    <row r="299" spans="1:19" ht="15" x14ac:dyDescent="0.25">
      <c r="A299" s="39" t="s">
        <v>266</v>
      </c>
      <c r="B299" s="40" t="s">
        <v>267</v>
      </c>
      <c r="C299" s="39" t="s">
        <v>37</v>
      </c>
      <c r="D299" s="39" t="s">
        <v>227</v>
      </c>
      <c r="E299" s="44" t="s">
        <v>1240</v>
      </c>
      <c r="F299" s="44" t="s">
        <v>1241</v>
      </c>
      <c r="G299" s="104">
        <v>7</v>
      </c>
      <c r="H299" s="44">
        <v>8</v>
      </c>
      <c r="I299" s="39" t="s">
        <v>1244</v>
      </c>
      <c r="J299" s="39">
        <v>0</v>
      </c>
      <c r="K299" s="39">
        <v>0</v>
      </c>
      <c r="L299" s="39">
        <v>0</v>
      </c>
      <c r="M299" s="39" t="s">
        <v>1692</v>
      </c>
      <c r="N299" s="105" t="s">
        <v>1246</v>
      </c>
      <c r="O299" s="1" t="s">
        <v>1247</v>
      </c>
      <c r="P299" s="106" t="s">
        <v>1248</v>
      </c>
      <c r="Q299" s="39" t="s">
        <v>227</v>
      </c>
      <c r="R299" s="102">
        <v>0.3</v>
      </c>
      <c r="S299" s="32"/>
    </row>
    <row r="300" spans="1:19" ht="15" x14ac:dyDescent="0.25">
      <c r="A300" s="39" t="s">
        <v>128</v>
      </c>
      <c r="B300" s="40" t="s">
        <v>129</v>
      </c>
      <c r="C300" s="39" t="s">
        <v>29</v>
      </c>
      <c r="D300" s="39" t="s">
        <v>227</v>
      </c>
      <c r="E300" s="44" t="s">
        <v>1240</v>
      </c>
      <c r="F300" s="44" t="s">
        <v>1283</v>
      </c>
      <c r="G300" s="111">
        <v>7</v>
      </c>
      <c r="H300" s="110">
        <v>6</v>
      </c>
      <c r="I300" s="39" t="s">
        <v>1315</v>
      </c>
      <c r="J300" s="39"/>
      <c r="K300" s="39"/>
      <c r="L300" s="39"/>
      <c r="M300" s="39" t="s">
        <v>1693</v>
      </c>
      <c r="N300" s="105" t="s">
        <v>1246</v>
      </c>
      <c r="O300" s="1" t="s">
        <v>1247</v>
      </c>
      <c r="P300" s="106" t="s">
        <v>1287</v>
      </c>
      <c r="Q300" s="39" t="s">
        <v>227</v>
      </c>
      <c r="R300" s="102">
        <v>0.6</v>
      </c>
      <c r="S300" s="32"/>
    </row>
    <row r="301" spans="1:19" ht="15" x14ac:dyDescent="0.25">
      <c r="A301" s="39" t="s">
        <v>846</v>
      </c>
      <c r="B301" s="40" t="s">
        <v>178</v>
      </c>
      <c r="C301" s="39" t="s">
        <v>37</v>
      </c>
      <c r="D301" s="39" t="s">
        <v>227</v>
      </c>
      <c r="E301" s="44" t="s">
        <v>1240</v>
      </c>
      <c r="F301" s="44" t="s">
        <v>1325</v>
      </c>
      <c r="G301" s="44">
        <v>5.5</v>
      </c>
      <c r="H301" s="44">
        <v>4</v>
      </c>
      <c r="I301" s="39" t="s">
        <v>1285</v>
      </c>
      <c r="J301" s="39">
        <v>0</v>
      </c>
      <c r="K301" s="39">
        <v>0</v>
      </c>
      <c r="L301" s="39">
        <v>0</v>
      </c>
      <c r="M301" s="39" t="s">
        <v>1588</v>
      </c>
      <c r="N301" s="105" t="s">
        <v>1246</v>
      </c>
      <c r="O301" s="1" t="s">
        <v>1247</v>
      </c>
      <c r="P301" s="106" t="s">
        <v>1287</v>
      </c>
      <c r="Q301" s="39" t="s">
        <v>227</v>
      </c>
      <c r="R301" s="102">
        <v>2</v>
      </c>
      <c r="S301" s="32"/>
    </row>
    <row r="302" spans="1:19" ht="15" x14ac:dyDescent="0.25">
      <c r="A302" s="39" t="s">
        <v>1694</v>
      </c>
      <c r="B302" s="40" t="s">
        <v>158</v>
      </c>
      <c r="C302" s="39" t="s">
        <v>29</v>
      </c>
      <c r="D302" s="39" t="s">
        <v>227</v>
      </c>
      <c r="E302" s="44" t="s">
        <v>1240</v>
      </c>
      <c r="F302" s="44"/>
      <c r="G302" s="104">
        <v>7</v>
      </c>
      <c r="H302" s="44">
        <v>2</v>
      </c>
      <c r="I302" s="39" t="s">
        <v>1695</v>
      </c>
      <c r="J302" s="39">
        <v>0</v>
      </c>
      <c r="K302" s="39">
        <v>0</v>
      </c>
      <c r="L302" s="39">
        <v>0</v>
      </c>
      <c r="M302" s="39" t="s">
        <v>1696</v>
      </c>
      <c r="N302" s="105" t="s">
        <v>1246</v>
      </c>
      <c r="O302" s="1" t="s">
        <v>1247</v>
      </c>
      <c r="P302" s="106" t="s">
        <v>1299</v>
      </c>
      <c r="Q302" s="39" t="s">
        <v>227</v>
      </c>
      <c r="R302" s="102" t="s">
        <v>1250</v>
      </c>
      <c r="S302" s="32"/>
    </row>
    <row r="303" spans="1:19" ht="15" x14ac:dyDescent="0.25">
      <c r="A303" s="39" t="s">
        <v>1697</v>
      </c>
      <c r="B303" s="40" t="s">
        <v>637</v>
      </c>
      <c r="C303" s="39" t="s">
        <v>37</v>
      </c>
      <c r="D303" s="39" t="s">
        <v>271</v>
      </c>
      <c r="E303" s="44" t="s">
        <v>1252</v>
      </c>
      <c r="F303" s="44"/>
      <c r="G303" s="44"/>
      <c r="H303" s="44"/>
      <c r="I303" s="39"/>
      <c r="J303" s="39"/>
      <c r="K303" s="39"/>
      <c r="L303" s="39"/>
      <c r="M303" s="39" t="s">
        <v>1698</v>
      </c>
      <c r="N303" s="109" t="s">
        <v>1253</v>
      </c>
      <c r="O303" s="1" t="s">
        <v>1254</v>
      </c>
      <c r="P303" s="106" t="s">
        <v>1299</v>
      </c>
      <c r="Q303" s="39" t="s">
        <v>227</v>
      </c>
      <c r="R303" s="102" t="s">
        <v>1250</v>
      </c>
    </row>
    <row r="304" spans="1:19" ht="15" x14ac:dyDescent="0.25">
      <c r="A304" s="39" t="s">
        <v>1699</v>
      </c>
      <c r="B304" s="40" t="s">
        <v>55</v>
      </c>
      <c r="C304" s="39" t="s">
        <v>29</v>
      </c>
      <c r="D304" s="39" t="s">
        <v>271</v>
      </c>
      <c r="E304" s="44" t="s">
        <v>1240</v>
      </c>
      <c r="F304" s="44" t="s">
        <v>1283</v>
      </c>
      <c r="G304" s="104">
        <v>7</v>
      </c>
      <c r="H304" s="44">
        <v>2</v>
      </c>
      <c r="I304" s="39" t="s">
        <v>1313</v>
      </c>
      <c r="J304" s="39">
        <v>0</v>
      </c>
      <c r="K304" s="39">
        <v>0</v>
      </c>
      <c r="L304" s="39">
        <v>0</v>
      </c>
      <c r="M304" s="39" t="s">
        <v>1700</v>
      </c>
      <c r="N304" s="109" t="s">
        <v>1253</v>
      </c>
      <c r="O304" s="1" t="s">
        <v>1254</v>
      </c>
      <c r="P304" s="106" t="s">
        <v>1287</v>
      </c>
      <c r="Q304" s="39" t="s">
        <v>227</v>
      </c>
      <c r="R304" s="102" t="s">
        <v>1250</v>
      </c>
      <c r="S304" s="32"/>
    </row>
    <row r="305" spans="1:19" ht="15" x14ac:dyDescent="0.25">
      <c r="A305" s="116" t="s">
        <v>1701</v>
      </c>
      <c r="B305" s="40" t="s">
        <v>220</v>
      </c>
      <c r="C305" s="39" t="s">
        <v>37</v>
      </c>
      <c r="D305" s="39" t="s">
        <v>227</v>
      </c>
      <c r="E305" s="44" t="s">
        <v>1240</v>
      </c>
      <c r="F305" s="44" t="s">
        <v>1283</v>
      </c>
      <c r="G305" s="104">
        <v>6</v>
      </c>
      <c r="H305" s="44">
        <v>2</v>
      </c>
      <c r="I305" s="39" t="s">
        <v>1313</v>
      </c>
      <c r="J305" s="39">
        <v>0</v>
      </c>
      <c r="K305" s="39">
        <v>0</v>
      </c>
      <c r="L305" s="39">
        <v>0</v>
      </c>
      <c r="M305" s="39" t="s">
        <v>1700</v>
      </c>
      <c r="N305" s="109" t="s">
        <v>1253</v>
      </c>
      <c r="O305" s="1" t="s">
        <v>1254</v>
      </c>
      <c r="P305" s="106" t="s">
        <v>1287</v>
      </c>
      <c r="Q305" s="39" t="s">
        <v>227</v>
      </c>
      <c r="R305" s="102">
        <v>1</v>
      </c>
      <c r="S305" s="32"/>
    </row>
    <row r="306" spans="1:19" ht="15" x14ac:dyDescent="0.25">
      <c r="A306" s="39" t="s">
        <v>1702</v>
      </c>
      <c r="B306" s="40" t="s">
        <v>522</v>
      </c>
      <c r="C306" s="39" t="s">
        <v>29</v>
      </c>
      <c r="D306" s="39" t="s">
        <v>271</v>
      </c>
      <c r="E306" s="44" t="s">
        <v>1252</v>
      </c>
      <c r="F306" s="44" t="s">
        <v>1283</v>
      </c>
      <c r="G306" s="44" t="s">
        <v>1267</v>
      </c>
      <c r="H306" s="44">
        <v>6</v>
      </c>
      <c r="I306" s="39" t="s">
        <v>1321</v>
      </c>
      <c r="J306" s="39">
        <v>0</v>
      </c>
      <c r="K306" s="39">
        <v>0</v>
      </c>
      <c r="L306" s="39">
        <v>0</v>
      </c>
      <c r="M306" s="39" t="s">
        <v>1703</v>
      </c>
      <c r="N306" s="105" t="s">
        <v>1246</v>
      </c>
      <c r="O306" s="1" t="s">
        <v>1247</v>
      </c>
      <c r="P306" s="106" t="s">
        <v>1287</v>
      </c>
      <c r="Q306" s="39" t="s">
        <v>227</v>
      </c>
      <c r="R306" s="102" t="s">
        <v>1250</v>
      </c>
      <c r="S306" s="32"/>
    </row>
    <row r="307" spans="1:19" ht="15" x14ac:dyDescent="0.25">
      <c r="A307" s="39" t="s">
        <v>1704</v>
      </c>
      <c r="B307" s="40" t="s">
        <v>695</v>
      </c>
      <c r="C307" s="39" t="s">
        <v>29</v>
      </c>
      <c r="D307" s="39" t="s">
        <v>271</v>
      </c>
      <c r="E307" s="44" t="s">
        <v>1252</v>
      </c>
      <c r="F307" s="44" t="s">
        <v>1241</v>
      </c>
      <c r="G307" s="104">
        <v>5</v>
      </c>
      <c r="H307" s="44">
        <v>4</v>
      </c>
      <c r="I307" s="39" t="s">
        <v>1257</v>
      </c>
      <c r="J307" s="39">
        <v>0</v>
      </c>
      <c r="K307" s="39">
        <v>0</v>
      </c>
      <c r="L307" s="39">
        <v>0</v>
      </c>
      <c r="M307" s="39" t="s">
        <v>1705</v>
      </c>
      <c r="N307" s="109" t="s">
        <v>1253</v>
      </c>
      <c r="O307" s="1" t="s">
        <v>1254</v>
      </c>
      <c r="P307" s="106" t="s">
        <v>1248</v>
      </c>
      <c r="Q307" s="39" t="s">
        <v>227</v>
      </c>
      <c r="R307" s="102" t="s">
        <v>1250</v>
      </c>
      <c r="S307" s="32"/>
    </row>
    <row r="308" spans="1:19" ht="15" x14ac:dyDescent="0.25">
      <c r="A308" s="39" t="s">
        <v>1706</v>
      </c>
      <c r="B308" s="40" t="s">
        <v>722</v>
      </c>
      <c r="C308" s="39" t="s">
        <v>29</v>
      </c>
      <c r="D308" s="39" t="s">
        <v>271</v>
      </c>
      <c r="E308" s="44" t="s">
        <v>1252</v>
      </c>
      <c r="F308" s="44" t="s">
        <v>1241</v>
      </c>
      <c r="G308" s="44" t="s">
        <v>1339</v>
      </c>
      <c r="H308" s="44">
        <v>8</v>
      </c>
      <c r="I308" s="39" t="s">
        <v>1257</v>
      </c>
      <c r="J308" s="39">
        <v>0</v>
      </c>
      <c r="K308" s="39">
        <v>0</v>
      </c>
      <c r="L308" s="39">
        <v>0</v>
      </c>
      <c r="M308" s="39" t="s">
        <v>1707</v>
      </c>
      <c r="N308" s="105" t="s">
        <v>1246</v>
      </c>
      <c r="O308" s="1" t="s">
        <v>1247</v>
      </c>
      <c r="P308" s="106" t="s">
        <v>1248</v>
      </c>
      <c r="Q308" s="39" t="s">
        <v>227</v>
      </c>
      <c r="R308" s="102" t="s">
        <v>1250</v>
      </c>
      <c r="S308" s="32"/>
    </row>
    <row r="309" spans="1:19" ht="15" x14ac:dyDescent="0.25">
      <c r="A309" s="41" t="s">
        <v>1708</v>
      </c>
      <c r="B309" s="40" t="s">
        <v>574</v>
      </c>
      <c r="C309" s="39" t="s">
        <v>29</v>
      </c>
      <c r="D309" s="39" t="s">
        <v>271</v>
      </c>
      <c r="E309" s="44" t="s">
        <v>1252</v>
      </c>
      <c r="F309" s="44" t="s">
        <v>1283</v>
      </c>
      <c r="G309" s="44"/>
      <c r="H309" s="44"/>
      <c r="I309" s="39" t="s">
        <v>1315</v>
      </c>
      <c r="J309" s="39" t="s">
        <v>1312</v>
      </c>
      <c r="K309" s="39">
        <v>0</v>
      </c>
      <c r="L309" s="39">
        <v>0</v>
      </c>
      <c r="M309" s="39" t="s">
        <v>1709</v>
      </c>
      <c r="N309" s="105" t="s">
        <v>1246</v>
      </c>
      <c r="O309" s="1" t="s">
        <v>1247</v>
      </c>
      <c r="P309" s="106" t="s">
        <v>1287</v>
      </c>
      <c r="Q309" s="39" t="s">
        <v>227</v>
      </c>
      <c r="R309" s="102" t="s">
        <v>1250</v>
      </c>
    </row>
    <row r="310" spans="1:19" ht="15" x14ac:dyDescent="0.25">
      <c r="A310" s="39" t="s">
        <v>159</v>
      </c>
      <c r="B310" s="40" t="s">
        <v>160</v>
      </c>
      <c r="C310" s="39" t="s">
        <v>29</v>
      </c>
      <c r="D310" s="39" t="s">
        <v>271</v>
      </c>
      <c r="E310" s="44" t="s">
        <v>1240</v>
      </c>
      <c r="F310" s="44" t="s">
        <v>1283</v>
      </c>
      <c r="G310" s="44" t="s">
        <v>1263</v>
      </c>
      <c r="H310" s="44">
        <v>2</v>
      </c>
      <c r="I310" s="39" t="s">
        <v>1313</v>
      </c>
      <c r="J310" s="39">
        <v>0</v>
      </c>
      <c r="K310" s="39">
        <v>0</v>
      </c>
      <c r="L310" s="39">
        <v>0</v>
      </c>
      <c r="M310" s="39" t="s">
        <v>1710</v>
      </c>
      <c r="N310" s="109" t="s">
        <v>1253</v>
      </c>
      <c r="O310" s="1" t="s">
        <v>1254</v>
      </c>
      <c r="P310" s="106" t="s">
        <v>1287</v>
      </c>
      <c r="Q310" s="39" t="s">
        <v>227</v>
      </c>
      <c r="R310" s="102">
        <v>1</v>
      </c>
    </row>
    <row r="311" spans="1:19" ht="15" x14ac:dyDescent="0.25">
      <c r="A311" s="39" t="s">
        <v>94</v>
      </c>
      <c r="B311" s="40" t="s">
        <v>95</v>
      </c>
      <c r="C311" s="39" t="s">
        <v>29</v>
      </c>
      <c r="D311" s="39" t="s">
        <v>227</v>
      </c>
      <c r="E311" s="44" t="s">
        <v>1240</v>
      </c>
      <c r="F311" s="44" t="s">
        <v>1283</v>
      </c>
      <c r="G311" s="104">
        <v>6</v>
      </c>
      <c r="H311" s="44">
        <v>4</v>
      </c>
      <c r="I311" s="39" t="s">
        <v>1321</v>
      </c>
      <c r="J311" s="39" t="s">
        <v>1312</v>
      </c>
      <c r="K311" s="39" t="s">
        <v>1313</v>
      </c>
      <c r="L311" s="39">
        <v>0</v>
      </c>
      <c r="M311" s="39" t="s">
        <v>1468</v>
      </c>
      <c r="N311" s="105" t="s">
        <v>1246</v>
      </c>
      <c r="O311" s="1" t="s">
        <v>1247</v>
      </c>
      <c r="P311" s="106" t="s">
        <v>1287</v>
      </c>
      <c r="Q311" s="39" t="s">
        <v>227</v>
      </c>
      <c r="R311" s="102">
        <v>0.8</v>
      </c>
      <c r="S311" s="32"/>
    </row>
    <row r="312" spans="1:19" ht="15" x14ac:dyDescent="0.25">
      <c r="A312" s="39" t="s">
        <v>1711</v>
      </c>
      <c r="B312" s="40" t="s">
        <v>609</v>
      </c>
      <c r="C312" s="39" t="s">
        <v>29</v>
      </c>
      <c r="D312" s="39" t="s">
        <v>271</v>
      </c>
      <c r="E312" s="44" t="s">
        <v>1252</v>
      </c>
      <c r="F312" s="44" t="s">
        <v>1283</v>
      </c>
      <c r="G312" s="44" t="s">
        <v>1339</v>
      </c>
      <c r="H312" s="44">
        <v>6</v>
      </c>
      <c r="I312" s="39" t="s">
        <v>1313</v>
      </c>
      <c r="J312" s="39">
        <v>0</v>
      </c>
      <c r="K312" s="39">
        <v>0</v>
      </c>
      <c r="L312" s="39">
        <v>0</v>
      </c>
      <c r="M312" s="39" t="s">
        <v>1712</v>
      </c>
      <c r="N312" s="105" t="s">
        <v>1246</v>
      </c>
      <c r="O312" s="1" t="s">
        <v>1247</v>
      </c>
      <c r="P312" s="106" t="s">
        <v>1287</v>
      </c>
      <c r="Q312" s="39" t="s">
        <v>227</v>
      </c>
      <c r="R312" s="102" t="s">
        <v>1250</v>
      </c>
      <c r="S312" s="32"/>
    </row>
    <row r="313" spans="1:19" ht="15" x14ac:dyDescent="0.25">
      <c r="A313" s="39" t="s">
        <v>314</v>
      </c>
      <c r="B313" s="40" t="s">
        <v>315</v>
      </c>
      <c r="C313" s="39" t="s">
        <v>39</v>
      </c>
      <c r="D313" s="39" t="s">
        <v>227</v>
      </c>
      <c r="E313" s="44" t="s">
        <v>1252</v>
      </c>
      <c r="F313" s="44"/>
      <c r="G313" s="44"/>
      <c r="H313" s="44"/>
      <c r="I313" s="39"/>
      <c r="J313" s="39"/>
      <c r="K313" s="39"/>
      <c r="L313" s="39"/>
      <c r="M313" s="39"/>
      <c r="N313" s="107" t="s">
        <v>1253</v>
      </c>
      <c r="O313" s="1" t="s">
        <v>1254</v>
      </c>
      <c r="P313" s="106" t="s">
        <v>1255</v>
      </c>
      <c r="Q313" s="39"/>
      <c r="R313" s="102" t="s">
        <v>1250</v>
      </c>
      <c r="S313" s="32"/>
    </row>
    <row r="314" spans="1:19" ht="15" x14ac:dyDescent="0.25">
      <c r="A314" s="39" t="s">
        <v>161</v>
      </c>
      <c r="B314" s="40" t="s">
        <v>162</v>
      </c>
      <c r="C314" s="39" t="s">
        <v>29</v>
      </c>
      <c r="D314" s="39" t="s">
        <v>271</v>
      </c>
      <c r="E314" s="44" t="s">
        <v>1300</v>
      </c>
      <c r="F314" s="44" t="s">
        <v>1283</v>
      </c>
      <c r="G314" s="44" t="s">
        <v>1267</v>
      </c>
      <c r="H314" s="44">
        <v>2</v>
      </c>
      <c r="I314" s="39" t="s">
        <v>1268</v>
      </c>
      <c r="J314" s="39">
        <v>0</v>
      </c>
      <c r="K314" s="39">
        <v>0</v>
      </c>
      <c r="L314" s="39">
        <v>0</v>
      </c>
      <c r="M314" s="39" t="s">
        <v>1713</v>
      </c>
      <c r="N314" s="109" t="s">
        <v>1253</v>
      </c>
      <c r="O314" s="1" t="s">
        <v>1254</v>
      </c>
      <c r="P314" s="106" t="s">
        <v>1287</v>
      </c>
      <c r="Q314" s="39" t="s">
        <v>1308</v>
      </c>
      <c r="R314" s="102" t="s">
        <v>1250</v>
      </c>
      <c r="S314" s="32"/>
    </row>
    <row r="315" spans="1:19" ht="15" x14ac:dyDescent="0.25">
      <c r="A315" s="39" t="s">
        <v>205</v>
      </c>
      <c r="B315" s="40" t="s">
        <v>206</v>
      </c>
      <c r="C315" s="39" t="s">
        <v>29</v>
      </c>
      <c r="D315" s="39" t="s">
        <v>227</v>
      </c>
      <c r="E315" s="44" t="s">
        <v>1240</v>
      </c>
      <c r="F315" s="44" t="s">
        <v>1256</v>
      </c>
      <c r="G315" s="44"/>
      <c r="H315" s="44"/>
      <c r="I315" s="39"/>
      <c r="J315" s="39"/>
      <c r="K315" s="39"/>
      <c r="L315" s="39"/>
      <c r="M315" s="39" t="s">
        <v>1714</v>
      </c>
      <c r="N315" s="109" t="s">
        <v>1253</v>
      </c>
      <c r="O315" s="1" t="s">
        <v>1254</v>
      </c>
      <c r="P315" s="106" t="s">
        <v>1295</v>
      </c>
      <c r="Q315" s="39" t="s">
        <v>1308</v>
      </c>
      <c r="R315" s="102">
        <v>0.15</v>
      </c>
    </row>
    <row r="316" spans="1:19" ht="15" x14ac:dyDescent="0.25">
      <c r="A316" s="39" t="s">
        <v>1715</v>
      </c>
      <c r="B316" s="40" t="s">
        <v>769</v>
      </c>
      <c r="C316" s="39" t="s">
        <v>29</v>
      </c>
      <c r="D316" s="39" t="s">
        <v>271</v>
      </c>
      <c r="E316" s="44" t="s">
        <v>1345</v>
      </c>
      <c r="F316" s="44" t="s">
        <v>1277</v>
      </c>
      <c r="G316" s="44"/>
      <c r="H316" s="44"/>
      <c r="I316" s="39"/>
      <c r="J316" s="39"/>
      <c r="K316" s="39"/>
      <c r="L316" s="39"/>
      <c r="M316" s="39"/>
      <c r="N316" s="107" t="s">
        <v>1253</v>
      </c>
      <c r="O316" s="1" t="s">
        <v>1254</v>
      </c>
      <c r="P316" s="106" t="s">
        <v>1278</v>
      </c>
      <c r="Q316" s="39"/>
      <c r="R316" s="102" t="s">
        <v>1250</v>
      </c>
      <c r="S316" s="32"/>
    </row>
    <row r="317" spans="1:19" ht="15" x14ac:dyDescent="0.25">
      <c r="A317" s="39" t="s">
        <v>476</v>
      </c>
      <c r="B317" s="40" t="s">
        <v>477</v>
      </c>
      <c r="C317" s="39" t="s">
        <v>37</v>
      </c>
      <c r="D317" s="39" t="s">
        <v>271</v>
      </c>
      <c r="E317" s="44" t="s">
        <v>1252</v>
      </c>
      <c r="F317" s="44"/>
      <c r="G317" s="44"/>
      <c r="H317" s="44"/>
      <c r="I317" s="39"/>
      <c r="J317" s="39"/>
      <c r="K317" s="39"/>
      <c r="L317" s="39"/>
      <c r="M317" s="39"/>
      <c r="N317" s="107" t="s">
        <v>1253</v>
      </c>
      <c r="O317" s="1" t="s">
        <v>1254</v>
      </c>
      <c r="P317" s="106" t="s">
        <v>1255</v>
      </c>
      <c r="Q317" s="39"/>
      <c r="R317" s="102" t="s">
        <v>1250</v>
      </c>
      <c r="S317" s="32"/>
    </row>
    <row r="318" spans="1:19" ht="15" x14ac:dyDescent="0.25">
      <c r="A318" s="39" t="s">
        <v>56</v>
      </c>
      <c r="B318" s="40" t="s">
        <v>57</v>
      </c>
      <c r="C318" s="39" t="s">
        <v>29</v>
      </c>
      <c r="D318" s="39" t="s">
        <v>271</v>
      </c>
      <c r="E318" s="44" t="s">
        <v>1240</v>
      </c>
      <c r="F318" s="44" t="s">
        <v>1283</v>
      </c>
      <c r="G318" s="111">
        <v>6</v>
      </c>
      <c r="H318" s="44">
        <v>6</v>
      </c>
      <c r="I318" s="39" t="s">
        <v>1313</v>
      </c>
      <c r="J318" s="39">
        <v>0</v>
      </c>
      <c r="K318" s="39">
        <v>0</v>
      </c>
      <c r="L318" s="39">
        <v>0</v>
      </c>
      <c r="M318" s="39" t="s">
        <v>1716</v>
      </c>
      <c r="N318" s="105" t="s">
        <v>1246</v>
      </c>
      <c r="O318" s="1" t="s">
        <v>1247</v>
      </c>
      <c r="P318" s="106" t="s">
        <v>1287</v>
      </c>
      <c r="Q318" s="39" t="s">
        <v>227</v>
      </c>
      <c r="R318" s="102" t="s">
        <v>1250</v>
      </c>
    </row>
    <row r="319" spans="1:19" ht="15" x14ac:dyDescent="0.25">
      <c r="A319" s="39" t="s">
        <v>255</v>
      </c>
      <c r="B319" s="40" t="s">
        <v>256</v>
      </c>
      <c r="C319" s="39" t="s">
        <v>37</v>
      </c>
      <c r="D319" s="39" t="s">
        <v>271</v>
      </c>
      <c r="E319" s="44" t="s">
        <v>1300</v>
      </c>
      <c r="F319" s="44" t="s">
        <v>1283</v>
      </c>
      <c r="G319" s="44"/>
      <c r="H319" s="44"/>
      <c r="I319" s="39"/>
      <c r="J319" s="39"/>
      <c r="K319" s="39"/>
      <c r="L319" s="39"/>
      <c r="M319" s="39" t="s">
        <v>1700</v>
      </c>
      <c r="N319" s="109" t="s">
        <v>1253</v>
      </c>
      <c r="O319" s="1" t="s">
        <v>1254</v>
      </c>
      <c r="P319" s="106" t="s">
        <v>1287</v>
      </c>
      <c r="Q319" s="39" t="s">
        <v>227</v>
      </c>
      <c r="R319" s="102">
        <v>1</v>
      </c>
      <c r="S319" s="32"/>
    </row>
    <row r="320" spans="1:19" ht="15" x14ac:dyDescent="0.25">
      <c r="A320" s="41" t="s">
        <v>130</v>
      </c>
      <c r="B320" s="40" t="s">
        <v>131</v>
      </c>
      <c r="C320" s="39" t="s">
        <v>37</v>
      </c>
      <c r="D320" s="39" t="s">
        <v>227</v>
      </c>
      <c r="E320" s="44" t="s">
        <v>1240</v>
      </c>
      <c r="F320" s="44"/>
      <c r="G320" s="44"/>
      <c r="H320" s="44"/>
      <c r="I320" s="39" t="s">
        <v>1717</v>
      </c>
      <c r="J320" s="39" t="s">
        <v>1718</v>
      </c>
      <c r="K320" s="39" t="s">
        <v>1719</v>
      </c>
      <c r="L320" s="39"/>
      <c r="M320" s="39" t="s">
        <v>1720</v>
      </c>
      <c r="N320" s="105" t="s">
        <v>1246</v>
      </c>
      <c r="O320" s="1" t="s">
        <v>1247</v>
      </c>
      <c r="P320" s="106" t="s">
        <v>1342</v>
      </c>
      <c r="Q320" s="39" t="s">
        <v>227</v>
      </c>
      <c r="R320" s="102" t="s">
        <v>1250</v>
      </c>
      <c r="S320" s="32"/>
    </row>
    <row r="321" spans="1:19" ht="15" x14ac:dyDescent="0.25">
      <c r="A321" s="39" t="s">
        <v>1721</v>
      </c>
      <c r="B321" s="40" t="s">
        <v>405</v>
      </c>
      <c r="C321" s="39" t="s">
        <v>29</v>
      </c>
      <c r="D321" s="39" t="s">
        <v>271</v>
      </c>
      <c r="E321" s="44" t="s">
        <v>1252</v>
      </c>
      <c r="F321" s="44" t="s">
        <v>1277</v>
      </c>
      <c r="G321" s="44"/>
      <c r="H321" s="44"/>
      <c r="I321" s="39"/>
      <c r="J321" s="39"/>
      <c r="K321" s="39"/>
      <c r="L321" s="39"/>
      <c r="M321" s="39"/>
      <c r="N321" s="107" t="s">
        <v>1253</v>
      </c>
      <c r="O321" s="1" t="s">
        <v>1254</v>
      </c>
      <c r="P321" s="106" t="s">
        <v>1278</v>
      </c>
      <c r="Q321" s="39"/>
      <c r="R321" s="102" t="s">
        <v>1250</v>
      </c>
      <c r="S321" s="32"/>
    </row>
    <row r="322" spans="1:19" ht="15" x14ac:dyDescent="0.25">
      <c r="A322" s="41" t="s">
        <v>1722</v>
      </c>
      <c r="B322" s="40" t="s">
        <v>534</v>
      </c>
      <c r="C322" s="39" t="s">
        <v>37</v>
      </c>
      <c r="D322" s="39" t="s">
        <v>271</v>
      </c>
      <c r="E322" s="44" t="s">
        <v>1252</v>
      </c>
      <c r="F322" s="44" t="s">
        <v>1283</v>
      </c>
      <c r="G322" s="44"/>
      <c r="H322" s="44"/>
      <c r="I322" s="39" t="s">
        <v>1321</v>
      </c>
      <c r="J322" s="39"/>
      <c r="K322" s="39"/>
      <c r="L322" s="39"/>
      <c r="M322" s="39" t="s">
        <v>1723</v>
      </c>
      <c r="N322" s="109" t="s">
        <v>1253</v>
      </c>
      <c r="O322" s="1" t="s">
        <v>1254</v>
      </c>
      <c r="P322" s="106" t="s">
        <v>1287</v>
      </c>
      <c r="Q322" s="39" t="s">
        <v>227</v>
      </c>
      <c r="R322" s="102" t="s">
        <v>1250</v>
      </c>
    </row>
    <row r="323" spans="1:19" ht="15" x14ac:dyDescent="0.25">
      <c r="A323" s="39" t="s">
        <v>1724</v>
      </c>
      <c r="B323" s="40" t="s">
        <v>401</v>
      </c>
      <c r="C323" s="39" t="s">
        <v>29</v>
      </c>
      <c r="D323" s="39" t="s">
        <v>271</v>
      </c>
      <c r="E323" s="44" t="s">
        <v>1252</v>
      </c>
      <c r="F323" s="44" t="s">
        <v>1277</v>
      </c>
      <c r="G323" s="44" t="s">
        <v>1725</v>
      </c>
      <c r="H323" s="44"/>
      <c r="I323" s="39"/>
      <c r="J323" s="39"/>
      <c r="K323" s="39"/>
      <c r="L323" s="39"/>
      <c r="M323" s="39"/>
      <c r="N323" s="107" t="s">
        <v>1253</v>
      </c>
      <c r="O323" s="1" t="s">
        <v>1254</v>
      </c>
      <c r="P323" s="106" t="s">
        <v>1278</v>
      </c>
      <c r="Q323" s="39"/>
      <c r="R323" s="102" t="s">
        <v>1250</v>
      </c>
      <c r="S323" s="32"/>
    </row>
    <row r="324" spans="1:19" ht="15" x14ac:dyDescent="0.25">
      <c r="A324" s="39" t="s">
        <v>168</v>
      </c>
      <c r="B324" s="40" t="s">
        <v>169</v>
      </c>
      <c r="C324" s="39" t="s">
        <v>37</v>
      </c>
      <c r="D324" s="39" t="s">
        <v>271</v>
      </c>
      <c r="E324" s="44" t="s">
        <v>1240</v>
      </c>
      <c r="F324" s="44"/>
      <c r="G324" s="44"/>
      <c r="H324" s="44"/>
      <c r="I324" s="39"/>
      <c r="J324" s="39"/>
      <c r="K324" s="39"/>
      <c r="L324" s="39"/>
      <c r="M324" s="39" t="s">
        <v>1401</v>
      </c>
      <c r="N324" s="105" t="s">
        <v>1246</v>
      </c>
      <c r="O324" s="1" t="s">
        <v>1247</v>
      </c>
      <c r="P324" s="106" t="s">
        <v>1255</v>
      </c>
      <c r="Q324" s="39" t="s">
        <v>227</v>
      </c>
      <c r="R324" s="102" t="s">
        <v>1250</v>
      </c>
      <c r="S324" s="32"/>
    </row>
    <row r="325" spans="1:19" ht="15" x14ac:dyDescent="0.25">
      <c r="A325" s="39" t="s">
        <v>1726</v>
      </c>
      <c r="B325" s="40" t="s">
        <v>473</v>
      </c>
      <c r="C325" s="39" t="s">
        <v>37</v>
      </c>
      <c r="D325" s="39" t="s">
        <v>271</v>
      </c>
      <c r="E325" s="44" t="s">
        <v>1252</v>
      </c>
      <c r="F325" s="44"/>
      <c r="G325" s="44"/>
      <c r="H325" s="44"/>
      <c r="I325" s="39"/>
      <c r="J325" s="39"/>
      <c r="K325" s="39"/>
      <c r="L325" s="39"/>
      <c r="M325" s="39"/>
      <c r="N325" s="107" t="s">
        <v>1253</v>
      </c>
      <c r="O325" s="1" t="s">
        <v>1254</v>
      </c>
      <c r="P325" s="106" t="s">
        <v>1255</v>
      </c>
      <c r="Q325" s="39"/>
      <c r="R325" s="102" t="s">
        <v>1250</v>
      </c>
    </row>
    <row r="326" spans="1:19" ht="15" x14ac:dyDescent="0.25">
      <c r="A326" s="39" t="s">
        <v>96</v>
      </c>
      <c r="B326" s="40" t="s">
        <v>97</v>
      </c>
      <c r="C326" s="39" t="s">
        <v>39</v>
      </c>
      <c r="D326" s="39" t="s">
        <v>227</v>
      </c>
      <c r="E326" s="44" t="s">
        <v>1240</v>
      </c>
      <c r="F326" s="44"/>
      <c r="G326" s="44"/>
      <c r="H326" s="44"/>
      <c r="I326" s="39"/>
      <c r="J326" s="39"/>
      <c r="K326" s="39"/>
      <c r="L326" s="39"/>
      <c r="M326" s="39"/>
      <c r="N326" s="107" t="s">
        <v>1253</v>
      </c>
      <c r="O326" s="1" t="s">
        <v>1254</v>
      </c>
      <c r="P326" s="106" t="s">
        <v>1255</v>
      </c>
      <c r="Q326" s="39"/>
      <c r="R326" s="102" t="s">
        <v>1250</v>
      </c>
      <c r="S326" s="32"/>
    </row>
    <row r="327" spans="1:19" ht="15" x14ac:dyDescent="0.25">
      <c r="A327" s="39" t="s">
        <v>1727</v>
      </c>
      <c r="B327" s="40" t="s">
        <v>334</v>
      </c>
      <c r="C327" s="39" t="s">
        <v>39</v>
      </c>
      <c r="D327" s="39" t="s">
        <v>271</v>
      </c>
      <c r="E327" s="44" t="s">
        <v>1252</v>
      </c>
      <c r="F327" s="44"/>
      <c r="G327" s="44"/>
      <c r="H327" s="44"/>
      <c r="I327" s="39"/>
      <c r="J327" s="39"/>
      <c r="K327" s="39"/>
      <c r="L327" s="39"/>
      <c r="M327" s="39"/>
      <c r="N327" s="107" t="s">
        <v>1253</v>
      </c>
      <c r="O327" s="1" t="s">
        <v>1254</v>
      </c>
      <c r="P327" s="106" t="s">
        <v>1255</v>
      </c>
      <c r="Q327" s="39"/>
      <c r="R327" s="102" t="s">
        <v>1250</v>
      </c>
      <c r="S327" s="32"/>
    </row>
    <row r="328" spans="1:19" ht="15" x14ac:dyDescent="0.25">
      <c r="A328" s="39" t="s">
        <v>58</v>
      </c>
      <c r="B328" s="40" t="s">
        <v>59</v>
      </c>
      <c r="C328" s="39" t="s">
        <v>39</v>
      </c>
      <c r="D328" s="39" t="s">
        <v>227</v>
      </c>
      <c r="E328" s="44" t="s">
        <v>1240</v>
      </c>
      <c r="F328" s="44"/>
      <c r="G328" s="44" t="s">
        <v>1267</v>
      </c>
      <c r="H328" s="44">
        <v>0</v>
      </c>
      <c r="I328" s="39" t="s">
        <v>1268</v>
      </c>
      <c r="J328" s="39">
        <v>0</v>
      </c>
      <c r="K328" s="39">
        <v>0</v>
      </c>
      <c r="L328" s="39">
        <v>0</v>
      </c>
      <c r="M328" s="39" t="s">
        <v>1728</v>
      </c>
      <c r="N328" s="107" t="s">
        <v>1253</v>
      </c>
      <c r="O328" s="1" t="s">
        <v>1254</v>
      </c>
      <c r="P328" s="106" t="s">
        <v>1255</v>
      </c>
      <c r="Q328" s="39"/>
      <c r="R328" s="102" t="s">
        <v>1250</v>
      </c>
      <c r="S328" s="32"/>
    </row>
    <row r="329" spans="1:19" ht="15" x14ac:dyDescent="0.25">
      <c r="A329" s="39" t="s">
        <v>1729</v>
      </c>
      <c r="B329" s="40" t="s">
        <v>329</v>
      </c>
      <c r="C329" s="39" t="s">
        <v>39</v>
      </c>
      <c r="D329" s="39" t="s">
        <v>271</v>
      </c>
      <c r="E329" s="44" t="s">
        <v>1252</v>
      </c>
      <c r="F329" s="44"/>
      <c r="G329" s="44"/>
      <c r="H329" s="44"/>
      <c r="I329" s="39"/>
      <c r="J329" s="39"/>
      <c r="K329" s="39"/>
      <c r="L329" s="39"/>
      <c r="M329" s="39"/>
      <c r="N329" s="107" t="s">
        <v>1253</v>
      </c>
      <c r="O329" s="1" t="s">
        <v>1254</v>
      </c>
      <c r="P329" s="106" t="s">
        <v>1255</v>
      </c>
      <c r="Q329" s="39"/>
      <c r="R329" s="102" t="s">
        <v>1250</v>
      </c>
      <c r="S329" s="32"/>
    </row>
    <row r="330" spans="1:19" ht="15" x14ac:dyDescent="0.25">
      <c r="A330" s="39" t="s">
        <v>67</v>
      </c>
      <c r="B330" s="40" t="s">
        <v>68</v>
      </c>
      <c r="C330" s="39" t="s">
        <v>37</v>
      </c>
      <c r="D330" s="39" t="s">
        <v>227</v>
      </c>
      <c r="E330" s="44" t="s">
        <v>1240</v>
      </c>
      <c r="F330" s="44"/>
      <c r="G330" s="44" t="s">
        <v>1267</v>
      </c>
      <c r="H330" s="44">
        <v>0</v>
      </c>
      <c r="I330" s="39" t="s">
        <v>1268</v>
      </c>
      <c r="J330" s="39">
        <v>0</v>
      </c>
      <c r="K330" s="39">
        <v>0</v>
      </c>
      <c r="L330" s="39">
        <v>0</v>
      </c>
      <c r="M330" s="39" t="s">
        <v>1436</v>
      </c>
      <c r="N330" s="107" t="s">
        <v>1253</v>
      </c>
      <c r="O330" s="1" t="s">
        <v>1254</v>
      </c>
      <c r="P330" s="106" t="s">
        <v>1255</v>
      </c>
      <c r="Q330" s="39"/>
      <c r="R330" s="102" t="s">
        <v>1250</v>
      </c>
      <c r="S330" s="32"/>
    </row>
    <row r="331" spans="1:19" ht="15" x14ac:dyDescent="0.25">
      <c r="A331" s="39" t="s">
        <v>364</v>
      </c>
      <c r="B331" s="40" t="s">
        <v>365</v>
      </c>
      <c r="C331" s="39" t="s">
        <v>39</v>
      </c>
      <c r="D331" s="39" t="s">
        <v>271</v>
      </c>
      <c r="E331" s="44" t="s">
        <v>1252</v>
      </c>
      <c r="F331" s="44"/>
      <c r="G331" s="44"/>
      <c r="H331" s="44"/>
      <c r="I331" s="39"/>
      <c r="J331" s="39"/>
      <c r="K331" s="39"/>
      <c r="L331" s="39"/>
      <c r="M331" s="39"/>
      <c r="N331" s="107" t="s">
        <v>1253</v>
      </c>
      <c r="O331" s="1" t="s">
        <v>1254</v>
      </c>
      <c r="P331" s="106" t="s">
        <v>1255</v>
      </c>
      <c r="Q331" s="39"/>
      <c r="R331" s="102" t="s">
        <v>1250</v>
      </c>
      <c r="S331" s="32"/>
    </row>
    <row r="332" spans="1:19" ht="15" x14ac:dyDescent="0.25">
      <c r="A332" s="39" t="s">
        <v>166</v>
      </c>
      <c r="B332" s="40" t="s">
        <v>167</v>
      </c>
      <c r="C332" s="39" t="s">
        <v>37</v>
      </c>
      <c r="D332" s="39" t="s">
        <v>271</v>
      </c>
      <c r="E332" s="44" t="s">
        <v>1240</v>
      </c>
      <c r="F332" s="44"/>
      <c r="G332" s="44" t="s">
        <v>1267</v>
      </c>
      <c r="H332" s="44">
        <v>0</v>
      </c>
      <c r="I332" s="39" t="s">
        <v>1268</v>
      </c>
      <c r="J332" s="39">
        <v>0</v>
      </c>
      <c r="K332" s="39">
        <v>0</v>
      </c>
      <c r="L332" s="39">
        <v>0</v>
      </c>
      <c r="M332" s="39" t="s">
        <v>1730</v>
      </c>
      <c r="N332" s="107" t="s">
        <v>1253</v>
      </c>
      <c r="O332" s="1" t="s">
        <v>1254</v>
      </c>
      <c r="P332" s="106" t="s">
        <v>1255</v>
      </c>
      <c r="Q332" s="39"/>
      <c r="R332" s="102" t="s">
        <v>1250</v>
      </c>
    </row>
    <row r="333" spans="1:19" ht="15" x14ac:dyDescent="0.25">
      <c r="A333" s="39" t="s">
        <v>65</v>
      </c>
      <c r="B333" s="40" t="s">
        <v>66</v>
      </c>
      <c r="C333" s="39" t="s">
        <v>37</v>
      </c>
      <c r="D333" s="39" t="s">
        <v>227</v>
      </c>
      <c r="E333" s="44" t="s">
        <v>1240</v>
      </c>
      <c r="F333" s="44"/>
      <c r="G333" s="44" t="s">
        <v>1267</v>
      </c>
      <c r="H333" s="44">
        <v>0</v>
      </c>
      <c r="I333" s="39" t="s">
        <v>1268</v>
      </c>
      <c r="J333" s="39">
        <v>0</v>
      </c>
      <c r="K333" s="39">
        <v>0</v>
      </c>
      <c r="L333" s="39">
        <v>0</v>
      </c>
      <c r="M333" s="39" t="s">
        <v>1577</v>
      </c>
      <c r="N333" s="107" t="s">
        <v>1253</v>
      </c>
      <c r="O333" s="1" t="s">
        <v>1254</v>
      </c>
      <c r="P333" s="106" t="s">
        <v>1255</v>
      </c>
      <c r="Q333" s="39"/>
      <c r="R333" s="102" t="s">
        <v>1250</v>
      </c>
      <c r="S333" s="32"/>
    </row>
    <row r="334" spans="1:19" ht="15" x14ac:dyDescent="0.25">
      <c r="A334" s="39" t="s">
        <v>1731</v>
      </c>
      <c r="B334" s="40" t="s">
        <v>601</v>
      </c>
      <c r="C334" s="39" t="s">
        <v>29</v>
      </c>
      <c r="D334" s="39" t="s">
        <v>271</v>
      </c>
      <c r="E334" s="44" t="s">
        <v>1252</v>
      </c>
      <c r="F334" s="44" t="s">
        <v>1283</v>
      </c>
      <c r="G334" s="104">
        <v>7</v>
      </c>
      <c r="H334" s="44">
        <v>4</v>
      </c>
      <c r="I334" s="39" t="s">
        <v>1321</v>
      </c>
      <c r="J334" s="39">
        <v>0</v>
      </c>
      <c r="K334" s="39">
        <v>0</v>
      </c>
      <c r="L334" s="39">
        <v>0</v>
      </c>
      <c r="M334" s="39" t="s">
        <v>1340</v>
      </c>
      <c r="N334" s="109" t="s">
        <v>1253</v>
      </c>
      <c r="O334" s="1" t="s">
        <v>1254</v>
      </c>
      <c r="P334" s="106" t="s">
        <v>1287</v>
      </c>
      <c r="Q334" s="39" t="s">
        <v>227</v>
      </c>
      <c r="R334" s="102" t="s">
        <v>1250</v>
      </c>
      <c r="S334" s="32"/>
    </row>
    <row r="335" spans="1:19" ht="15" x14ac:dyDescent="0.25">
      <c r="A335" s="39" t="s">
        <v>713</v>
      </c>
      <c r="B335" s="40" t="s">
        <v>714</v>
      </c>
      <c r="C335" s="39" t="s">
        <v>29</v>
      </c>
      <c r="D335" s="41" t="s">
        <v>227</v>
      </c>
      <c r="E335" s="44" t="s">
        <v>1240</v>
      </c>
      <c r="F335" s="44" t="s">
        <v>1241</v>
      </c>
      <c r="G335" s="44" t="s">
        <v>1263</v>
      </c>
      <c r="H335" s="44">
        <v>8</v>
      </c>
      <c r="I335" s="39" t="s">
        <v>1257</v>
      </c>
      <c r="J335" s="39">
        <v>0</v>
      </c>
      <c r="K335" s="39">
        <v>0</v>
      </c>
      <c r="L335" s="39">
        <v>0</v>
      </c>
      <c r="M335" s="39" t="s">
        <v>1732</v>
      </c>
      <c r="N335" s="105" t="s">
        <v>1246</v>
      </c>
      <c r="O335" s="1" t="s">
        <v>1247</v>
      </c>
      <c r="P335" s="106" t="s">
        <v>1248</v>
      </c>
      <c r="Q335" s="39" t="s">
        <v>227</v>
      </c>
      <c r="R335" s="102">
        <v>0.5</v>
      </c>
    </row>
    <row r="336" spans="1:19" ht="15" x14ac:dyDescent="0.25">
      <c r="A336" s="39" t="s">
        <v>1733</v>
      </c>
      <c r="B336" s="40" t="s">
        <v>426</v>
      </c>
      <c r="C336" s="39" t="s">
        <v>29</v>
      </c>
      <c r="D336" s="39" t="s">
        <v>271</v>
      </c>
      <c r="E336" s="44" t="s">
        <v>1252</v>
      </c>
      <c r="F336" s="44" t="s">
        <v>1277</v>
      </c>
      <c r="G336" s="44"/>
      <c r="H336" s="44"/>
      <c r="I336" s="39"/>
      <c r="J336" s="39"/>
      <c r="K336" s="39"/>
      <c r="L336" s="39"/>
      <c r="M336" s="39"/>
      <c r="N336" s="107" t="s">
        <v>1253</v>
      </c>
      <c r="O336" s="1" t="s">
        <v>1254</v>
      </c>
      <c r="P336" s="106" t="s">
        <v>1278</v>
      </c>
      <c r="Q336" s="39"/>
      <c r="R336" s="102" t="s">
        <v>1250</v>
      </c>
      <c r="S336" s="32"/>
    </row>
    <row r="337" spans="1:19" ht="15" x14ac:dyDescent="0.25">
      <c r="A337" s="39" t="s">
        <v>1734</v>
      </c>
      <c r="B337" s="40" t="s">
        <v>493</v>
      </c>
      <c r="C337" s="39" t="s">
        <v>480</v>
      </c>
      <c r="D337" s="39" t="s">
        <v>271</v>
      </c>
      <c r="E337" s="44" t="s">
        <v>1252</v>
      </c>
      <c r="F337" s="44"/>
      <c r="G337" s="44"/>
      <c r="H337" s="44"/>
      <c r="I337" s="39"/>
      <c r="J337" s="39"/>
      <c r="K337" s="39"/>
      <c r="L337" s="39"/>
      <c r="M337" s="39" t="s">
        <v>1661</v>
      </c>
      <c r="N337" s="107" t="s">
        <v>1253</v>
      </c>
      <c r="O337" s="1" t="s">
        <v>1254</v>
      </c>
      <c r="P337" s="106" t="s">
        <v>1418</v>
      </c>
      <c r="Q337" s="39"/>
      <c r="R337" s="102" t="s">
        <v>1250</v>
      </c>
      <c r="S337" s="32"/>
    </row>
    <row r="338" spans="1:19" ht="15" x14ac:dyDescent="0.25">
      <c r="A338" s="39" t="s">
        <v>1735</v>
      </c>
      <c r="B338" s="40" t="s">
        <v>613</v>
      </c>
      <c r="C338" s="39" t="s">
        <v>37</v>
      </c>
      <c r="D338" s="41" t="s">
        <v>227</v>
      </c>
      <c r="E338" s="44" t="s">
        <v>1252</v>
      </c>
      <c r="F338" s="44" t="s">
        <v>1283</v>
      </c>
      <c r="G338" s="44">
        <v>6.5</v>
      </c>
      <c r="H338" s="44">
        <v>6</v>
      </c>
      <c r="I338" s="39" t="s">
        <v>1313</v>
      </c>
      <c r="J338" s="39">
        <v>0</v>
      </c>
      <c r="K338" s="39">
        <v>0</v>
      </c>
      <c r="L338" s="39">
        <v>0</v>
      </c>
      <c r="M338" s="39" t="s">
        <v>1736</v>
      </c>
      <c r="N338" s="105" t="s">
        <v>1246</v>
      </c>
      <c r="O338" s="1" t="s">
        <v>1247</v>
      </c>
      <c r="P338" s="106" t="s">
        <v>1287</v>
      </c>
      <c r="Q338" s="39" t="s">
        <v>227</v>
      </c>
      <c r="R338" s="102">
        <v>0.6</v>
      </c>
    </row>
    <row r="339" spans="1:19" ht="15" x14ac:dyDescent="0.25">
      <c r="A339" s="39" t="s">
        <v>216</v>
      </c>
      <c r="B339" s="40" t="s">
        <v>277</v>
      </c>
      <c r="C339" s="39" t="s">
        <v>37</v>
      </c>
      <c r="D339" s="39" t="s">
        <v>271</v>
      </c>
      <c r="E339" s="44" t="s">
        <v>1240</v>
      </c>
      <c r="F339" s="44" t="s">
        <v>1283</v>
      </c>
      <c r="G339" s="44"/>
      <c r="H339" s="44"/>
      <c r="I339" s="39"/>
      <c r="J339" s="39"/>
      <c r="K339" s="39"/>
      <c r="L339" s="39"/>
      <c r="M339" s="39" t="s">
        <v>1301</v>
      </c>
      <c r="N339" s="109" t="s">
        <v>1253</v>
      </c>
      <c r="O339" s="1" t="s">
        <v>1254</v>
      </c>
      <c r="P339" s="106" t="s">
        <v>1287</v>
      </c>
      <c r="Q339" s="39" t="s">
        <v>227</v>
      </c>
      <c r="R339" s="102">
        <v>2</v>
      </c>
      <c r="S339" s="32"/>
    </row>
    <row r="340" spans="1:19" ht="15" x14ac:dyDescent="0.25">
      <c r="A340" s="41" t="s">
        <v>1737</v>
      </c>
      <c r="B340" s="40" t="s">
        <v>587</v>
      </c>
      <c r="C340" s="39" t="s">
        <v>29</v>
      </c>
      <c r="D340" s="39" t="s">
        <v>271</v>
      </c>
      <c r="E340" s="44" t="s">
        <v>1252</v>
      </c>
      <c r="F340" s="44" t="s">
        <v>1283</v>
      </c>
      <c r="G340" s="44"/>
      <c r="H340" s="44"/>
      <c r="I340" s="39" t="s">
        <v>1356</v>
      </c>
      <c r="J340" s="39">
        <v>0</v>
      </c>
      <c r="K340" s="39">
        <v>0</v>
      </c>
      <c r="L340" s="39">
        <v>0</v>
      </c>
      <c r="M340" s="39" t="s">
        <v>1738</v>
      </c>
      <c r="N340" s="105" t="s">
        <v>1246</v>
      </c>
      <c r="O340" s="1" t="s">
        <v>1247</v>
      </c>
      <c r="P340" s="106" t="s">
        <v>1287</v>
      </c>
      <c r="Q340" s="39" t="s">
        <v>227</v>
      </c>
      <c r="R340" s="102" t="s">
        <v>1250</v>
      </c>
      <c r="S340" s="32"/>
    </row>
    <row r="341" spans="1:19" ht="15" x14ac:dyDescent="0.25">
      <c r="A341" s="39" t="s">
        <v>618</v>
      </c>
      <c r="B341" s="40" t="s">
        <v>619</v>
      </c>
      <c r="C341" s="39" t="s">
        <v>29</v>
      </c>
      <c r="D341" s="39" t="s">
        <v>271</v>
      </c>
      <c r="E341" s="44" t="s">
        <v>1252</v>
      </c>
      <c r="F341" s="44" t="s">
        <v>1283</v>
      </c>
      <c r="G341" s="104">
        <v>7</v>
      </c>
      <c r="H341" s="44">
        <v>2</v>
      </c>
      <c r="I341" s="39" t="s">
        <v>1312</v>
      </c>
      <c r="J341" s="39">
        <v>0</v>
      </c>
      <c r="K341" s="39">
        <v>0</v>
      </c>
      <c r="L341" s="39">
        <v>0</v>
      </c>
      <c r="M341" s="39" t="s">
        <v>1739</v>
      </c>
      <c r="N341" s="109" t="s">
        <v>1253</v>
      </c>
      <c r="O341" s="1" t="s">
        <v>1254</v>
      </c>
      <c r="P341" s="106" t="s">
        <v>1287</v>
      </c>
      <c r="Q341" s="39" t="s">
        <v>227</v>
      </c>
      <c r="R341" s="102" t="s">
        <v>1250</v>
      </c>
      <c r="S341" s="32"/>
    </row>
    <row r="342" spans="1:19" ht="15" x14ac:dyDescent="0.25">
      <c r="A342" s="39" t="s">
        <v>1740</v>
      </c>
      <c r="B342" s="40" t="s">
        <v>451</v>
      </c>
      <c r="C342" s="39" t="s">
        <v>37</v>
      </c>
      <c r="D342" s="39" t="s">
        <v>271</v>
      </c>
      <c r="E342" s="44" t="s">
        <v>1252</v>
      </c>
      <c r="F342" s="44"/>
      <c r="G342" s="44"/>
      <c r="H342" s="44"/>
      <c r="I342" s="39"/>
      <c r="J342" s="39"/>
      <c r="K342" s="39"/>
      <c r="L342" s="39"/>
      <c r="M342" s="39"/>
      <c r="N342" s="107" t="s">
        <v>1253</v>
      </c>
      <c r="O342" s="1" t="s">
        <v>1254</v>
      </c>
      <c r="P342" s="106" t="s">
        <v>1276</v>
      </c>
      <c r="Q342" s="39" t="s">
        <v>1308</v>
      </c>
      <c r="R342" s="102" t="s">
        <v>1250</v>
      </c>
      <c r="S342" s="32"/>
    </row>
    <row r="343" spans="1:19" ht="15" x14ac:dyDescent="0.25">
      <c r="A343" s="39" t="s">
        <v>1741</v>
      </c>
      <c r="B343" s="40" t="s">
        <v>671</v>
      </c>
      <c r="C343" s="39" t="s">
        <v>29</v>
      </c>
      <c r="D343" s="39" t="s">
        <v>271</v>
      </c>
      <c r="E343" s="44" t="s">
        <v>1252</v>
      </c>
      <c r="F343" s="44" t="s">
        <v>1241</v>
      </c>
      <c r="G343" s="44"/>
      <c r="H343" s="44"/>
      <c r="I343" s="39"/>
      <c r="J343" s="39"/>
      <c r="K343" s="39"/>
      <c r="L343" s="39"/>
      <c r="M343" s="39" t="s">
        <v>1742</v>
      </c>
      <c r="N343" s="105" t="s">
        <v>1246</v>
      </c>
      <c r="O343" s="1" t="s">
        <v>1247</v>
      </c>
      <c r="P343" s="106" t="s">
        <v>1248</v>
      </c>
      <c r="Q343" s="39" t="s">
        <v>227</v>
      </c>
      <c r="R343" s="102" t="s">
        <v>1250</v>
      </c>
    </row>
    <row r="344" spans="1:19" ht="15" x14ac:dyDescent="0.25">
      <c r="A344" s="39" t="s">
        <v>1743</v>
      </c>
      <c r="B344" s="40" t="s">
        <v>605</v>
      </c>
      <c r="C344" s="39" t="s">
        <v>29</v>
      </c>
      <c r="D344" s="39" t="s">
        <v>271</v>
      </c>
      <c r="E344" s="44" t="s">
        <v>1252</v>
      </c>
      <c r="F344" s="44" t="s">
        <v>1283</v>
      </c>
      <c r="G344" s="44" t="s">
        <v>1725</v>
      </c>
      <c r="H344" s="44">
        <v>4</v>
      </c>
      <c r="I344" s="39" t="s">
        <v>1313</v>
      </c>
      <c r="J344" s="39">
        <v>0</v>
      </c>
      <c r="K344" s="39">
        <v>0</v>
      </c>
      <c r="L344" s="39">
        <v>0</v>
      </c>
      <c r="M344" s="39" t="s">
        <v>1347</v>
      </c>
      <c r="N344" s="109" t="s">
        <v>1253</v>
      </c>
      <c r="O344" s="1" t="s">
        <v>1254</v>
      </c>
      <c r="P344" s="106" t="s">
        <v>1287</v>
      </c>
      <c r="Q344" s="39" t="s">
        <v>227</v>
      </c>
      <c r="R344" s="102" t="s">
        <v>1250</v>
      </c>
      <c r="S344" s="32"/>
    </row>
    <row r="345" spans="1:19" ht="15" x14ac:dyDescent="0.25">
      <c r="A345" s="41" t="s">
        <v>1744</v>
      </c>
      <c r="B345" s="40" t="s">
        <v>570</v>
      </c>
      <c r="C345" s="39" t="s">
        <v>29</v>
      </c>
      <c r="D345" s="39" t="s">
        <v>271</v>
      </c>
      <c r="E345" s="44" t="s">
        <v>1252</v>
      </c>
      <c r="F345" s="44" t="s">
        <v>1283</v>
      </c>
      <c r="G345" s="104">
        <v>5</v>
      </c>
      <c r="H345" s="44"/>
      <c r="I345" s="39" t="s">
        <v>1284</v>
      </c>
      <c r="J345" s="39" t="s">
        <v>1499</v>
      </c>
      <c r="K345" s="39">
        <v>0</v>
      </c>
      <c r="L345" s="39">
        <v>0</v>
      </c>
      <c r="M345" s="39"/>
      <c r="N345" s="39"/>
      <c r="O345" s="39"/>
      <c r="P345" s="106" t="s">
        <v>1287</v>
      </c>
      <c r="Q345" s="39" t="s">
        <v>1308</v>
      </c>
      <c r="R345" s="102" t="s">
        <v>1250</v>
      </c>
      <c r="S345" s="32"/>
    </row>
    <row r="346" spans="1:19" ht="15" x14ac:dyDescent="0.25">
      <c r="A346" s="39" t="s">
        <v>86</v>
      </c>
      <c r="B346" s="40" t="s">
        <v>87</v>
      </c>
      <c r="C346" s="39" t="s">
        <v>29</v>
      </c>
      <c r="D346" s="39" t="s">
        <v>227</v>
      </c>
      <c r="E346" s="44" t="s">
        <v>1240</v>
      </c>
      <c r="F346" s="44" t="s">
        <v>1241</v>
      </c>
      <c r="G346" s="111">
        <v>7</v>
      </c>
      <c r="H346" s="44">
        <v>12</v>
      </c>
      <c r="I346" s="39" t="s">
        <v>1257</v>
      </c>
      <c r="J346" s="39"/>
      <c r="K346" s="39"/>
      <c r="L346" s="39"/>
      <c r="M346" s="39" t="s">
        <v>1745</v>
      </c>
      <c r="N346" s="109" t="s">
        <v>1253</v>
      </c>
      <c r="O346" s="1" t="s">
        <v>1254</v>
      </c>
      <c r="P346" s="106" t="s">
        <v>1248</v>
      </c>
      <c r="Q346" s="39" t="s">
        <v>227</v>
      </c>
      <c r="R346" s="102">
        <v>1.2</v>
      </c>
    </row>
    <row r="347" spans="1:19" ht="15" x14ac:dyDescent="0.25">
      <c r="A347" s="39" t="s">
        <v>1746</v>
      </c>
      <c r="B347" s="40" t="s">
        <v>697</v>
      </c>
      <c r="C347" s="39" t="s">
        <v>29</v>
      </c>
      <c r="D347" s="39" t="s">
        <v>271</v>
      </c>
      <c r="E347" s="44" t="s">
        <v>1252</v>
      </c>
      <c r="F347" s="44" t="s">
        <v>1241</v>
      </c>
      <c r="G347" s="44" t="s">
        <v>1346</v>
      </c>
      <c r="H347" s="44">
        <v>12</v>
      </c>
      <c r="I347" s="39" t="s">
        <v>1257</v>
      </c>
      <c r="J347" s="39">
        <v>0</v>
      </c>
      <c r="K347" s="39">
        <v>0</v>
      </c>
      <c r="L347" s="39">
        <v>0</v>
      </c>
      <c r="M347" s="39" t="s">
        <v>1745</v>
      </c>
      <c r="N347" s="109" t="s">
        <v>1253</v>
      </c>
      <c r="O347" s="1" t="s">
        <v>1254</v>
      </c>
      <c r="P347" s="106" t="s">
        <v>1248</v>
      </c>
      <c r="Q347" s="39" t="s">
        <v>227</v>
      </c>
      <c r="R347" s="102" t="s">
        <v>1250</v>
      </c>
      <c r="S347" s="32"/>
    </row>
    <row r="348" spans="1:19" ht="15" x14ac:dyDescent="0.25">
      <c r="A348" s="39" t="s">
        <v>1747</v>
      </c>
      <c r="B348" s="40" t="s">
        <v>556</v>
      </c>
      <c r="C348" s="39" t="s">
        <v>29</v>
      </c>
      <c r="D348" s="41" t="s">
        <v>227</v>
      </c>
      <c r="E348" s="44" t="s">
        <v>1252</v>
      </c>
      <c r="F348" s="44" t="s">
        <v>1283</v>
      </c>
      <c r="G348" s="44" t="s">
        <v>1263</v>
      </c>
      <c r="H348" s="44">
        <v>2</v>
      </c>
      <c r="I348" s="39" t="s">
        <v>1313</v>
      </c>
      <c r="J348" s="39">
        <v>0</v>
      </c>
      <c r="K348" s="39">
        <v>0</v>
      </c>
      <c r="L348" s="39">
        <v>0</v>
      </c>
      <c r="M348" s="39" t="s">
        <v>1748</v>
      </c>
      <c r="N348" s="109" t="s">
        <v>1253</v>
      </c>
      <c r="O348" s="1" t="s">
        <v>1254</v>
      </c>
      <c r="P348" s="106" t="s">
        <v>1287</v>
      </c>
      <c r="Q348" s="39" t="s">
        <v>227</v>
      </c>
      <c r="R348" s="102">
        <v>1.5</v>
      </c>
      <c r="S348" s="32"/>
    </row>
    <row r="349" spans="1:19" ht="15" x14ac:dyDescent="0.25">
      <c r="A349" s="39" t="s">
        <v>1749</v>
      </c>
      <c r="B349" s="40" t="s">
        <v>241</v>
      </c>
      <c r="C349" s="39" t="s">
        <v>37</v>
      </c>
      <c r="D349" s="39" t="s">
        <v>227</v>
      </c>
      <c r="E349" s="44" t="s">
        <v>1240</v>
      </c>
      <c r="F349" s="44" t="s">
        <v>1283</v>
      </c>
      <c r="G349" s="44">
        <v>5.5</v>
      </c>
      <c r="H349" s="44">
        <v>6</v>
      </c>
      <c r="I349" s="39" t="s">
        <v>1355</v>
      </c>
      <c r="J349" s="39">
        <v>0</v>
      </c>
      <c r="K349" s="39">
        <v>0</v>
      </c>
      <c r="L349" s="39">
        <v>0</v>
      </c>
      <c r="M349" s="39" t="s">
        <v>1664</v>
      </c>
      <c r="N349" s="109" t="s">
        <v>1253</v>
      </c>
      <c r="O349" s="1" t="s">
        <v>1254</v>
      </c>
      <c r="P349" s="106" t="s">
        <v>1287</v>
      </c>
      <c r="Q349" s="39" t="s">
        <v>227</v>
      </c>
      <c r="R349" s="102">
        <v>1</v>
      </c>
      <c r="S349" s="32"/>
    </row>
    <row r="350" spans="1:19" ht="15" x14ac:dyDescent="0.25">
      <c r="A350" s="41" t="s">
        <v>1750</v>
      </c>
      <c r="B350" s="40" t="s">
        <v>589</v>
      </c>
      <c r="C350" s="39" t="s">
        <v>37</v>
      </c>
      <c r="D350" s="39" t="s">
        <v>271</v>
      </c>
      <c r="E350" s="44" t="s">
        <v>1252</v>
      </c>
      <c r="F350" s="44" t="s">
        <v>1283</v>
      </c>
      <c r="G350" s="44"/>
      <c r="H350" s="44"/>
      <c r="I350" s="39" t="s">
        <v>1284</v>
      </c>
      <c r="J350" s="39" t="s">
        <v>1356</v>
      </c>
      <c r="K350" s="39" t="s">
        <v>1432</v>
      </c>
      <c r="L350" s="39"/>
      <c r="M350" s="39" t="s">
        <v>1751</v>
      </c>
      <c r="N350" s="109" t="s">
        <v>1253</v>
      </c>
      <c r="O350" s="1" t="s">
        <v>1254</v>
      </c>
      <c r="P350" s="106" t="s">
        <v>1287</v>
      </c>
      <c r="Q350" s="39" t="s">
        <v>227</v>
      </c>
      <c r="R350" s="102" t="s">
        <v>1250</v>
      </c>
      <c r="S350" s="32"/>
    </row>
    <row r="351" spans="1:19" ht="15" x14ac:dyDescent="0.25">
      <c r="A351" s="39" t="s">
        <v>1752</v>
      </c>
      <c r="B351" s="40" t="s">
        <v>683</v>
      </c>
      <c r="C351" s="39" t="s">
        <v>29</v>
      </c>
      <c r="D351" s="39" t="s">
        <v>271</v>
      </c>
      <c r="E351" s="44" t="s">
        <v>1252</v>
      </c>
      <c r="F351" s="44" t="s">
        <v>1241</v>
      </c>
      <c r="G351" s="44"/>
      <c r="H351" s="44"/>
      <c r="I351" s="39"/>
      <c r="J351" s="39"/>
      <c r="K351" s="39"/>
      <c r="L351" s="39"/>
      <c r="M351" s="39"/>
      <c r="N351" s="39"/>
      <c r="O351" s="39"/>
      <c r="P351" s="106" t="s">
        <v>1248</v>
      </c>
      <c r="Q351" s="39" t="s">
        <v>1308</v>
      </c>
      <c r="R351" s="102" t="s">
        <v>1250</v>
      </c>
      <c r="S351" s="32"/>
    </row>
    <row r="352" spans="1:19" ht="15" x14ac:dyDescent="0.25">
      <c r="A352" s="39" t="s">
        <v>82</v>
      </c>
      <c r="B352" s="40" t="s">
        <v>83</v>
      </c>
      <c r="C352" s="39" t="s">
        <v>37</v>
      </c>
      <c r="D352" s="39" t="s">
        <v>271</v>
      </c>
      <c r="E352" s="44" t="s">
        <v>1240</v>
      </c>
      <c r="F352" s="44" t="s">
        <v>1283</v>
      </c>
      <c r="G352" s="104">
        <v>5.5</v>
      </c>
      <c r="H352" s="44">
        <v>2</v>
      </c>
      <c r="I352" s="39" t="s">
        <v>1313</v>
      </c>
      <c r="J352" s="39"/>
      <c r="K352" s="39"/>
      <c r="L352" s="39"/>
      <c r="M352" s="39" t="s">
        <v>1642</v>
      </c>
      <c r="N352" s="109" t="s">
        <v>1253</v>
      </c>
      <c r="O352" s="1" t="s">
        <v>1254</v>
      </c>
      <c r="P352" s="106" t="s">
        <v>1287</v>
      </c>
      <c r="Q352" s="39" t="s">
        <v>227</v>
      </c>
      <c r="R352" s="102">
        <v>0.8</v>
      </c>
      <c r="S352" s="32"/>
    </row>
    <row r="353" spans="1:19" ht="15" x14ac:dyDescent="0.25">
      <c r="A353" s="39" t="s">
        <v>616</v>
      </c>
      <c r="B353" s="40" t="s">
        <v>617</v>
      </c>
      <c r="C353" s="39" t="s">
        <v>29</v>
      </c>
      <c r="D353" s="39" t="s">
        <v>271</v>
      </c>
      <c r="E353" s="44" t="s">
        <v>1252</v>
      </c>
      <c r="F353" s="44" t="s">
        <v>1283</v>
      </c>
      <c r="G353" s="44" t="s">
        <v>1431</v>
      </c>
      <c r="H353" s="44">
        <v>6</v>
      </c>
      <c r="I353" s="39" t="s">
        <v>1356</v>
      </c>
      <c r="J353" s="39">
        <v>0</v>
      </c>
      <c r="K353" s="39">
        <v>0</v>
      </c>
      <c r="L353" s="39">
        <v>0</v>
      </c>
      <c r="M353" s="39" t="s">
        <v>1753</v>
      </c>
      <c r="N353" s="105" t="s">
        <v>1246</v>
      </c>
      <c r="O353" s="1" t="s">
        <v>1247</v>
      </c>
      <c r="P353" s="106" t="s">
        <v>1287</v>
      </c>
      <c r="Q353" s="39" t="s">
        <v>1308</v>
      </c>
      <c r="R353" s="102" t="s">
        <v>1250</v>
      </c>
      <c r="S353" s="32"/>
    </row>
    <row r="354" spans="1:19" ht="15" x14ac:dyDescent="0.25">
      <c r="A354" s="39" t="s">
        <v>1754</v>
      </c>
      <c r="B354" s="40" t="s">
        <v>532</v>
      </c>
      <c r="C354" s="39" t="s">
        <v>29</v>
      </c>
      <c r="D354" s="39" t="s">
        <v>271</v>
      </c>
      <c r="E354" s="44" t="s">
        <v>1252</v>
      </c>
      <c r="F354" s="44" t="s">
        <v>1283</v>
      </c>
      <c r="G354" s="104">
        <v>7</v>
      </c>
      <c r="H354" s="44">
        <v>4</v>
      </c>
      <c r="I354" s="39" t="s">
        <v>1312</v>
      </c>
      <c r="J354" s="39">
        <v>0</v>
      </c>
      <c r="K354" s="39">
        <v>0</v>
      </c>
      <c r="L354" s="39">
        <v>0</v>
      </c>
      <c r="M354" s="39" t="s">
        <v>1755</v>
      </c>
      <c r="N354" s="105" t="s">
        <v>1246</v>
      </c>
      <c r="O354" s="1" t="s">
        <v>1247</v>
      </c>
      <c r="P354" s="106" t="s">
        <v>1287</v>
      </c>
      <c r="Q354" s="39" t="s">
        <v>227</v>
      </c>
      <c r="R354" s="102">
        <v>0.5</v>
      </c>
      <c r="S354" s="32"/>
    </row>
    <row r="355" spans="1:19" ht="15" x14ac:dyDescent="0.25">
      <c r="A355" s="39" t="s">
        <v>1756</v>
      </c>
      <c r="B355" s="40" t="s">
        <v>512</v>
      </c>
      <c r="C355" s="39" t="s">
        <v>37</v>
      </c>
      <c r="D355" s="39" t="s">
        <v>271</v>
      </c>
      <c r="E355" s="44" t="s">
        <v>1252</v>
      </c>
      <c r="F355" s="44" t="s">
        <v>1283</v>
      </c>
      <c r="G355" s="44"/>
      <c r="H355" s="44"/>
      <c r="I355" s="39"/>
      <c r="J355" s="39"/>
      <c r="K355" s="39"/>
      <c r="L355" s="39"/>
      <c r="M355" s="39"/>
      <c r="N355" s="39"/>
      <c r="O355" s="39"/>
      <c r="P355" s="106" t="s">
        <v>1287</v>
      </c>
      <c r="Q355" s="39" t="s">
        <v>1308</v>
      </c>
      <c r="R355" s="102" t="s">
        <v>1250</v>
      </c>
      <c r="S355" s="32"/>
    </row>
    <row r="356" spans="1:19" ht="15" x14ac:dyDescent="0.25">
      <c r="A356" s="39" t="s">
        <v>1757</v>
      </c>
      <c r="B356" s="40" t="s">
        <v>514</v>
      </c>
      <c r="C356" s="39" t="s">
        <v>29</v>
      </c>
      <c r="D356" s="39" t="s">
        <v>271</v>
      </c>
      <c r="E356" s="44" t="s">
        <v>1252</v>
      </c>
      <c r="F356" s="44" t="s">
        <v>1283</v>
      </c>
      <c r="G356" s="44" t="s">
        <v>1472</v>
      </c>
      <c r="H356" s="44">
        <v>4</v>
      </c>
      <c r="I356" s="39" t="s">
        <v>1321</v>
      </c>
      <c r="J356" s="39" t="s">
        <v>1312</v>
      </c>
      <c r="K356" s="39">
        <v>0</v>
      </c>
      <c r="L356" s="39">
        <v>0</v>
      </c>
      <c r="M356" s="39" t="s">
        <v>1758</v>
      </c>
      <c r="N356" s="109" t="s">
        <v>1253</v>
      </c>
      <c r="O356" s="1" t="s">
        <v>1254</v>
      </c>
      <c r="P356" s="106" t="s">
        <v>1287</v>
      </c>
      <c r="Q356" s="39" t="s">
        <v>227</v>
      </c>
      <c r="R356" s="102" t="s">
        <v>1250</v>
      </c>
    </row>
    <row r="357" spans="1:19" ht="15" x14ac:dyDescent="0.25">
      <c r="A357" s="39" t="s">
        <v>163</v>
      </c>
      <c r="B357" s="40" t="s">
        <v>164</v>
      </c>
      <c r="C357" s="39" t="s">
        <v>29</v>
      </c>
      <c r="D357" s="39" t="s">
        <v>271</v>
      </c>
      <c r="E357" s="44" t="s">
        <v>1240</v>
      </c>
      <c r="F357" s="44" t="s">
        <v>1283</v>
      </c>
      <c r="G357" s="44" t="s">
        <v>1472</v>
      </c>
      <c r="H357" s="44">
        <v>2</v>
      </c>
      <c r="I357" s="39" t="s">
        <v>1313</v>
      </c>
      <c r="J357" s="39">
        <v>0</v>
      </c>
      <c r="K357" s="39">
        <v>0</v>
      </c>
      <c r="L357" s="39">
        <v>0</v>
      </c>
      <c r="M357" s="39" t="s">
        <v>1642</v>
      </c>
      <c r="N357" s="109" t="s">
        <v>1253</v>
      </c>
      <c r="O357" s="1" t="s">
        <v>1254</v>
      </c>
      <c r="P357" s="106" t="s">
        <v>1287</v>
      </c>
      <c r="Q357" s="39" t="s">
        <v>227</v>
      </c>
      <c r="R357" s="102" t="s">
        <v>1250</v>
      </c>
      <c r="S357" s="32"/>
    </row>
    <row r="358" spans="1:19" ht="15" x14ac:dyDescent="0.25">
      <c r="A358" s="39" t="s">
        <v>1759</v>
      </c>
      <c r="B358" s="40" t="s">
        <v>701</v>
      </c>
      <c r="C358" s="39" t="s">
        <v>29</v>
      </c>
      <c r="D358" s="39" t="s">
        <v>271</v>
      </c>
      <c r="E358" s="44" t="s">
        <v>1252</v>
      </c>
      <c r="F358" s="44" t="s">
        <v>1241</v>
      </c>
      <c r="G358" s="44" t="s">
        <v>1505</v>
      </c>
      <c r="H358" s="44">
        <v>4</v>
      </c>
      <c r="I358" s="39" t="s">
        <v>1257</v>
      </c>
      <c r="J358" s="39">
        <v>0</v>
      </c>
      <c r="K358" s="39">
        <v>0</v>
      </c>
      <c r="L358" s="39">
        <v>0</v>
      </c>
      <c r="M358" s="39" t="s">
        <v>1760</v>
      </c>
      <c r="N358" s="109" t="s">
        <v>1253</v>
      </c>
      <c r="O358" s="1" t="s">
        <v>1254</v>
      </c>
      <c r="P358" s="106" t="s">
        <v>1248</v>
      </c>
      <c r="Q358" s="39" t="s">
        <v>227</v>
      </c>
      <c r="R358" s="102">
        <v>0.25</v>
      </c>
      <c r="S358" s="32"/>
    </row>
    <row r="359" spans="1:19" ht="15" x14ac:dyDescent="0.25">
      <c r="A359" s="39" t="s">
        <v>132</v>
      </c>
      <c r="B359" s="40" t="s">
        <v>133</v>
      </c>
      <c r="C359" s="39" t="s">
        <v>29</v>
      </c>
      <c r="D359" s="39" t="s">
        <v>227</v>
      </c>
      <c r="E359" s="44" t="s">
        <v>1240</v>
      </c>
      <c r="F359" s="44" t="s">
        <v>1277</v>
      </c>
      <c r="G359" s="44"/>
      <c r="H359" s="44"/>
      <c r="I359" s="39"/>
      <c r="J359" s="39"/>
      <c r="K359" s="39"/>
      <c r="L359" s="39"/>
      <c r="M359" s="39" t="s">
        <v>1761</v>
      </c>
      <c r="N359" s="107" t="s">
        <v>1253</v>
      </c>
      <c r="O359" s="1" t="s">
        <v>1254</v>
      </c>
      <c r="P359" s="106" t="s">
        <v>1278</v>
      </c>
      <c r="Q359" s="39"/>
      <c r="R359" s="102">
        <v>1</v>
      </c>
      <c r="S359" s="32"/>
    </row>
    <row r="360" spans="1:19" ht="15" x14ac:dyDescent="0.25">
      <c r="A360" s="39" t="s">
        <v>200</v>
      </c>
      <c r="B360" s="40" t="s">
        <v>201</v>
      </c>
      <c r="C360" s="39" t="s">
        <v>29</v>
      </c>
      <c r="D360" s="39" t="s">
        <v>227</v>
      </c>
      <c r="E360" s="44" t="s">
        <v>1240</v>
      </c>
      <c r="F360" s="44" t="s">
        <v>1277</v>
      </c>
      <c r="G360" s="44"/>
      <c r="H360" s="44"/>
      <c r="I360" s="39"/>
      <c r="J360" s="39"/>
      <c r="K360" s="39"/>
      <c r="L360" s="39"/>
      <c r="M360" s="39" t="s">
        <v>1762</v>
      </c>
      <c r="N360" s="107" t="s">
        <v>1253</v>
      </c>
      <c r="O360" s="1" t="s">
        <v>1254</v>
      </c>
      <c r="P360" s="106" t="s">
        <v>1278</v>
      </c>
      <c r="Q360" s="39"/>
      <c r="R360" s="102">
        <v>1.5</v>
      </c>
      <c r="S360" s="32"/>
    </row>
    <row r="361" spans="1:19" ht="15" x14ac:dyDescent="0.25">
      <c r="A361" s="41" t="s">
        <v>1763</v>
      </c>
      <c r="B361" s="40" t="s">
        <v>775</v>
      </c>
      <c r="C361" s="39" t="s">
        <v>37</v>
      </c>
      <c r="D361" s="39" t="s">
        <v>271</v>
      </c>
      <c r="E361" s="44" t="s">
        <v>1345</v>
      </c>
      <c r="F361" s="44" t="s">
        <v>1283</v>
      </c>
      <c r="G361" s="44"/>
      <c r="H361" s="44"/>
      <c r="I361" s="39" t="s">
        <v>1314</v>
      </c>
      <c r="J361" s="39" t="s">
        <v>1285</v>
      </c>
      <c r="K361" s="39"/>
      <c r="L361" s="39"/>
      <c r="M361" s="39"/>
      <c r="N361" s="39"/>
      <c r="O361" s="39"/>
      <c r="P361" s="106" t="s">
        <v>1287</v>
      </c>
      <c r="Q361" s="39" t="s">
        <v>1308</v>
      </c>
      <c r="R361" s="102" t="s">
        <v>1250</v>
      </c>
      <c r="S361" s="32"/>
    </row>
    <row r="362" spans="1:19" ht="15" x14ac:dyDescent="0.25">
      <c r="A362" s="42" t="s">
        <v>839</v>
      </c>
      <c r="B362" s="40" t="s">
        <v>796</v>
      </c>
      <c r="C362" s="39" t="s">
        <v>29</v>
      </c>
      <c r="D362" s="39" t="s">
        <v>227</v>
      </c>
      <c r="E362" s="44" t="s">
        <v>1252</v>
      </c>
      <c r="F362" s="112" t="s">
        <v>1283</v>
      </c>
      <c r="G362" s="44"/>
      <c r="H362" s="44"/>
      <c r="I362" s="39"/>
      <c r="J362" s="39"/>
      <c r="K362" s="39"/>
      <c r="L362" s="39"/>
      <c r="M362" s="39" t="s">
        <v>839</v>
      </c>
      <c r="N362" s="107" t="s">
        <v>1253</v>
      </c>
      <c r="O362" s="1" t="s">
        <v>1254</v>
      </c>
      <c r="P362" s="106" t="s">
        <v>1278</v>
      </c>
      <c r="Q362" s="39"/>
      <c r="R362" s="113">
        <v>6</v>
      </c>
      <c r="S362" s="32"/>
    </row>
    <row r="363" spans="1:19" ht="15" x14ac:dyDescent="0.25">
      <c r="A363" s="39" t="s">
        <v>624</v>
      </c>
      <c r="B363" s="40" t="s">
        <v>625</v>
      </c>
      <c r="C363" s="39" t="s">
        <v>29</v>
      </c>
      <c r="D363" s="39" t="s">
        <v>271</v>
      </c>
      <c r="E363" s="44" t="s">
        <v>1252</v>
      </c>
      <c r="F363" s="44" t="s">
        <v>1283</v>
      </c>
      <c r="G363" s="44"/>
      <c r="H363" s="44"/>
      <c r="I363" s="39"/>
      <c r="J363" s="39"/>
      <c r="K363" s="39"/>
      <c r="L363" s="39"/>
      <c r="M363" s="39"/>
      <c r="N363" s="39"/>
      <c r="O363" s="39"/>
      <c r="P363" s="106" t="s">
        <v>1287</v>
      </c>
      <c r="Q363" s="39" t="s">
        <v>1308</v>
      </c>
      <c r="R363" s="102" t="s">
        <v>1250</v>
      </c>
    </row>
    <row r="364" spans="1:19" ht="15" x14ac:dyDescent="0.25">
      <c r="A364" s="39" t="s">
        <v>60</v>
      </c>
      <c r="B364" s="40" t="s">
        <v>61</v>
      </c>
      <c r="C364" s="39" t="s">
        <v>37</v>
      </c>
      <c r="D364" s="39" t="s">
        <v>271</v>
      </c>
      <c r="E364" s="44" t="s">
        <v>1300</v>
      </c>
      <c r="F364" s="44" t="s">
        <v>1241</v>
      </c>
      <c r="G364" s="104">
        <v>7</v>
      </c>
      <c r="H364" s="44">
        <v>4</v>
      </c>
      <c r="I364" s="39" t="s">
        <v>1243</v>
      </c>
      <c r="J364" s="39">
        <v>0</v>
      </c>
      <c r="K364" s="39">
        <v>0</v>
      </c>
      <c r="L364" s="39">
        <v>0</v>
      </c>
      <c r="M364" s="39" t="s">
        <v>1458</v>
      </c>
      <c r="N364" s="109" t="s">
        <v>1253</v>
      </c>
      <c r="O364" s="1" t="s">
        <v>1254</v>
      </c>
      <c r="P364" s="106" t="s">
        <v>1248</v>
      </c>
      <c r="Q364" s="39" t="s">
        <v>227</v>
      </c>
      <c r="R364" s="102" t="s">
        <v>1250</v>
      </c>
      <c r="S364" s="32"/>
    </row>
    <row r="365" spans="1:19" ht="15" x14ac:dyDescent="0.25">
      <c r="A365" s="39" t="s">
        <v>312</v>
      </c>
      <c r="B365" s="40" t="s">
        <v>313</v>
      </c>
      <c r="C365" s="39" t="s">
        <v>39</v>
      </c>
      <c r="D365" s="39" t="s">
        <v>227</v>
      </c>
      <c r="E365" s="44" t="s">
        <v>1252</v>
      </c>
      <c r="F365" s="44"/>
      <c r="G365" s="44"/>
      <c r="H365" s="44"/>
      <c r="I365" s="39"/>
      <c r="J365" s="39"/>
      <c r="K365" s="39"/>
      <c r="L365" s="39"/>
      <c r="M365" s="39"/>
      <c r="N365" s="107" t="s">
        <v>1253</v>
      </c>
      <c r="O365" s="1" t="s">
        <v>1254</v>
      </c>
      <c r="P365" s="106" t="s">
        <v>1255</v>
      </c>
      <c r="Q365" s="39"/>
      <c r="R365" s="102" t="s">
        <v>1250</v>
      </c>
      <c r="S365" s="32"/>
    </row>
    <row r="366" spans="1:19" ht="15" x14ac:dyDescent="0.25">
      <c r="A366" s="39" t="s">
        <v>259</v>
      </c>
      <c r="B366" s="40" t="s">
        <v>260</v>
      </c>
      <c r="C366" s="39" t="s">
        <v>37</v>
      </c>
      <c r="D366" s="39" t="s">
        <v>227</v>
      </c>
      <c r="E366" s="44" t="s">
        <v>1240</v>
      </c>
      <c r="F366" s="44" t="s">
        <v>1241</v>
      </c>
      <c r="G366" s="104">
        <v>5.5</v>
      </c>
      <c r="H366" s="44">
        <v>8</v>
      </c>
      <c r="I366" s="39" t="s">
        <v>1244</v>
      </c>
      <c r="J366" s="39" t="s">
        <v>1243</v>
      </c>
      <c r="K366" s="39"/>
      <c r="L366" s="39"/>
      <c r="M366" s="39" t="s">
        <v>1484</v>
      </c>
      <c r="N366" s="105" t="s">
        <v>1246</v>
      </c>
      <c r="O366" s="1" t="s">
        <v>1247</v>
      </c>
      <c r="P366" s="106" t="s">
        <v>1248</v>
      </c>
      <c r="Q366" s="39" t="s">
        <v>227</v>
      </c>
      <c r="R366" s="102">
        <v>0.5</v>
      </c>
      <c r="S366" s="32"/>
    </row>
    <row r="367" spans="1:19" ht="15" x14ac:dyDescent="0.25">
      <c r="A367" s="39" t="s">
        <v>1764</v>
      </c>
      <c r="B367" s="40" t="s">
        <v>345</v>
      </c>
      <c r="C367" s="39" t="s">
        <v>37</v>
      </c>
      <c r="D367" s="39" t="s">
        <v>271</v>
      </c>
      <c r="E367" s="44" t="s">
        <v>1252</v>
      </c>
      <c r="F367" s="44"/>
      <c r="G367" s="44"/>
      <c r="H367" s="44"/>
      <c r="I367" s="39"/>
      <c r="J367" s="39"/>
      <c r="K367" s="39"/>
      <c r="L367" s="39"/>
      <c r="M367" s="39"/>
      <c r="N367" s="107" t="s">
        <v>1253</v>
      </c>
      <c r="O367" s="1" t="s">
        <v>1254</v>
      </c>
      <c r="P367" s="106" t="s">
        <v>1255</v>
      </c>
      <c r="Q367" s="39"/>
      <c r="R367" s="102" t="s">
        <v>1250</v>
      </c>
    </row>
    <row r="368" spans="1:19" ht="15" x14ac:dyDescent="0.25">
      <c r="A368" s="39" t="s">
        <v>1765</v>
      </c>
      <c r="B368" s="40" t="s">
        <v>761</v>
      </c>
      <c r="C368" s="39" t="s">
        <v>39</v>
      </c>
      <c r="D368" s="39" t="s">
        <v>271</v>
      </c>
      <c r="E368" s="44" t="s">
        <v>1345</v>
      </c>
      <c r="F368" s="44"/>
      <c r="G368" s="44" t="s">
        <v>1267</v>
      </c>
      <c r="H368" s="44">
        <v>0</v>
      </c>
      <c r="I368" s="39" t="s">
        <v>1766</v>
      </c>
      <c r="J368" s="39">
        <v>0</v>
      </c>
      <c r="K368" s="39">
        <v>0</v>
      </c>
      <c r="L368" s="39">
        <v>0</v>
      </c>
      <c r="M368" s="39" t="s">
        <v>1637</v>
      </c>
      <c r="N368" s="107" t="s">
        <v>1253</v>
      </c>
      <c r="O368" s="1" t="s">
        <v>1254</v>
      </c>
      <c r="P368" s="106" t="s">
        <v>1255</v>
      </c>
      <c r="Q368" s="39"/>
      <c r="R368" s="102" t="s">
        <v>1250</v>
      </c>
    </row>
    <row r="369" spans="1:19" ht="15" x14ac:dyDescent="0.25">
      <c r="A369" s="39" t="s">
        <v>1767</v>
      </c>
      <c r="B369" s="40" t="s">
        <v>558</v>
      </c>
      <c r="C369" s="39" t="s">
        <v>29</v>
      </c>
      <c r="D369" s="39" t="s">
        <v>271</v>
      </c>
      <c r="E369" s="44" t="s">
        <v>1252</v>
      </c>
      <c r="F369" s="44" t="s">
        <v>1283</v>
      </c>
      <c r="G369" s="44"/>
      <c r="H369" s="44"/>
      <c r="I369" s="39"/>
      <c r="J369" s="39"/>
      <c r="K369" s="39"/>
      <c r="L369" s="39"/>
      <c r="M369" s="39"/>
      <c r="N369" s="39"/>
      <c r="O369" s="39"/>
      <c r="P369" s="106" t="s">
        <v>1287</v>
      </c>
      <c r="Q369" s="39" t="s">
        <v>1308</v>
      </c>
      <c r="R369" s="102" t="s">
        <v>1250</v>
      </c>
    </row>
    <row r="370" spans="1:19" ht="15" x14ac:dyDescent="0.25">
      <c r="A370" s="39" t="s">
        <v>62</v>
      </c>
      <c r="B370" s="40" t="s">
        <v>63</v>
      </c>
      <c r="C370" s="39" t="s">
        <v>29</v>
      </c>
      <c r="D370" s="39" t="s">
        <v>227</v>
      </c>
      <c r="E370" s="44" t="s">
        <v>1300</v>
      </c>
      <c r="F370" s="44" t="s">
        <v>1256</v>
      </c>
      <c r="G370" s="104">
        <v>6</v>
      </c>
      <c r="H370" s="44">
        <v>6</v>
      </c>
      <c r="I370" s="39" t="s">
        <v>1257</v>
      </c>
      <c r="J370" s="39" t="s">
        <v>1243</v>
      </c>
      <c r="K370" s="39">
        <v>0</v>
      </c>
      <c r="L370" s="39">
        <v>0</v>
      </c>
      <c r="M370" s="39" t="s">
        <v>1258</v>
      </c>
      <c r="N370" s="41" t="s">
        <v>1261</v>
      </c>
      <c r="O370" s="1" t="s">
        <v>1262</v>
      </c>
      <c r="P370" s="106" t="s">
        <v>1248</v>
      </c>
      <c r="Q370" s="39" t="s">
        <v>227</v>
      </c>
      <c r="R370" s="102">
        <v>0.3</v>
      </c>
    </row>
    <row r="371" spans="1:19" ht="15" x14ac:dyDescent="0.25">
      <c r="A371" s="39" t="s">
        <v>1768</v>
      </c>
      <c r="B371" s="40" t="s">
        <v>685</v>
      </c>
      <c r="C371" s="39" t="s">
        <v>29</v>
      </c>
      <c r="D371" s="39" t="s">
        <v>271</v>
      </c>
      <c r="E371" s="44" t="s">
        <v>1252</v>
      </c>
      <c r="F371" s="44" t="s">
        <v>1241</v>
      </c>
      <c r="G371" s="44"/>
      <c r="H371" s="44"/>
      <c r="I371" s="39"/>
      <c r="J371" s="39"/>
      <c r="K371" s="39"/>
      <c r="L371" s="39"/>
      <c r="M371" s="39"/>
      <c r="N371" s="39"/>
      <c r="O371" s="39"/>
      <c r="P371" s="106" t="s">
        <v>1248</v>
      </c>
      <c r="Q371" s="39" t="s">
        <v>1308</v>
      </c>
      <c r="R371" s="102" t="s">
        <v>1250</v>
      </c>
    </row>
    <row r="372" spans="1:19" ht="15" x14ac:dyDescent="0.25">
      <c r="A372" s="39" t="s">
        <v>88</v>
      </c>
      <c r="B372" s="40" t="s">
        <v>89</v>
      </c>
      <c r="C372" s="39" t="s">
        <v>29</v>
      </c>
      <c r="D372" s="39" t="s">
        <v>271</v>
      </c>
      <c r="E372" s="44" t="s">
        <v>1240</v>
      </c>
      <c r="F372" s="44" t="s">
        <v>1241</v>
      </c>
      <c r="G372" s="44">
        <v>5.5</v>
      </c>
      <c r="H372" s="44">
        <v>24</v>
      </c>
      <c r="I372" s="39" t="s">
        <v>1769</v>
      </c>
      <c r="J372" s="39" t="s">
        <v>1244</v>
      </c>
      <c r="K372" s="39">
        <v>0</v>
      </c>
      <c r="L372" s="39">
        <v>0</v>
      </c>
      <c r="M372" s="39" t="s">
        <v>1770</v>
      </c>
      <c r="N372" s="43" t="s">
        <v>1305</v>
      </c>
      <c r="O372" s="39" t="s">
        <v>1407</v>
      </c>
      <c r="P372" s="106" t="s">
        <v>1248</v>
      </c>
      <c r="Q372" s="39" t="s">
        <v>1771</v>
      </c>
      <c r="R372" s="102" t="s">
        <v>1250</v>
      </c>
    </row>
    <row r="373" spans="1:19" ht="15" x14ac:dyDescent="0.25">
      <c r="A373" s="41" t="s">
        <v>1772</v>
      </c>
      <c r="B373" s="40" t="s">
        <v>779</v>
      </c>
      <c r="C373" s="39" t="s">
        <v>29</v>
      </c>
      <c r="D373" s="39" t="s">
        <v>271</v>
      </c>
      <c r="E373" s="44" t="s">
        <v>1345</v>
      </c>
      <c r="F373" s="44" t="s">
        <v>1283</v>
      </c>
      <c r="G373" s="44" t="s">
        <v>1773</v>
      </c>
      <c r="H373" s="44"/>
      <c r="I373" s="39" t="s">
        <v>1285</v>
      </c>
      <c r="J373" s="39" t="s">
        <v>1284</v>
      </c>
      <c r="K373" s="39" t="s">
        <v>1432</v>
      </c>
      <c r="L373" s="39">
        <v>0</v>
      </c>
      <c r="M373" s="39" t="s">
        <v>1774</v>
      </c>
      <c r="N373" s="109" t="s">
        <v>1253</v>
      </c>
      <c r="O373" s="1" t="s">
        <v>1254</v>
      </c>
      <c r="P373" s="106" t="s">
        <v>1287</v>
      </c>
      <c r="Q373" s="39" t="s">
        <v>227</v>
      </c>
      <c r="R373" s="102" t="s">
        <v>1250</v>
      </c>
      <c r="S373" s="32"/>
    </row>
    <row r="374" spans="1:19" ht="15" x14ac:dyDescent="0.25">
      <c r="A374" s="39" t="s">
        <v>1775</v>
      </c>
      <c r="B374" s="40" t="s">
        <v>135</v>
      </c>
      <c r="C374" s="39" t="s">
        <v>37</v>
      </c>
      <c r="D374" s="39" t="s">
        <v>227</v>
      </c>
      <c r="E374" s="44" t="s">
        <v>1240</v>
      </c>
      <c r="F374" s="44" t="s">
        <v>1283</v>
      </c>
      <c r="G374" s="104">
        <v>6</v>
      </c>
      <c r="H374" s="44">
        <v>6</v>
      </c>
      <c r="I374" s="39" t="s">
        <v>1355</v>
      </c>
      <c r="J374" s="39">
        <v>0</v>
      </c>
      <c r="K374" s="39">
        <v>0</v>
      </c>
      <c r="L374" s="39">
        <v>0</v>
      </c>
      <c r="M374" s="39" t="s">
        <v>1776</v>
      </c>
      <c r="N374" s="109" t="s">
        <v>1253</v>
      </c>
      <c r="O374" s="1" t="s">
        <v>1254</v>
      </c>
      <c r="P374" s="106" t="s">
        <v>1287</v>
      </c>
      <c r="Q374" s="39" t="s">
        <v>227</v>
      </c>
      <c r="R374" s="102">
        <v>2</v>
      </c>
      <c r="S374" s="32"/>
    </row>
    <row r="375" spans="1:19" ht="15" x14ac:dyDescent="0.25">
      <c r="A375" s="41" t="s">
        <v>322</v>
      </c>
      <c r="B375" s="40" t="s">
        <v>323</v>
      </c>
      <c r="C375" s="39" t="s">
        <v>29</v>
      </c>
      <c r="D375" s="39" t="s">
        <v>227</v>
      </c>
      <c r="E375" s="44" t="s">
        <v>1252</v>
      </c>
      <c r="F375" s="44" t="s">
        <v>1283</v>
      </c>
      <c r="G375" s="44"/>
      <c r="H375" s="44"/>
      <c r="I375" s="39" t="s">
        <v>1355</v>
      </c>
      <c r="J375" s="39" t="s">
        <v>1432</v>
      </c>
      <c r="K375" s="39" t="s">
        <v>1356</v>
      </c>
      <c r="L375" s="39">
        <v>0</v>
      </c>
      <c r="M375" s="39" t="s">
        <v>1413</v>
      </c>
      <c r="N375" s="105" t="s">
        <v>1246</v>
      </c>
      <c r="O375" s="1" t="s">
        <v>1247</v>
      </c>
      <c r="P375" s="106" t="s">
        <v>1287</v>
      </c>
      <c r="Q375" s="39" t="s">
        <v>227</v>
      </c>
      <c r="R375" s="102">
        <v>2</v>
      </c>
      <c r="S375" s="32"/>
    </row>
    <row r="376" spans="1:19" ht="15" x14ac:dyDescent="0.25">
      <c r="A376" s="39" t="s">
        <v>1777</v>
      </c>
      <c r="B376" s="40" t="s">
        <v>584</v>
      </c>
      <c r="C376" s="39" t="s">
        <v>29</v>
      </c>
      <c r="D376" s="39" t="s">
        <v>271</v>
      </c>
      <c r="E376" s="44" t="s">
        <v>1252</v>
      </c>
      <c r="F376" s="44" t="s">
        <v>1283</v>
      </c>
      <c r="G376" s="44" t="s">
        <v>1469</v>
      </c>
      <c r="H376" s="44">
        <v>4</v>
      </c>
      <c r="I376" s="39" t="s">
        <v>1380</v>
      </c>
      <c r="J376" s="39">
        <v>0</v>
      </c>
      <c r="K376" s="39">
        <v>0</v>
      </c>
      <c r="L376" s="39">
        <v>0</v>
      </c>
      <c r="M376" s="39" t="s">
        <v>1470</v>
      </c>
      <c r="N376" s="109" t="s">
        <v>1253</v>
      </c>
      <c r="O376" s="1" t="s">
        <v>1254</v>
      </c>
      <c r="P376" s="106" t="s">
        <v>1287</v>
      </c>
      <c r="Q376" s="39" t="s">
        <v>227</v>
      </c>
      <c r="R376" s="102" t="s">
        <v>1250</v>
      </c>
    </row>
    <row r="377" spans="1:19" ht="15" x14ac:dyDescent="0.25">
      <c r="A377" s="39" t="s">
        <v>762</v>
      </c>
      <c r="B377" s="40" t="s">
        <v>763</v>
      </c>
      <c r="C377" s="39" t="s">
        <v>39</v>
      </c>
      <c r="D377" s="39" t="s">
        <v>271</v>
      </c>
      <c r="E377" s="44" t="s">
        <v>1345</v>
      </c>
      <c r="F377" s="44"/>
      <c r="G377" s="44"/>
      <c r="H377" s="44"/>
      <c r="I377" s="39"/>
      <c r="J377" s="39"/>
      <c r="K377" s="39"/>
      <c r="L377" s="39"/>
      <c r="M377" s="39"/>
      <c r="N377" s="109" t="s">
        <v>1253</v>
      </c>
      <c r="O377" s="1" t="s">
        <v>1254</v>
      </c>
      <c r="P377" s="106" t="s">
        <v>1255</v>
      </c>
      <c r="Q377" s="39" t="s">
        <v>1308</v>
      </c>
      <c r="R377" s="102" t="s">
        <v>1250</v>
      </c>
      <c r="S377" s="32"/>
    </row>
    <row r="378" spans="1:19" ht="15" x14ac:dyDescent="0.25">
      <c r="A378" s="41" t="s">
        <v>1778</v>
      </c>
      <c r="B378" s="40" t="s">
        <v>536</v>
      </c>
      <c r="C378" s="39" t="s">
        <v>29</v>
      </c>
      <c r="D378" s="39" t="s">
        <v>271</v>
      </c>
      <c r="E378" s="44" t="s">
        <v>1252</v>
      </c>
      <c r="F378" s="44" t="s">
        <v>1283</v>
      </c>
      <c r="G378" s="44"/>
      <c r="H378" s="44"/>
      <c r="I378" s="39" t="s">
        <v>1313</v>
      </c>
      <c r="J378" s="39" t="s">
        <v>1400</v>
      </c>
      <c r="K378" s="39" t="s">
        <v>1432</v>
      </c>
      <c r="L378" s="39" t="s">
        <v>1356</v>
      </c>
      <c r="M378" s="39" t="s">
        <v>1779</v>
      </c>
      <c r="N378" s="41" t="s">
        <v>1261</v>
      </c>
      <c r="O378" s="1" t="s">
        <v>1262</v>
      </c>
      <c r="P378" s="106" t="s">
        <v>1287</v>
      </c>
      <c r="Q378" s="39" t="s">
        <v>227</v>
      </c>
      <c r="R378" s="102" t="s">
        <v>1250</v>
      </c>
      <c r="S378" s="32"/>
    </row>
    <row r="379" spans="1:19" ht="15" x14ac:dyDescent="0.25">
      <c r="A379" s="30" t="s">
        <v>847</v>
      </c>
      <c r="B379" s="29" t="s">
        <v>848</v>
      </c>
      <c r="C379" s="1" t="s">
        <v>29</v>
      </c>
      <c r="D379" s="1" t="s">
        <v>227</v>
      </c>
      <c r="E379" s="115" t="s">
        <v>1240</v>
      </c>
      <c r="F379" s="115" t="s">
        <v>1256</v>
      </c>
      <c r="G379" s="115" t="s">
        <v>1469</v>
      </c>
      <c r="H379" s="115">
        <v>4</v>
      </c>
      <c r="I379" s="1" t="s">
        <v>1257</v>
      </c>
      <c r="J379" s="1" t="s">
        <v>1243</v>
      </c>
      <c r="K379" s="1">
        <v>0</v>
      </c>
      <c r="L379" s="1">
        <v>0</v>
      </c>
      <c r="M379" s="39" t="s">
        <v>1780</v>
      </c>
      <c r="N379" s="41" t="s">
        <v>1261</v>
      </c>
      <c r="O379" s="1" t="s">
        <v>1262</v>
      </c>
      <c r="P379" s="106" t="s">
        <v>1248</v>
      </c>
      <c r="Q379" s="39" t="s">
        <v>227</v>
      </c>
      <c r="R379" s="102">
        <v>0.6</v>
      </c>
      <c r="S379" s="32"/>
    </row>
    <row r="380" spans="1:19" ht="15" x14ac:dyDescent="0.25">
      <c r="A380" s="45" t="s">
        <v>849</v>
      </c>
      <c r="B380" s="1" t="s">
        <v>850</v>
      </c>
      <c r="C380" s="1" t="s">
        <v>29</v>
      </c>
      <c r="D380" s="30" t="s">
        <v>227</v>
      </c>
      <c r="E380" s="115" t="s">
        <v>1252</v>
      </c>
      <c r="F380" s="115" t="s">
        <v>1283</v>
      </c>
      <c r="G380" s="44"/>
      <c r="H380" s="44">
        <v>3</v>
      </c>
      <c r="I380" s="39" t="s">
        <v>1781</v>
      </c>
      <c r="J380" s="39"/>
      <c r="K380" s="39"/>
      <c r="L380" s="39"/>
      <c r="M380" s="39" t="s">
        <v>1782</v>
      </c>
      <c r="N380" s="109" t="s">
        <v>1253</v>
      </c>
      <c r="O380" s="1" t="s">
        <v>1254</v>
      </c>
      <c r="P380" s="106" t="s">
        <v>1287</v>
      </c>
      <c r="Q380" s="39" t="s">
        <v>227</v>
      </c>
      <c r="R380" s="102">
        <v>1</v>
      </c>
      <c r="S380" s="32"/>
    </row>
    <row r="381" spans="1:19" ht="15" x14ac:dyDescent="0.25">
      <c r="A381" s="42" t="s">
        <v>851</v>
      </c>
      <c r="B381" s="40" t="s">
        <v>852</v>
      </c>
      <c r="C381" s="39" t="s">
        <v>29</v>
      </c>
      <c r="D381" s="39" t="s">
        <v>227</v>
      </c>
      <c r="E381" s="44" t="s">
        <v>1252</v>
      </c>
      <c r="F381" s="44" t="s">
        <v>1277</v>
      </c>
      <c r="G381" s="44"/>
      <c r="H381" s="44"/>
      <c r="I381" s="39"/>
      <c r="J381" s="39"/>
      <c r="K381" s="39"/>
      <c r="L381" s="39"/>
      <c r="M381" s="39" t="s">
        <v>839</v>
      </c>
      <c r="N381" s="107" t="s">
        <v>1253</v>
      </c>
      <c r="O381" s="1" t="s">
        <v>1254</v>
      </c>
      <c r="P381" s="106" t="s">
        <v>1278</v>
      </c>
      <c r="Q381" s="39" t="s">
        <v>1308</v>
      </c>
      <c r="R381" s="102">
        <v>2</v>
      </c>
      <c r="S381" s="32"/>
    </row>
    <row r="382" spans="1:19" ht="15" x14ac:dyDescent="0.25">
      <c r="A382" s="39" t="s">
        <v>853</v>
      </c>
      <c r="B382" s="40" t="s">
        <v>854</v>
      </c>
      <c r="C382" s="39" t="s">
        <v>37</v>
      </c>
      <c r="D382" s="39" t="s">
        <v>227</v>
      </c>
      <c r="E382" s="44" t="s">
        <v>1252</v>
      </c>
      <c r="F382" s="44"/>
      <c r="G382" s="44" t="s">
        <v>1469</v>
      </c>
      <c r="H382" s="44">
        <v>4</v>
      </c>
      <c r="I382" s="39" t="s">
        <v>1285</v>
      </c>
      <c r="J382" s="39" t="s">
        <v>1314</v>
      </c>
      <c r="K382" s="39" t="s">
        <v>1284</v>
      </c>
      <c r="L382" s="39"/>
      <c r="M382" s="39" t="s">
        <v>1470</v>
      </c>
      <c r="N382" s="109" t="s">
        <v>1253</v>
      </c>
      <c r="O382" s="1" t="s">
        <v>1254</v>
      </c>
      <c r="P382" s="106" t="s">
        <v>1287</v>
      </c>
      <c r="Q382" s="39" t="s">
        <v>227</v>
      </c>
      <c r="R382" s="102">
        <v>2</v>
      </c>
      <c r="S382" s="32"/>
    </row>
    <row r="383" spans="1:19" ht="15" x14ac:dyDescent="0.25">
      <c r="A383" s="39" t="s">
        <v>855</v>
      </c>
      <c r="B383" s="40" t="s">
        <v>856</v>
      </c>
      <c r="C383" s="39" t="s">
        <v>37</v>
      </c>
      <c r="D383" s="1" t="s">
        <v>227</v>
      </c>
      <c r="E383" s="115" t="s">
        <v>1240</v>
      </c>
      <c r="F383" s="44"/>
      <c r="G383" s="44"/>
      <c r="H383" s="44"/>
      <c r="I383" s="39" t="s">
        <v>1328</v>
      </c>
      <c r="J383" s="39"/>
      <c r="K383" s="39"/>
      <c r="L383" s="39"/>
      <c r="M383" s="39" t="s">
        <v>1783</v>
      </c>
      <c r="N383" s="43" t="s">
        <v>1305</v>
      </c>
      <c r="O383" s="39" t="s">
        <v>1306</v>
      </c>
      <c r="P383" s="39" t="s">
        <v>1330</v>
      </c>
      <c r="Q383" s="39" t="s">
        <v>227</v>
      </c>
      <c r="R383" s="102">
        <v>50</v>
      </c>
      <c r="S383" s="32"/>
    </row>
    <row r="384" spans="1:19" ht="15" x14ac:dyDescent="0.25">
      <c r="A384" s="39" t="s">
        <v>857</v>
      </c>
      <c r="B384" s="40" t="s">
        <v>858</v>
      </c>
      <c r="C384" s="39" t="s">
        <v>85</v>
      </c>
      <c r="D384" s="39" t="s">
        <v>227</v>
      </c>
      <c r="E384" s="44" t="s">
        <v>1252</v>
      </c>
      <c r="F384" s="44"/>
      <c r="G384" s="104">
        <v>7</v>
      </c>
      <c r="H384" s="44">
        <v>4</v>
      </c>
      <c r="I384" s="39" t="s">
        <v>1290</v>
      </c>
      <c r="J384" s="39"/>
      <c r="K384" s="39"/>
      <c r="L384" s="39"/>
      <c r="M384" s="39" t="s">
        <v>1784</v>
      </c>
      <c r="N384" s="109" t="s">
        <v>1253</v>
      </c>
      <c r="O384" s="1" t="s">
        <v>1254</v>
      </c>
      <c r="P384" s="106" t="s">
        <v>1248</v>
      </c>
      <c r="Q384" s="39" t="s">
        <v>227</v>
      </c>
      <c r="R384" s="102">
        <v>1</v>
      </c>
      <c r="S384" s="117"/>
    </row>
    <row r="385" spans="1:19" ht="15" x14ac:dyDescent="0.25">
      <c r="A385" s="39" t="s">
        <v>859</v>
      </c>
      <c r="B385" s="40" t="s">
        <v>860</v>
      </c>
      <c r="C385" s="39" t="s">
        <v>37</v>
      </c>
      <c r="D385" s="39" t="s">
        <v>227</v>
      </c>
      <c r="E385" s="44" t="s">
        <v>1252</v>
      </c>
      <c r="F385" s="44"/>
      <c r="G385" s="44" t="s">
        <v>1785</v>
      </c>
      <c r="H385" s="44">
        <v>6</v>
      </c>
      <c r="I385" s="39" t="s">
        <v>1313</v>
      </c>
      <c r="J385" s="39"/>
      <c r="K385" s="39"/>
      <c r="L385" s="39"/>
      <c r="M385" s="39" t="s">
        <v>1786</v>
      </c>
      <c r="N385" s="105" t="s">
        <v>1246</v>
      </c>
      <c r="O385" s="1" t="s">
        <v>1247</v>
      </c>
      <c r="P385" s="106" t="s">
        <v>1287</v>
      </c>
      <c r="Q385" s="39" t="s">
        <v>227</v>
      </c>
      <c r="R385" s="102">
        <v>0.3</v>
      </c>
      <c r="S385" s="117"/>
    </row>
    <row r="386" spans="1:19" ht="15" x14ac:dyDescent="0.25">
      <c r="A386" s="39" t="s">
        <v>861</v>
      </c>
      <c r="B386" s="40" t="s">
        <v>862</v>
      </c>
      <c r="C386" s="39" t="s">
        <v>29</v>
      </c>
      <c r="D386" s="39" t="s">
        <v>227</v>
      </c>
      <c r="E386" s="44" t="s">
        <v>1252</v>
      </c>
      <c r="F386" s="44"/>
      <c r="G386" s="44" t="s">
        <v>1787</v>
      </c>
      <c r="H386" s="44">
        <v>4</v>
      </c>
      <c r="I386" s="1" t="s">
        <v>1257</v>
      </c>
      <c r="J386" s="1" t="s">
        <v>1243</v>
      </c>
      <c r="K386" s="39"/>
      <c r="L386" s="39"/>
      <c r="M386" s="39" t="s">
        <v>1788</v>
      </c>
      <c r="N386" s="109" t="s">
        <v>1253</v>
      </c>
      <c r="O386" s="1" t="s">
        <v>1254</v>
      </c>
      <c r="P386" s="106" t="s">
        <v>1248</v>
      </c>
      <c r="Q386" s="39" t="s">
        <v>227</v>
      </c>
      <c r="R386" s="102">
        <v>0.4</v>
      </c>
      <c r="S386" s="117"/>
    </row>
    <row r="387" spans="1:19" ht="15" x14ac:dyDescent="0.25">
      <c r="A387" s="39" t="s">
        <v>863</v>
      </c>
      <c r="B387" s="40" t="s">
        <v>864</v>
      </c>
      <c r="C387" s="39" t="s">
        <v>29</v>
      </c>
      <c r="D387" s="39" t="s">
        <v>227</v>
      </c>
      <c r="E387" s="44" t="s">
        <v>1252</v>
      </c>
      <c r="F387" s="44"/>
      <c r="G387" s="44"/>
      <c r="H387" s="44"/>
      <c r="I387" s="39" t="s">
        <v>1400</v>
      </c>
      <c r="J387" s="39" t="s">
        <v>1285</v>
      </c>
      <c r="K387" s="39"/>
      <c r="L387" s="39"/>
      <c r="M387" s="39" t="s">
        <v>1789</v>
      </c>
      <c r="N387" s="105" t="s">
        <v>1246</v>
      </c>
      <c r="O387" s="1" t="s">
        <v>1247</v>
      </c>
      <c r="P387" s="106" t="s">
        <v>1287</v>
      </c>
      <c r="Q387" s="39" t="s">
        <v>227</v>
      </c>
      <c r="R387" s="102">
        <v>1.3</v>
      </c>
      <c r="S387" s="117"/>
    </row>
    <row r="388" spans="1:19" ht="15" x14ac:dyDescent="0.25">
      <c r="A388" s="39" t="s">
        <v>865</v>
      </c>
      <c r="B388" s="40" t="s">
        <v>866</v>
      </c>
      <c r="C388" s="39" t="s">
        <v>37</v>
      </c>
      <c r="D388" s="39" t="s">
        <v>227</v>
      </c>
      <c r="E388" s="44" t="s">
        <v>1252</v>
      </c>
      <c r="F388" s="44" t="s">
        <v>1283</v>
      </c>
      <c r="G388" s="111">
        <v>5</v>
      </c>
      <c r="H388" s="44">
        <v>2</v>
      </c>
      <c r="I388" s="39" t="s">
        <v>1313</v>
      </c>
      <c r="J388" s="39"/>
      <c r="K388" s="39"/>
      <c r="L388" s="39"/>
      <c r="M388" s="39" t="s">
        <v>1357</v>
      </c>
      <c r="N388" s="109" t="s">
        <v>1253</v>
      </c>
      <c r="O388" s="1" t="s">
        <v>1254</v>
      </c>
      <c r="P388" s="106" t="s">
        <v>1287</v>
      </c>
      <c r="Q388" s="39" t="s">
        <v>227</v>
      </c>
      <c r="R388" s="102">
        <v>1</v>
      </c>
      <c r="S388" s="117"/>
    </row>
    <row r="389" spans="1:19" ht="15" x14ac:dyDescent="0.25">
      <c r="A389" s="39" t="s">
        <v>867</v>
      </c>
      <c r="B389" s="40" t="s">
        <v>868</v>
      </c>
      <c r="C389" s="39" t="s">
        <v>29</v>
      </c>
      <c r="D389" s="39" t="s">
        <v>227</v>
      </c>
      <c r="E389" s="44" t="s">
        <v>1252</v>
      </c>
      <c r="F389" s="44"/>
      <c r="G389" s="104">
        <v>5</v>
      </c>
      <c r="H389" s="44">
        <v>8</v>
      </c>
      <c r="I389" s="39" t="s">
        <v>1242</v>
      </c>
      <c r="J389" s="39" t="s">
        <v>1290</v>
      </c>
      <c r="K389" s="39">
        <v>0</v>
      </c>
      <c r="L389" s="39"/>
      <c r="M389" s="39" t="s">
        <v>1570</v>
      </c>
      <c r="N389" s="41" t="s">
        <v>1261</v>
      </c>
      <c r="O389" s="1" t="s">
        <v>1262</v>
      </c>
      <c r="P389" s="106" t="s">
        <v>1248</v>
      </c>
      <c r="Q389" s="39" t="s">
        <v>227</v>
      </c>
      <c r="R389" s="102">
        <v>1</v>
      </c>
      <c r="S389" s="117"/>
    </row>
    <row r="390" spans="1:19" ht="15" x14ac:dyDescent="0.25">
      <c r="A390" s="40" t="s">
        <v>1790</v>
      </c>
      <c r="B390" s="39" t="s">
        <v>870</v>
      </c>
      <c r="C390" s="39" t="s">
        <v>29</v>
      </c>
      <c r="D390" s="39" t="s">
        <v>227</v>
      </c>
      <c r="E390" s="44" t="s">
        <v>1252</v>
      </c>
      <c r="F390" s="39"/>
      <c r="G390" s="44"/>
      <c r="H390" s="44"/>
      <c r="I390" s="39"/>
      <c r="J390" s="39"/>
      <c r="K390" s="39"/>
      <c r="L390" s="39"/>
      <c r="M390" s="39" t="s">
        <v>1791</v>
      </c>
      <c r="N390" s="109" t="s">
        <v>1253</v>
      </c>
      <c r="O390" s="1" t="s">
        <v>1254</v>
      </c>
      <c r="P390" s="106" t="s">
        <v>1299</v>
      </c>
      <c r="Q390" s="39" t="s">
        <v>227</v>
      </c>
      <c r="R390" s="102" t="s">
        <v>1250</v>
      </c>
      <c r="S390" s="117"/>
    </row>
    <row r="391" spans="1:19" ht="15" x14ac:dyDescent="0.25">
      <c r="A391" s="39" t="s">
        <v>1792</v>
      </c>
      <c r="B391" s="40" t="s">
        <v>872</v>
      </c>
      <c r="C391" s="39" t="s">
        <v>29</v>
      </c>
      <c r="D391" s="39" t="s">
        <v>227</v>
      </c>
      <c r="E391" s="44" t="s">
        <v>1252</v>
      </c>
      <c r="F391" s="44"/>
      <c r="G391" s="44"/>
      <c r="H391" s="44"/>
      <c r="I391" s="39"/>
      <c r="J391" s="39"/>
      <c r="K391" s="39"/>
      <c r="L391" s="39"/>
      <c r="M391" s="39" t="s">
        <v>1793</v>
      </c>
      <c r="N391" s="107" t="s">
        <v>1253</v>
      </c>
      <c r="O391" s="1" t="s">
        <v>1254</v>
      </c>
      <c r="P391" s="39" t="s">
        <v>1276</v>
      </c>
      <c r="Q391" s="39" t="s">
        <v>1308</v>
      </c>
      <c r="R391" s="102" t="s">
        <v>1250</v>
      </c>
      <c r="S391" s="117"/>
    </row>
    <row r="392" spans="1:19" ht="15" x14ac:dyDescent="0.25">
      <c r="A392" s="39" t="s">
        <v>873</v>
      </c>
      <c r="B392" s="40" t="s">
        <v>874</v>
      </c>
      <c r="C392" s="39" t="s">
        <v>29</v>
      </c>
      <c r="D392" s="39" t="s">
        <v>227</v>
      </c>
      <c r="E392" s="44" t="s">
        <v>1252</v>
      </c>
      <c r="F392" s="44"/>
      <c r="G392" s="44"/>
      <c r="H392" s="44"/>
      <c r="I392" s="39"/>
      <c r="J392" s="39"/>
      <c r="K392" s="39"/>
      <c r="L392" s="39"/>
      <c r="M392" s="39"/>
      <c r="N392" s="107" t="s">
        <v>1253</v>
      </c>
      <c r="O392" s="1" t="s">
        <v>1254</v>
      </c>
      <c r="P392" s="39" t="s">
        <v>1276</v>
      </c>
      <c r="Q392" s="39" t="s">
        <v>1308</v>
      </c>
      <c r="R392" s="102" t="s">
        <v>1250</v>
      </c>
      <c r="S392" s="117"/>
    </row>
    <row r="393" spans="1:19" ht="15" x14ac:dyDescent="0.25">
      <c r="A393" s="39" t="s">
        <v>875</v>
      </c>
      <c r="B393" s="40" t="s">
        <v>876</v>
      </c>
      <c r="C393" s="39" t="s">
        <v>37</v>
      </c>
      <c r="D393" s="39" t="s">
        <v>227</v>
      </c>
      <c r="E393" s="44" t="s">
        <v>1252</v>
      </c>
      <c r="F393" s="44"/>
      <c r="G393" s="44"/>
      <c r="H393" s="44"/>
      <c r="I393" s="39"/>
      <c r="J393" s="39"/>
      <c r="K393" s="39"/>
      <c r="L393" s="39"/>
      <c r="M393" s="39"/>
      <c r="N393" s="107" t="s">
        <v>1253</v>
      </c>
      <c r="O393" s="1" t="s">
        <v>1254</v>
      </c>
      <c r="P393" s="39" t="s">
        <v>1276</v>
      </c>
      <c r="Q393" s="39" t="s">
        <v>1308</v>
      </c>
      <c r="R393" s="102" t="s">
        <v>1250</v>
      </c>
      <c r="S393" s="117"/>
    </row>
    <row r="394" spans="1:19" ht="15" x14ac:dyDescent="0.25">
      <c r="A394" s="39" t="s">
        <v>877</v>
      </c>
      <c r="B394" s="40" t="s">
        <v>797</v>
      </c>
      <c r="C394" s="39" t="s">
        <v>39</v>
      </c>
      <c r="D394" s="39" t="s">
        <v>227</v>
      </c>
      <c r="E394" s="44" t="s">
        <v>1252</v>
      </c>
      <c r="F394" s="44"/>
      <c r="G394" s="44"/>
      <c r="H394" s="44"/>
      <c r="I394" s="39"/>
      <c r="J394" s="39"/>
      <c r="K394" s="39"/>
      <c r="L394" s="39"/>
      <c r="M394" s="39"/>
      <c r="N394" s="39"/>
      <c r="O394" s="39"/>
      <c r="P394" s="39" t="s">
        <v>1255</v>
      </c>
      <c r="Q394" s="39" t="s">
        <v>1308</v>
      </c>
      <c r="R394" s="102" t="s">
        <v>1250</v>
      </c>
      <c r="S394" s="117"/>
    </row>
    <row r="395" spans="1:19" ht="15" x14ac:dyDescent="0.25">
      <c r="A395" s="39" t="s">
        <v>878</v>
      </c>
      <c r="B395" s="40" t="s">
        <v>879</v>
      </c>
      <c r="C395" s="39" t="s">
        <v>39</v>
      </c>
      <c r="D395" s="39" t="s">
        <v>227</v>
      </c>
      <c r="E395" s="44" t="s">
        <v>1252</v>
      </c>
      <c r="F395" s="44"/>
      <c r="G395" s="44"/>
      <c r="H395" s="44"/>
      <c r="I395" s="39"/>
      <c r="J395" s="39"/>
      <c r="K395" s="39"/>
      <c r="L395" s="39"/>
      <c r="M395" s="39"/>
      <c r="N395" s="39"/>
      <c r="O395" s="39"/>
      <c r="P395" s="39" t="s">
        <v>1255</v>
      </c>
      <c r="Q395" s="39" t="s">
        <v>1308</v>
      </c>
      <c r="R395" s="102" t="s">
        <v>1250</v>
      </c>
      <c r="S395" s="117"/>
    </row>
    <row r="396" spans="1:19" ht="15" x14ac:dyDescent="0.25">
      <c r="A396" s="39" t="s">
        <v>880</v>
      </c>
      <c r="B396" s="40" t="s">
        <v>881</v>
      </c>
      <c r="C396" s="39" t="s">
        <v>37</v>
      </c>
      <c r="D396" s="39" t="s">
        <v>227</v>
      </c>
      <c r="E396" s="44" t="s">
        <v>1252</v>
      </c>
      <c r="F396" s="44"/>
      <c r="G396" s="44"/>
      <c r="H396" s="44"/>
      <c r="I396" s="39"/>
      <c r="J396" s="39"/>
      <c r="K396" s="39"/>
      <c r="L396" s="39"/>
      <c r="M396" s="39"/>
      <c r="N396" s="39"/>
      <c r="O396" s="39"/>
      <c r="P396" s="39" t="s">
        <v>1255</v>
      </c>
      <c r="Q396" s="39" t="s">
        <v>1308</v>
      </c>
      <c r="R396" s="102" t="s">
        <v>1250</v>
      </c>
      <c r="S396" s="117"/>
    </row>
    <row r="397" spans="1:19" ht="15" x14ac:dyDescent="0.25">
      <c r="A397" s="39" t="s">
        <v>882</v>
      </c>
      <c r="B397" s="40" t="s">
        <v>883</v>
      </c>
      <c r="C397" s="39" t="s">
        <v>37</v>
      </c>
      <c r="D397" s="39" t="s">
        <v>227</v>
      </c>
      <c r="E397" s="44" t="s">
        <v>1252</v>
      </c>
      <c r="F397" s="44"/>
      <c r="G397" s="44"/>
      <c r="H397" s="44"/>
      <c r="I397" s="39"/>
      <c r="J397" s="39"/>
      <c r="K397" s="39"/>
      <c r="L397" s="39"/>
      <c r="M397" s="39"/>
      <c r="N397" s="39"/>
      <c r="O397" s="39"/>
      <c r="P397" s="39" t="s">
        <v>1255</v>
      </c>
      <c r="Q397" s="39" t="s">
        <v>1308</v>
      </c>
      <c r="R397" s="102" t="s">
        <v>1250</v>
      </c>
      <c r="S397" s="117"/>
    </row>
    <row r="398" spans="1:19" ht="15" x14ac:dyDescent="0.25">
      <c r="A398" s="39" t="s">
        <v>1794</v>
      </c>
      <c r="B398" s="40" t="s">
        <v>885</v>
      </c>
      <c r="C398" s="39" t="s">
        <v>39</v>
      </c>
      <c r="D398" s="39" t="s">
        <v>227</v>
      </c>
      <c r="E398" s="44" t="s">
        <v>1252</v>
      </c>
      <c r="F398" s="44"/>
      <c r="G398" s="44"/>
      <c r="H398" s="44"/>
      <c r="I398" s="39"/>
      <c r="J398" s="39"/>
      <c r="K398" s="39"/>
      <c r="L398" s="39"/>
      <c r="M398" s="39"/>
      <c r="N398" s="39"/>
      <c r="O398" s="39"/>
      <c r="P398" s="39" t="s">
        <v>1255</v>
      </c>
      <c r="Q398" s="39" t="s">
        <v>1308</v>
      </c>
      <c r="R398" s="102" t="s">
        <v>1250</v>
      </c>
      <c r="S398" s="117"/>
    </row>
    <row r="399" spans="1:19" ht="15" x14ac:dyDescent="0.25">
      <c r="A399" s="39" t="s">
        <v>1795</v>
      </c>
      <c r="B399" s="40" t="s">
        <v>887</v>
      </c>
      <c r="C399" s="39" t="s">
        <v>27</v>
      </c>
      <c r="D399" s="39" t="s">
        <v>227</v>
      </c>
      <c r="E399" s="44" t="s">
        <v>1252</v>
      </c>
      <c r="F399" s="44"/>
      <c r="G399" s="44">
        <v>4.5</v>
      </c>
      <c r="H399" s="44"/>
      <c r="I399" s="39" t="s">
        <v>1796</v>
      </c>
      <c r="J399" s="39"/>
      <c r="K399" s="39"/>
      <c r="L399" s="39"/>
      <c r="M399" s="39"/>
      <c r="N399" s="107" t="s">
        <v>1253</v>
      </c>
      <c r="O399" s="1" t="s">
        <v>1254</v>
      </c>
      <c r="P399" s="106" t="s">
        <v>1342</v>
      </c>
      <c r="Q399" s="39" t="s">
        <v>1308</v>
      </c>
      <c r="R399" s="102">
        <v>0.2</v>
      </c>
      <c r="S399" s="117"/>
    </row>
    <row r="400" spans="1:19" ht="15" x14ac:dyDescent="0.25">
      <c r="A400" s="118" t="s">
        <v>1797</v>
      </c>
      <c r="B400" s="119" t="s">
        <v>1798</v>
      </c>
      <c r="C400" s="120" t="s">
        <v>29</v>
      </c>
      <c r="D400" s="120" t="s">
        <v>227</v>
      </c>
      <c r="E400" s="115" t="s">
        <v>1240</v>
      </c>
      <c r="F400" s="115" t="s">
        <v>1256</v>
      </c>
      <c r="G400" s="115" t="s">
        <v>1469</v>
      </c>
      <c r="H400" s="121">
        <v>12</v>
      </c>
      <c r="I400" s="1" t="s">
        <v>1257</v>
      </c>
      <c r="J400" s="1" t="s">
        <v>1243</v>
      </c>
      <c r="K400" s="1">
        <v>0</v>
      </c>
      <c r="L400" s="1">
        <v>0</v>
      </c>
      <c r="M400" s="122" t="s">
        <v>1780</v>
      </c>
      <c r="N400" s="105" t="s">
        <v>1246</v>
      </c>
      <c r="O400" s="1" t="s">
        <v>1247</v>
      </c>
      <c r="P400" s="106" t="s">
        <v>1248</v>
      </c>
      <c r="Q400" s="39" t="s">
        <v>227</v>
      </c>
      <c r="R400" s="123">
        <v>0.6</v>
      </c>
      <c r="S400" s="117"/>
    </row>
    <row r="401" spans="1:19" ht="15" x14ac:dyDescent="0.25">
      <c r="A401" s="122" t="s">
        <v>1799</v>
      </c>
      <c r="B401" s="124" t="s">
        <v>1800</v>
      </c>
      <c r="C401" s="125" t="s">
        <v>29</v>
      </c>
      <c r="D401" s="125" t="s">
        <v>227</v>
      </c>
      <c r="E401" s="44" t="s">
        <v>1240</v>
      </c>
      <c r="F401" s="44" t="s">
        <v>1256</v>
      </c>
      <c r="G401" s="111">
        <v>7</v>
      </c>
      <c r="H401" s="126">
        <v>12</v>
      </c>
      <c r="I401" s="108" t="s">
        <v>1243</v>
      </c>
      <c r="J401" s="39">
        <v>0</v>
      </c>
      <c r="K401" s="39">
        <v>0</v>
      </c>
      <c r="L401" s="39">
        <v>0</v>
      </c>
      <c r="M401" s="122" t="s">
        <v>1801</v>
      </c>
      <c r="N401" s="105" t="s">
        <v>1246</v>
      </c>
      <c r="O401" s="1" t="s">
        <v>1247</v>
      </c>
      <c r="P401" s="106" t="s">
        <v>1248</v>
      </c>
      <c r="Q401" s="39" t="s">
        <v>227</v>
      </c>
      <c r="R401" s="127">
        <v>0.9</v>
      </c>
      <c r="S401" s="117"/>
    </row>
    <row r="402" spans="1:19" ht="15" x14ac:dyDescent="0.25">
      <c r="A402" s="118" t="s">
        <v>1802</v>
      </c>
      <c r="B402" s="124" t="s">
        <v>1803</v>
      </c>
      <c r="C402" s="125" t="s">
        <v>37</v>
      </c>
      <c r="D402" s="125" t="s">
        <v>227</v>
      </c>
      <c r="E402" s="44" t="s">
        <v>1240</v>
      </c>
      <c r="F402" s="44" t="s">
        <v>1241</v>
      </c>
      <c r="G402" s="104">
        <v>7</v>
      </c>
      <c r="H402" s="128">
        <v>12</v>
      </c>
      <c r="I402" s="39" t="s">
        <v>1244</v>
      </c>
      <c r="J402" s="39" t="s">
        <v>1290</v>
      </c>
      <c r="K402" s="39">
        <v>0</v>
      </c>
      <c r="L402" s="39">
        <v>0</v>
      </c>
      <c r="M402" s="122" t="s">
        <v>1804</v>
      </c>
      <c r="N402" s="105" t="s">
        <v>1246</v>
      </c>
      <c r="O402" s="1" t="s">
        <v>1247</v>
      </c>
      <c r="P402" s="106" t="s">
        <v>1248</v>
      </c>
      <c r="Q402" s="39" t="s">
        <v>227</v>
      </c>
      <c r="R402" s="127">
        <v>0.3</v>
      </c>
      <c r="S402" s="117"/>
    </row>
    <row r="403" spans="1:19" ht="15" x14ac:dyDescent="0.25">
      <c r="A403" s="122" t="s">
        <v>1805</v>
      </c>
      <c r="B403" s="124" t="s">
        <v>1806</v>
      </c>
      <c r="C403" s="125" t="s">
        <v>29</v>
      </c>
      <c r="D403" s="125" t="s">
        <v>227</v>
      </c>
      <c r="E403" s="44" t="s">
        <v>1240</v>
      </c>
      <c r="F403" s="44"/>
      <c r="G403" s="44"/>
      <c r="H403" s="129">
        <v>24</v>
      </c>
      <c r="I403" s="39" t="s">
        <v>1242</v>
      </c>
      <c r="J403" s="39">
        <v>0</v>
      </c>
      <c r="K403" s="39">
        <v>0</v>
      </c>
      <c r="L403" s="39">
        <v>0</v>
      </c>
      <c r="M403" s="122" t="s">
        <v>1807</v>
      </c>
      <c r="N403" s="41" t="s">
        <v>1261</v>
      </c>
      <c r="O403" s="1" t="s">
        <v>1262</v>
      </c>
      <c r="P403" s="106" t="s">
        <v>1248</v>
      </c>
      <c r="Q403" s="39" t="s">
        <v>227</v>
      </c>
      <c r="R403" s="102">
        <v>1</v>
      </c>
      <c r="S403" s="117"/>
    </row>
    <row r="404" spans="1:19" ht="15" x14ac:dyDescent="0.25">
      <c r="A404" s="13" t="s">
        <v>1808</v>
      </c>
      <c r="B404" s="124" t="s">
        <v>1809</v>
      </c>
      <c r="C404" s="125" t="s">
        <v>29</v>
      </c>
      <c r="D404" s="125" t="s">
        <v>227</v>
      </c>
      <c r="E404" s="44" t="s">
        <v>1240</v>
      </c>
      <c r="F404" s="115"/>
      <c r="G404" s="115"/>
      <c r="H404" s="121">
        <v>24</v>
      </c>
      <c r="I404" s="1" t="s">
        <v>1257</v>
      </c>
      <c r="J404" s="1" t="s">
        <v>1243</v>
      </c>
      <c r="K404" s="1">
        <v>0</v>
      </c>
      <c r="L404" s="1">
        <v>0</v>
      </c>
      <c r="M404" s="13" t="s">
        <v>1258</v>
      </c>
      <c r="N404" s="41" t="s">
        <v>1261</v>
      </c>
      <c r="O404" s="1" t="s">
        <v>1262</v>
      </c>
      <c r="P404" s="106" t="s">
        <v>1248</v>
      </c>
      <c r="Q404" s="39" t="s">
        <v>227</v>
      </c>
      <c r="R404" s="127">
        <v>0.4</v>
      </c>
      <c r="S404" s="117"/>
    </row>
    <row r="405" spans="1:19" ht="15" x14ac:dyDescent="0.25">
      <c r="A405" s="122" t="s">
        <v>1810</v>
      </c>
      <c r="B405" s="124" t="s">
        <v>1811</v>
      </c>
      <c r="C405" s="125" t="s">
        <v>29</v>
      </c>
      <c r="D405" s="125" t="s">
        <v>227</v>
      </c>
      <c r="E405" s="44" t="s">
        <v>1240</v>
      </c>
      <c r="F405" s="44" t="s">
        <v>1241</v>
      </c>
      <c r="G405" s="104">
        <v>7</v>
      </c>
      <c r="H405" s="129">
        <v>24</v>
      </c>
      <c r="I405" s="39" t="s">
        <v>1244</v>
      </c>
      <c r="J405" s="39" t="s">
        <v>1243</v>
      </c>
      <c r="K405" s="39" t="s">
        <v>1289</v>
      </c>
      <c r="L405" s="39"/>
      <c r="M405" s="122" t="s">
        <v>1353</v>
      </c>
      <c r="N405" s="41" t="s">
        <v>1261</v>
      </c>
      <c r="O405" s="1" t="s">
        <v>1262</v>
      </c>
      <c r="P405" s="106" t="s">
        <v>1248</v>
      </c>
      <c r="Q405" s="39" t="s">
        <v>227</v>
      </c>
      <c r="R405" s="130">
        <v>1</v>
      </c>
      <c r="S405" s="117"/>
    </row>
    <row r="406" spans="1:19" ht="15" x14ac:dyDescent="0.25">
      <c r="A406" s="122" t="s">
        <v>1812</v>
      </c>
      <c r="B406" s="124" t="s">
        <v>1813</v>
      </c>
      <c r="C406" s="125" t="s">
        <v>29</v>
      </c>
      <c r="D406" s="125" t="s">
        <v>227</v>
      </c>
      <c r="E406" s="44" t="s">
        <v>1240</v>
      </c>
      <c r="F406" s="44" t="s">
        <v>1256</v>
      </c>
      <c r="G406" s="111">
        <v>7</v>
      </c>
      <c r="H406" s="126">
        <v>24</v>
      </c>
      <c r="I406" s="108" t="s">
        <v>1243</v>
      </c>
      <c r="J406" s="39">
        <v>0</v>
      </c>
      <c r="K406" s="39">
        <v>0</v>
      </c>
      <c r="L406" s="39">
        <v>0</v>
      </c>
      <c r="M406" s="122" t="s">
        <v>1814</v>
      </c>
      <c r="N406" s="41" t="s">
        <v>1261</v>
      </c>
      <c r="O406" s="1" t="s">
        <v>1262</v>
      </c>
      <c r="P406" s="106" t="s">
        <v>1248</v>
      </c>
      <c r="Q406" s="39" t="s">
        <v>227</v>
      </c>
      <c r="R406" s="130">
        <v>0.8</v>
      </c>
      <c r="S406" s="117"/>
    </row>
    <row r="407" spans="1:19" ht="15" x14ac:dyDescent="0.25">
      <c r="A407" s="122" t="s">
        <v>1815</v>
      </c>
      <c r="B407" s="124" t="s">
        <v>1816</v>
      </c>
      <c r="C407" s="125" t="s">
        <v>37</v>
      </c>
      <c r="D407" s="125" t="s">
        <v>227</v>
      </c>
      <c r="E407" s="44" t="s">
        <v>1240</v>
      </c>
      <c r="F407" s="44" t="s">
        <v>1256</v>
      </c>
      <c r="G407" s="111">
        <v>7</v>
      </c>
      <c r="H407" s="110">
        <v>4</v>
      </c>
      <c r="I407" s="108" t="s">
        <v>1243</v>
      </c>
      <c r="J407" s="39">
        <v>0</v>
      </c>
      <c r="K407" s="39">
        <v>0</v>
      </c>
      <c r="L407" s="39">
        <v>0</v>
      </c>
      <c r="M407" s="39" t="s">
        <v>1817</v>
      </c>
      <c r="N407" s="109" t="s">
        <v>1253</v>
      </c>
      <c r="O407" s="1" t="s">
        <v>1254</v>
      </c>
      <c r="P407" s="106" t="s">
        <v>1248</v>
      </c>
      <c r="Q407" s="39" t="s">
        <v>227</v>
      </c>
      <c r="R407" s="130">
        <v>0.625</v>
      </c>
      <c r="S407" s="117"/>
    </row>
    <row r="408" spans="1:19" ht="15" x14ac:dyDescent="0.25">
      <c r="A408" s="122" t="s">
        <v>1818</v>
      </c>
      <c r="B408" s="124" t="s">
        <v>1819</v>
      </c>
      <c r="C408" s="125" t="s">
        <v>37</v>
      </c>
      <c r="D408" s="125" t="s">
        <v>227</v>
      </c>
      <c r="E408" s="44" t="s">
        <v>1240</v>
      </c>
      <c r="F408" s="44" t="s">
        <v>1283</v>
      </c>
      <c r="G408" s="104">
        <v>5.5</v>
      </c>
      <c r="H408" s="44">
        <v>2</v>
      </c>
      <c r="I408" s="39" t="s">
        <v>1313</v>
      </c>
      <c r="J408" s="39" t="s">
        <v>1315</v>
      </c>
      <c r="K408" s="39">
        <v>0</v>
      </c>
      <c r="L408" s="39">
        <v>0</v>
      </c>
      <c r="M408" s="39" t="s">
        <v>1642</v>
      </c>
      <c r="N408" s="109" t="s">
        <v>1253</v>
      </c>
      <c r="O408" s="1" t="s">
        <v>1254</v>
      </c>
      <c r="P408" s="106" t="s">
        <v>1287</v>
      </c>
      <c r="Q408" s="39" t="s">
        <v>227</v>
      </c>
      <c r="R408" s="102">
        <v>0.8</v>
      </c>
      <c r="S408" s="117"/>
    </row>
    <row r="409" spans="1:19" ht="15" x14ac:dyDescent="0.25">
      <c r="A409" s="13" t="s">
        <v>888</v>
      </c>
      <c r="B409" s="124" t="s">
        <v>889</v>
      </c>
      <c r="C409" s="125" t="s">
        <v>37</v>
      </c>
      <c r="D409" s="125" t="s">
        <v>227</v>
      </c>
      <c r="E409" s="44" t="s">
        <v>1252</v>
      </c>
      <c r="F409" s="44"/>
      <c r="G409" s="44"/>
      <c r="H409" s="44"/>
      <c r="I409" s="39"/>
      <c r="J409" s="39"/>
      <c r="K409" s="39"/>
      <c r="L409" s="39"/>
      <c r="M409" s="39" t="s">
        <v>1867</v>
      </c>
      <c r="N409" s="107" t="s">
        <v>1253</v>
      </c>
      <c r="O409" s="1" t="s">
        <v>1254</v>
      </c>
      <c r="P409" s="39" t="s">
        <v>1255</v>
      </c>
      <c r="Q409" s="39" t="s">
        <v>1308</v>
      </c>
      <c r="R409" s="102" t="s">
        <v>1250</v>
      </c>
      <c r="S409" s="117"/>
    </row>
    <row r="410" spans="1:19" ht="15" x14ac:dyDescent="0.25">
      <c r="A410" s="131" t="s">
        <v>1820</v>
      </c>
      <c r="B410" s="132"/>
      <c r="C410" s="131"/>
      <c r="D410" s="131"/>
      <c r="E410" s="115"/>
      <c r="F410" s="115"/>
      <c r="G410" s="115"/>
      <c r="H410" s="133"/>
      <c r="I410" s="1"/>
      <c r="J410" s="1"/>
      <c r="K410" s="1"/>
      <c r="L410" s="1"/>
      <c r="M410" s="1"/>
      <c r="N410" s="1"/>
      <c r="O410" s="1"/>
      <c r="P410" s="1"/>
      <c r="Q410" s="1"/>
      <c r="R410" s="130">
        <v>0.9</v>
      </c>
      <c r="S410" s="32"/>
    </row>
    <row r="411" spans="1:19" ht="15" x14ac:dyDescent="0.25">
      <c r="A411" s="42" t="s">
        <v>1821</v>
      </c>
      <c r="B411" s="40" t="s">
        <v>852</v>
      </c>
      <c r="C411" s="39" t="s">
        <v>29</v>
      </c>
      <c r="D411" s="39" t="s">
        <v>227</v>
      </c>
      <c r="E411" s="44" t="s">
        <v>1252</v>
      </c>
      <c r="F411" s="112" t="s">
        <v>1277</v>
      </c>
      <c r="G411" s="44"/>
      <c r="H411" s="44"/>
      <c r="I411" s="39"/>
      <c r="J411" s="39"/>
      <c r="K411" s="39"/>
      <c r="L411" s="39"/>
      <c r="M411" s="39" t="s">
        <v>1822</v>
      </c>
      <c r="N411" s="107" t="s">
        <v>1253</v>
      </c>
      <c r="O411" s="1" t="s">
        <v>1254</v>
      </c>
      <c r="P411" s="106" t="s">
        <v>1823</v>
      </c>
      <c r="Q411" s="39"/>
      <c r="R411" s="113">
        <v>10</v>
      </c>
      <c r="S411" s="32"/>
    </row>
    <row r="412" spans="1:19" ht="15" x14ac:dyDescent="0.25">
      <c r="A412" s="42" t="s">
        <v>918</v>
      </c>
      <c r="B412" s="40" t="s">
        <v>1824</v>
      </c>
      <c r="C412" s="39" t="s">
        <v>29</v>
      </c>
      <c r="D412" s="39" t="s">
        <v>227</v>
      </c>
      <c r="E412" s="44" t="s">
        <v>1252</v>
      </c>
      <c r="F412" s="112" t="s">
        <v>1283</v>
      </c>
      <c r="G412" s="44"/>
      <c r="H412" s="44">
        <v>0</v>
      </c>
      <c r="I412" s="39">
        <v>0</v>
      </c>
      <c r="J412" s="39">
        <v>0</v>
      </c>
      <c r="K412" s="39">
        <v>0</v>
      </c>
      <c r="L412" s="39">
        <v>0</v>
      </c>
      <c r="M412" s="39" t="s">
        <v>918</v>
      </c>
      <c r="N412" s="107" t="s">
        <v>1253</v>
      </c>
      <c r="O412" s="1" t="s">
        <v>1254</v>
      </c>
      <c r="P412" s="106" t="s">
        <v>1825</v>
      </c>
      <c r="Q412" s="39"/>
      <c r="R412" s="113">
        <v>2</v>
      </c>
      <c r="S412" s="32"/>
    </row>
    <row r="413" spans="1:19" ht="15" x14ac:dyDescent="0.25">
      <c r="A413" s="1"/>
      <c r="B413" s="1"/>
      <c r="C413" s="1"/>
      <c r="D413" s="1"/>
      <c r="E413" s="115"/>
      <c r="F413" s="115"/>
      <c r="G413" s="115"/>
      <c r="H413" s="133"/>
      <c r="I413" s="1"/>
      <c r="J413" s="1"/>
      <c r="K413" s="1"/>
      <c r="L413" s="1"/>
      <c r="M413" s="1"/>
      <c r="N413" s="1"/>
      <c r="O413" s="1"/>
      <c r="P413" s="1"/>
      <c r="Q413" s="1"/>
      <c r="R413" s="32"/>
      <c r="S413" s="32"/>
    </row>
    <row r="414" spans="1:19" ht="15" x14ac:dyDescent="0.25">
      <c r="A414" s="31" t="s">
        <v>1826</v>
      </c>
      <c r="B414" s="1" t="s">
        <v>38</v>
      </c>
      <c r="C414" s="1" t="s">
        <v>39</v>
      </c>
      <c r="D414" s="41" t="s">
        <v>227</v>
      </c>
      <c r="E414" s="44" t="s">
        <v>1252</v>
      </c>
      <c r="F414" s="44"/>
      <c r="G414" s="44"/>
      <c r="H414" s="44"/>
      <c r="I414" s="39"/>
      <c r="J414" s="39"/>
      <c r="K414" s="39"/>
      <c r="L414" s="39"/>
      <c r="M414" s="39" t="s">
        <v>1827</v>
      </c>
      <c r="N414" s="107" t="s">
        <v>1253</v>
      </c>
      <c r="O414" s="1" t="s">
        <v>1254</v>
      </c>
      <c r="P414" s="106" t="s">
        <v>1255</v>
      </c>
      <c r="Q414" s="39"/>
      <c r="R414" s="134">
        <v>0.4</v>
      </c>
      <c r="S414" s="32"/>
    </row>
    <row r="415" spans="1:19" ht="15" x14ac:dyDescent="0.25">
      <c r="A415" s="30" t="s">
        <v>1828</v>
      </c>
      <c r="B415" s="31" t="s">
        <v>1829</v>
      </c>
      <c r="C415" s="39" t="s">
        <v>29</v>
      </c>
      <c r="D415" s="39" t="s">
        <v>227</v>
      </c>
      <c r="E415" s="44" t="s">
        <v>1240</v>
      </c>
      <c r="F415" s="44" t="s">
        <v>1256</v>
      </c>
      <c r="G415" s="104">
        <v>7</v>
      </c>
      <c r="H415" s="44">
        <v>4</v>
      </c>
      <c r="I415" s="39" t="s">
        <v>1257</v>
      </c>
      <c r="J415" s="39" t="s">
        <v>1290</v>
      </c>
      <c r="K415" s="39" t="s">
        <v>1289</v>
      </c>
      <c r="L415" s="39"/>
      <c r="M415" s="39" t="s">
        <v>1679</v>
      </c>
      <c r="N415" s="109" t="s">
        <v>1253</v>
      </c>
      <c r="O415" s="1" t="s">
        <v>1254</v>
      </c>
      <c r="P415" s="106" t="s">
        <v>1248</v>
      </c>
      <c r="Q415" s="39" t="s">
        <v>227</v>
      </c>
      <c r="R415" s="102">
        <v>1.25</v>
      </c>
      <c r="S415" s="32"/>
    </row>
    <row r="416" spans="1:19" ht="15" x14ac:dyDescent="0.25">
      <c r="A416" s="39" t="s">
        <v>1830</v>
      </c>
      <c r="B416" s="40" t="s">
        <v>1831</v>
      </c>
      <c r="C416" s="39" t="s">
        <v>29</v>
      </c>
      <c r="D416" s="39" t="s">
        <v>271</v>
      </c>
      <c r="E416" s="44" t="s">
        <v>1240</v>
      </c>
      <c r="F416" s="44" t="s">
        <v>1283</v>
      </c>
      <c r="G416" s="111">
        <v>6</v>
      </c>
      <c r="H416" s="44">
        <v>6</v>
      </c>
      <c r="I416" s="39" t="s">
        <v>1313</v>
      </c>
      <c r="J416" s="39">
        <v>0</v>
      </c>
      <c r="K416" s="39">
        <v>0</v>
      </c>
      <c r="L416" s="39">
        <v>0</v>
      </c>
      <c r="M416" s="39" t="s">
        <v>1716</v>
      </c>
      <c r="N416" s="105" t="s">
        <v>1246</v>
      </c>
      <c r="O416" s="1" t="s">
        <v>1247</v>
      </c>
      <c r="P416" s="106" t="s">
        <v>1287</v>
      </c>
      <c r="Q416" s="39" t="s">
        <v>227</v>
      </c>
      <c r="R416" s="102">
        <v>1</v>
      </c>
      <c r="S416" s="32"/>
    </row>
    <row r="417" spans="1:19" ht="15" x14ac:dyDescent="0.25">
      <c r="A417" s="30" t="s">
        <v>1832</v>
      </c>
      <c r="B417" s="31" t="s">
        <v>1833</v>
      </c>
      <c r="C417" s="30" t="s">
        <v>29</v>
      </c>
      <c r="D417" s="30" t="s">
        <v>227</v>
      </c>
      <c r="E417" s="115"/>
      <c r="F417" s="115"/>
      <c r="G417" s="115"/>
      <c r="H417" s="133">
        <v>12</v>
      </c>
      <c r="I417" s="108" t="s">
        <v>1834</v>
      </c>
      <c r="J417" s="39" t="s">
        <v>1835</v>
      </c>
      <c r="K417" s="1"/>
      <c r="L417" s="1"/>
      <c r="M417" s="30" t="s">
        <v>1836</v>
      </c>
      <c r="N417" s="105" t="s">
        <v>1246</v>
      </c>
      <c r="O417" s="1" t="s">
        <v>1247</v>
      </c>
      <c r="P417" s="30" t="s">
        <v>1248</v>
      </c>
      <c r="Q417" s="39" t="s">
        <v>227</v>
      </c>
      <c r="R417" s="32">
        <v>0.2</v>
      </c>
      <c r="S417" s="32" t="s">
        <v>1837</v>
      </c>
    </row>
    <row r="418" spans="1:19" ht="15" x14ac:dyDescent="0.25">
      <c r="A418" s="30" t="s">
        <v>1838</v>
      </c>
      <c r="B418" s="31" t="s">
        <v>1839</v>
      </c>
      <c r="C418" s="39" t="s">
        <v>29</v>
      </c>
      <c r="D418" s="1"/>
      <c r="E418" s="115"/>
      <c r="F418" s="115"/>
      <c r="G418" s="115"/>
      <c r="H418" s="133"/>
      <c r="I418" s="1"/>
      <c r="J418" s="1"/>
      <c r="K418" s="1"/>
      <c r="L418" s="1"/>
      <c r="M418" s="1"/>
      <c r="N418" s="1"/>
      <c r="O418" s="1"/>
      <c r="P418" s="1"/>
      <c r="Q418" s="1"/>
      <c r="R418" s="134">
        <v>1</v>
      </c>
      <c r="S418" s="32"/>
    </row>
    <row r="419" spans="1:19" ht="15" x14ac:dyDescent="0.25">
      <c r="A419" s="30" t="s">
        <v>1840</v>
      </c>
      <c r="B419" s="31" t="s">
        <v>1841</v>
      </c>
      <c r="C419" s="1" t="s">
        <v>29</v>
      </c>
      <c r="D419" s="1"/>
      <c r="E419" s="115"/>
      <c r="F419" s="115"/>
      <c r="G419" s="115"/>
      <c r="H419" s="133"/>
      <c r="I419" s="1"/>
      <c r="J419" s="1"/>
      <c r="K419" s="1"/>
      <c r="L419" s="1"/>
      <c r="M419" s="1"/>
      <c r="N419" s="1"/>
      <c r="O419" s="1"/>
      <c r="P419" s="1"/>
      <c r="Q419" s="1"/>
      <c r="R419" s="134">
        <v>0.8</v>
      </c>
      <c r="S419" s="32"/>
    </row>
    <row r="420" spans="1:19" ht="15" x14ac:dyDescent="0.25">
      <c r="A420" s="1" t="s">
        <v>1842</v>
      </c>
      <c r="B420" s="31" t="s">
        <v>1843</v>
      </c>
      <c r="C420" s="39" t="s">
        <v>29</v>
      </c>
      <c r="D420" s="1"/>
      <c r="E420" s="115"/>
      <c r="F420" s="115"/>
      <c r="G420" s="115"/>
      <c r="H420" s="133"/>
      <c r="I420" s="1" t="s">
        <v>1257</v>
      </c>
      <c r="J420" s="1" t="s">
        <v>1243</v>
      </c>
      <c r="K420" s="1"/>
      <c r="L420" s="1"/>
      <c r="M420" s="39" t="s">
        <v>1260</v>
      </c>
      <c r="N420" s="41" t="s">
        <v>1261</v>
      </c>
      <c r="O420" s="1" t="s">
        <v>1262</v>
      </c>
      <c r="P420" s="106" t="s">
        <v>1248</v>
      </c>
      <c r="Q420" s="39" t="s">
        <v>227</v>
      </c>
      <c r="R420" s="134">
        <v>0.8</v>
      </c>
      <c r="S420" s="32"/>
    </row>
    <row r="421" spans="1:19" ht="15" x14ac:dyDescent="0.25">
      <c r="A421" s="31" t="s">
        <v>1844</v>
      </c>
      <c r="B421" s="1" t="s">
        <v>42</v>
      </c>
      <c r="C421" s="1" t="s">
        <v>39</v>
      </c>
      <c r="D421" s="41" t="s">
        <v>227</v>
      </c>
      <c r="E421" s="44" t="s">
        <v>1252</v>
      </c>
      <c r="F421" s="44"/>
      <c r="G421" s="44"/>
      <c r="H421" s="44"/>
      <c r="I421" s="39"/>
      <c r="J421" s="39"/>
      <c r="K421" s="39"/>
      <c r="L421" s="39"/>
      <c r="M421" s="39"/>
      <c r="N421" s="107" t="s">
        <v>1253</v>
      </c>
      <c r="O421" s="1" t="s">
        <v>1254</v>
      </c>
      <c r="P421" s="106" t="s">
        <v>1255</v>
      </c>
      <c r="Q421" s="39"/>
      <c r="R421" s="102" t="s">
        <v>1250</v>
      </c>
      <c r="S421" s="32"/>
    </row>
    <row r="422" spans="1:19" ht="15" x14ac:dyDescent="0.25">
      <c r="A422" s="1"/>
      <c r="B422" s="31"/>
      <c r="C422" s="1"/>
      <c r="D422" s="1"/>
      <c r="E422" s="115"/>
      <c r="F422" s="115"/>
      <c r="G422" s="115"/>
      <c r="H422" s="133"/>
      <c r="I422" s="1"/>
      <c r="J422" s="1"/>
      <c r="K422" s="1"/>
      <c r="L422" s="1"/>
      <c r="M422" s="1"/>
      <c r="N422" s="1"/>
      <c r="O422" s="1"/>
      <c r="P422" s="1"/>
      <c r="Q422" s="1"/>
      <c r="R422" s="32"/>
      <c r="S422" s="32"/>
    </row>
    <row r="423" spans="1:19" ht="15" x14ac:dyDescent="0.25">
      <c r="A423" s="1" t="s">
        <v>1845</v>
      </c>
      <c r="B423" s="31" t="s">
        <v>232</v>
      </c>
      <c r="C423" s="1"/>
      <c r="D423" s="1" t="s">
        <v>227</v>
      </c>
      <c r="E423" s="115"/>
      <c r="F423" s="115"/>
      <c r="G423" s="115"/>
      <c r="H423" s="133"/>
      <c r="I423" s="1"/>
      <c r="J423" s="1"/>
      <c r="K423" s="1"/>
      <c r="L423" s="1"/>
      <c r="M423" s="1"/>
      <c r="N423" s="1"/>
      <c r="O423" s="1"/>
      <c r="P423" s="1"/>
      <c r="Q423" s="1"/>
      <c r="R423" s="102">
        <v>1</v>
      </c>
      <c r="S423" s="32"/>
    </row>
    <row r="424" spans="1:19" ht="15" x14ac:dyDescent="0.25">
      <c r="A424" s="1" t="s">
        <v>1846</v>
      </c>
      <c r="B424" s="31" t="s">
        <v>201</v>
      </c>
      <c r="C424" s="39" t="s">
        <v>29</v>
      </c>
      <c r="D424" s="1" t="s">
        <v>227</v>
      </c>
      <c r="E424" s="44" t="s">
        <v>1240</v>
      </c>
      <c r="F424" s="44" t="s">
        <v>1277</v>
      </c>
      <c r="G424" s="44"/>
      <c r="H424" s="44"/>
      <c r="I424" s="39"/>
      <c r="J424" s="39"/>
      <c r="K424" s="39"/>
      <c r="L424" s="39"/>
      <c r="M424" s="39" t="s">
        <v>1762</v>
      </c>
      <c r="N424" s="107" t="s">
        <v>1253</v>
      </c>
      <c r="O424" s="1" t="s">
        <v>1254</v>
      </c>
      <c r="P424" s="106" t="s">
        <v>1278</v>
      </c>
      <c r="Q424" s="39"/>
      <c r="R424" s="102">
        <v>0.4</v>
      </c>
      <c r="S424" s="32"/>
    </row>
    <row r="425" spans="1:19" ht="15" x14ac:dyDescent="0.25">
      <c r="A425" s="1" t="s">
        <v>1847</v>
      </c>
      <c r="B425" s="31" t="s">
        <v>1848</v>
      </c>
      <c r="C425" s="1"/>
      <c r="D425" s="1" t="s">
        <v>227</v>
      </c>
      <c r="E425" s="115"/>
      <c r="F425" s="115"/>
      <c r="G425" s="115"/>
      <c r="H425" s="133"/>
      <c r="I425" s="1"/>
      <c r="J425" s="1"/>
      <c r="K425" s="1"/>
      <c r="L425" s="1"/>
      <c r="M425" s="1" t="s">
        <v>1849</v>
      </c>
      <c r="N425" s="1"/>
      <c r="O425" s="1"/>
      <c r="P425" s="1"/>
      <c r="Q425" s="1"/>
      <c r="R425" s="102">
        <v>0.6</v>
      </c>
      <c r="S425" s="32"/>
    </row>
    <row r="426" spans="1:19" ht="15" x14ac:dyDescent="0.25">
      <c r="A426" s="1" t="s">
        <v>1850</v>
      </c>
      <c r="B426" s="31" t="s">
        <v>1851</v>
      </c>
      <c r="C426" s="30" t="s">
        <v>29</v>
      </c>
      <c r="D426" s="1" t="s">
        <v>227</v>
      </c>
      <c r="E426" s="115"/>
      <c r="F426" s="115"/>
      <c r="G426" s="115"/>
      <c r="H426" s="133"/>
      <c r="I426" s="1"/>
      <c r="J426" s="1"/>
      <c r="K426" s="1"/>
      <c r="L426" s="1"/>
      <c r="M426" s="1" t="s">
        <v>1852</v>
      </c>
      <c r="N426" s="1"/>
      <c r="O426" s="1"/>
      <c r="P426" s="1"/>
      <c r="Q426" s="1"/>
      <c r="R426" s="102">
        <v>1</v>
      </c>
      <c r="S426" s="32"/>
    </row>
    <row r="427" spans="1:19" ht="15" x14ac:dyDescent="0.25">
      <c r="A427" s="30" t="s">
        <v>1853</v>
      </c>
      <c r="B427" s="31" t="s">
        <v>1854</v>
      </c>
      <c r="C427" s="30" t="s">
        <v>29</v>
      </c>
      <c r="D427" s="1" t="s">
        <v>227</v>
      </c>
      <c r="E427" s="115"/>
      <c r="F427" s="115"/>
      <c r="G427" s="115"/>
      <c r="H427" s="133"/>
      <c r="I427" s="1"/>
      <c r="J427" s="1"/>
      <c r="K427" s="1"/>
      <c r="L427" s="1"/>
      <c r="M427" s="1" t="s">
        <v>1855</v>
      </c>
      <c r="N427" s="1"/>
      <c r="O427" s="1"/>
      <c r="P427" s="1"/>
      <c r="Q427" s="1"/>
      <c r="R427" s="102">
        <v>0.8</v>
      </c>
      <c r="S427" s="32"/>
    </row>
    <row r="428" spans="1:19" ht="15" x14ac:dyDescent="0.25">
      <c r="A428" s="39" t="s">
        <v>1856</v>
      </c>
      <c r="B428" s="40"/>
      <c r="C428" s="39" t="s">
        <v>37</v>
      </c>
      <c r="D428" s="39" t="s">
        <v>271</v>
      </c>
      <c r="E428" s="44" t="s">
        <v>1240</v>
      </c>
      <c r="F428" s="44" t="s">
        <v>1283</v>
      </c>
      <c r="G428" s="44">
        <v>5.5</v>
      </c>
      <c r="H428" s="44">
        <v>6</v>
      </c>
      <c r="I428" s="39" t="s">
        <v>1285</v>
      </c>
      <c r="J428" s="39">
        <v>0</v>
      </c>
      <c r="K428" s="39">
        <v>0</v>
      </c>
      <c r="L428" s="39">
        <v>0</v>
      </c>
      <c r="M428" s="1"/>
      <c r="N428" s="1"/>
      <c r="O428" s="1"/>
      <c r="P428" s="106" t="s">
        <v>1287</v>
      </c>
      <c r="Q428" s="39" t="s">
        <v>227</v>
      </c>
      <c r="R428" s="102">
        <v>2</v>
      </c>
      <c r="S428" s="32"/>
    </row>
    <row r="429" spans="1:19" ht="15" x14ac:dyDescent="0.25">
      <c r="A429" s="1" t="s">
        <v>1857</v>
      </c>
      <c r="B429" s="31" t="s">
        <v>1858</v>
      </c>
      <c r="C429" s="1" t="s">
        <v>37</v>
      </c>
      <c r="D429" s="1" t="s">
        <v>227</v>
      </c>
      <c r="E429" s="115"/>
      <c r="F429" s="115"/>
      <c r="G429" s="115"/>
      <c r="H429" s="133"/>
      <c r="I429" s="1"/>
      <c r="J429" s="1"/>
      <c r="K429" s="1"/>
      <c r="L429" s="1"/>
      <c r="M429" s="1"/>
      <c r="N429" s="1"/>
      <c r="O429" s="1"/>
      <c r="P429" s="1"/>
      <c r="Q429" s="1"/>
      <c r="R429" s="32"/>
      <c r="S429" s="32"/>
    </row>
    <row r="430" spans="1:19" ht="15" x14ac:dyDescent="0.25">
      <c r="A430" s="1"/>
      <c r="B430" s="31"/>
      <c r="C430" s="1"/>
      <c r="D430" s="1"/>
      <c r="E430" s="115"/>
      <c r="F430" s="115"/>
      <c r="G430" s="115"/>
      <c r="H430" s="133"/>
      <c r="I430" s="1"/>
      <c r="J430" s="1"/>
      <c r="K430" s="1"/>
      <c r="L430" s="1"/>
      <c r="M430" s="1"/>
      <c r="N430" s="1"/>
      <c r="O430" s="1"/>
      <c r="P430" s="1"/>
      <c r="Q430" s="1"/>
      <c r="R430" s="32"/>
      <c r="S430" s="32"/>
    </row>
    <row r="431" spans="1:19" ht="15" x14ac:dyDescent="0.25">
      <c r="A431" s="1" t="s">
        <v>1859</v>
      </c>
      <c r="B431" s="31"/>
      <c r="C431" s="30" t="s">
        <v>29</v>
      </c>
      <c r="D431" s="1" t="s">
        <v>227</v>
      </c>
      <c r="E431" s="115"/>
      <c r="F431" s="115"/>
      <c r="G431" s="115">
        <v>7</v>
      </c>
      <c r="H431" s="133"/>
      <c r="I431" s="1"/>
      <c r="J431" s="1"/>
      <c r="K431" s="1"/>
      <c r="L431" s="1"/>
      <c r="M431" s="1" t="s">
        <v>1860</v>
      </c>
      <c r="N431" s="1"/>
      <c r="O431" s="1"/>
      <c r="P431" s="1"/>
      <c r="Q431" s="1"/>
      <c r="R431" s="32"/>
      <c r="S431" s="32"/>
    </row>
    <row r="432" spans="1:19" ht="15" x14ac:dyDescent="0.25">
      <c r="A432" s="1" t="s">
        <v>1859</v>
      </c>
      <c r="B432" s="31"/>
      <c r="C432" s="30" t="s">
        <v>29</v>
      </c>
      <c r="D432" s="1" t="s">
        <v>227</v>
      </c>
      <c r="E432" s="115"/>
      <c r="F432" s="115"/>
      <c r="G432" s="115">
        <v>7</v>
      </c>
      <c r="H432" s="133"/>
      <c r="I432" s="1"/>
      <c r="J432" s="1"/>
      <c r="K432" s="1"/>
      <c r="L432" s="1"/>
      <c r="M432" s="1" t="s">
        <v>1861</v>
      </c>
      <c r="N432" s="1"/>
      <c r="O432" s="1"/>
      <c r="P432" s="1"/>
      <c r="Q432" s="1"/>
      <c r="R432" s="32"/>
      <c r="S432" s="32"/>
    </row>
    <row r="433" spans="1:20" ht="15" x14ac:dyDescent="0.25">
      <c r="A433" s="1"/>
      <c r="B433" s="31"/>
      <c r="C433" s="1"/>
      <c r="D433" s="1"/>
      <c r="E433" s="115"/>
      <c r="F433" s="115"/>
      <c r="G433" s="115"/>
      <c r="H433" s="133"/>
      <c r="I433" s="1"/>
      <c r="J433" s="1"/>
      <c r="K433" s="1"/>
      <c r="L433" s="1"/>
      <c r="M433" s="1"/>
      <c r="N433" s="1"/>
      <c r="O433" s="1"/>
      <c r="P433" s="1"/>
      <c r="Q433" s="1"/>
      <c r="R433" s="32"/>
      <c r="S433" s="32"/>
    </row>
    <row r="434" spans="1:20" ht="15" x14ac:dyDescent="0.25">
      <c r="A434" s="1" t="s">
        <v>917</v>
      </c>
      <c r="B434" s="1" t="s">
        <v>1221</v>
      </c>
      <c r="C434" s="46" t="s">
        <v>37</v>
      </c>
      <c r="D434" s="1"/>
      <c r="E434" s="115"/>
      <c r="F434" s="115"/>
      <c r="G434" s="115"/>
      <c r="H434" s="133"/>
      <c r="I434" s="1"/>
      <c r="J434" s="1"/>
      <c r="K434" s="1"/>
      <c r="L434" s="1"/>
      <c r="M434" s="30" t="s">
        <v>1865</v>
      </c>
      <c r="N434" s="1"/>
      <c r="O434" s="1"/>
      <c r="P434" s="1"/>
      <c r="Q434" s="1"/>
      <c r="R434" s="32"/>
      <c r="S434" s="32"/>
    </row>
    <row r="435" spans="1:20" ht="15" x14ac:dyDescent="0.25">
      <c r="A435" s="39" t="s">
        <v>914</v>
      </c>
      <c r="B435" s="40" t="s">
        <v>243</v>
      </c>
      <c r="C435" s="39" t="s">
        <v>37</v>
      </c>
      <c r="D435" s="1"/>
      <c r="E435" s="115"/>
      <c r="F435" s="115"/>
      <c r="G435" s="115"/>
      <c r="H435" s="133"/>
      <c r="I435" s="1"/>
      <c r="J435" s="1"/>
      <c r="K435" s="1"/>
      <c r="L435" s="1"/>
      <c r="M435" s="1"/>
      <c r="N435" s="1"/>
      <c r="O435" s="1"/>
      <c r="P435" s="1"/>
      <c r="Q435" s="1"/>
      <c r="R435" s="32"/>
      <c r="S435" s="32"/>
    </row>
    <row r="436" spans="1:20" ht="15" x14ac:dyDescent="0.25">
      <c r="A436" s="1"/>
      <c r="B436" s="31"/>
      <c r="C436" s="1"/>
      <c r="D436" s="1"/>
      <c r="E436" s="115"/>
      <c r="F436" s="115"/>
      <c r="G436" s="115"/>
      <c r="H436" s="133"/>
      <c r="I436" s="1"/>
      <c r="J436" s="1"/>
      <c r="K436" s="1"/>
      <c r="L436" s="1"/>
      <c r="M436" s="1"/>
      <c r="N436" s="1"/>
      <c r="O436" s="1"/>
      <c r="P436" s="1"/>
      <c r="Q436" s="1"/>
      <c r="R436" s="32"/>
      <c r="S436" s="32"/>
    </row>
    <row r="437" spans="1:20" ht="15" x14ac:dyDescent="0.25">
      <c r="A437" s="1"/>
      <c r="B437" s="31"/>
      <c r="C437" s="1"/>
      <c r="D437" s="1"/>
      <c r="E437" s="115"/>
      <c r="F437" s="115"/>
      <c r="G437" s="115"/>
      <c r="H437" s="133"/>
      <c r="I437" s="1"/>
      <c r="J437" s="1"/>
      <c r="K437" s="1"/>
      <c r="L437" s="1"/>
      <c r="M437" s="1"/>
      <c r="N437" s="1"/>
      <c r="O437" s="1"/>
      <c r="P437" s="1"/>
      <c r="Q437" s="1"/>
      <c r="R437" s="32"/>
      <c r="S437" s="32"/>
    </row>
    <row r="438" spans="1:20" ht="15" x14ac:dyDescent="0.25">
      <c r="A438" s="1"/>
      <c r="B438" s="31"/>
      <c r="C438" s="1"/>
      <c r="D438" s="1"/>
      <c r="E438" s="115"/>
      <c r="F438" s="115"/>
      <c r="G438" s="115"/>
      <c r="H438" s="133"/>
      <c r="I438" s="1"/>
      <c r="J438" s="1"/>
      <c r="K438" s="1"/>
      <c r="L438" s="1"/>
      <c r="M438" s="1"/>
      <c r="N438" s="1"/>
      <c r="O438" s="1"/>
      <c r="P438" s="1"/>
      <c r="Q438" s="1"/>
      <c r="R438" s="32"/>
      <c r="S438" s="32"/>
    </row>
    <row r="439" spans="1:20" ht="15" x14ac:dyDescent="0.25">
      <c r="A439" s="1"/>
      <c r="B439" s="31"/>
      <c r="C439" s="1"/>
      <c r="D439" s="1"/>
      <c r="E439" s="115"/>
      <c r="F439" s="115"/>
      <c r="G439" s="115"/>
      <c r="H439" s="133"/>
      <c r="I439" s="1"/>
      <c r="J439" s="1"/>
      <c r="K439" s="1"/>
      <c r="L439" s="1"/>
      <c r="M439" s="1"/>
      <c r="N439" s="1"/>
      <c r="O439" s="1"/>
      <c r="P439" s="1"/>
      <c r="Q439" s="1"/>
      <c r="R439" s="32"/>
      <c r="S439" s="32"/>
      <c r="T439" s="32"/>
    </row>
    <row r="440" spans="1:20" ht="15" x14ac:dyDescent="0.25">
      <c r="A440" s="1"/>
      <c r="B440" s="31"/>
      <c r="C440" s="1"/>
      <c r="D440" s="1"/>
      <c r="E440" s="115"/>
      <c r="F440" s="115"/>
      <c r="G440" s="115"/>
      <c r="H440" s="133"/>
      <c r="I440" s="1"/>
      <c r="J440" s="1"/>
      <c r="K440" s="1"/>
      <c r="L440" s="1"/>
      <c r="M440" s="1"/>
      <c r="N440" s="1"/>
      <c r="O440" s="1"/>
      <c r="P440" s="1"/>
      <c r="Q440" s="1"/>
      <c r="R440" s="32"/>
      <c r="S440" s="32"/>
    </row>
    <row r="441" spans="1:20" ht="15" x14ac:dyDescent="0.25">
      <c r="A441" s="1"/>
      <c r="B441" s="31"/>
      <c r="C441" s="1"/>
      <c r="D441" s="1"/>
      <c r="E441" s="115"/>
      <c r="F441" s="115"/>
      <c r="G441" s="115"/>
      <c r="H441" s="133"/>
      <c r="I441" s="1"/>
      <c r="J441" s="1"/>
      <c r="K441" s="1"/>
      <c r="L441" s="1"/>
      <c r="M441" s="1"/>
      <c r="N441" s="1"/>
      <c r="O441" s="1"/>
      <c r="P441" s="1"/>
      <c r="Q441" s="1"/>
      <c r="R441" s="32"/>
      <c r="S441" s="32"/>
    </row>
    <row r="442" spans="1:20" ht="15" x14ac:dyDescent="0.25">
      <c r="A442" s="1"/>
      <c r="B442" s="31"/>
      <c r="C442" s="1"/>
      <c r="D442" s="1"/>
      <c r="E442" s="115"/>
      <c r="F442" s="115"/>
      <c r="G442" s="115"/>
      <c r="H442" s="133"/>
      <c r="I442" s="1"/>
      <c r="J442" s="1"/>
      <c r="K442" s="1"/>
      <c r="L442" s="1"/>
      <c r="M442" s="1"/>
      <c r="N442" s="1"/>
      <c r="O442" s="1"/>
      <c r="P442" s="1"/>
      <c r="Q442" s="1"/>
      <c r="R442" s="32"/>
      <c r="S442" s="32"/>
    </row>
    <row r="443" spans="1:20" ht="15" x14ac:dyDescent="0.25">
      <c r="A443" s="1"/>
      <c r="B443" s="31"/>
      <c r="C443" s="1"/>
      <c r="D443" s="1"/>
      <c r="E443" s="115"/>
      <c r="F443" s="115"/>
      <c r="G443" s="115"/>
      <c r="H443" s="133"/>
      <c r="I443" s="1"/>
      <c r="J443" s="1"/>
      <c r="K443" s="1"/>
      <c r="L443" s="1"/>
      <c r="M443" s="1"/>
      <c r="N443" s="1"/>
      <c r="O443" s="1"/>
      <c r="P443" s="1"/>
      <c r="Q443" s="1"/>
      <c r="R443" s="32"/>
      <c r="S443" s="32"/>
    </row>
    <row r="444" spans="1:20" ht="15" x14ac:dyDescent="0.25">
      <c r="A444" s="1"/>
      <c r="B444" s="31"/>
      <c r="C444" s="1"/>
      <c r="D444" s="1"/>
      <c r="E444" s="115"/>
      <c r="F444" s="115"/>
      <c r="G444" s="115"/>
      <c r="H444" s="133"/>
      <c r="I444" s="1"/>
      <c r="J444" s="1"/>
      <c r="K444" s="1"/>
      <c r="L444" s="1"/>
      <c r="M444" s="1"/>
      <c r="N444" s="1"/>
      <c r="O444" s="1"/>
      <c r="P444" s="1"/>
      <c r="Q444" s="1"/>
      <c r="R444" s="32"/>
      <c r="S444" s="32"/>
    </row>
    <row r="445" spans="1:20" ht="15" x14ac:dyDescent="0.25">
      <c r="A445" s="1"/>
      <c r="B445" s="31"/>
      <c r="C445" s="1"/>
      <c r="D445" s="1"/>
      <c r="E445" s="115"/>
      <c r="F445" s="115"/>
      <c r="G445" s="115"/>
      <c r="H445" s="133"/>
      <c r="I445" s="1"/>
      <c r="J445" s="1"/>
      <c r="K445" s="1"/>
      <c r="L445" s="1"/>
      <c r="M445" s="1"/>
      <c r="N445" s="1"/>
      <c r="O445" s="1"/>
      <c r="P445" s="1"/>
      <c r="Q445" s="1"/>
      <c r="R445" s="32"/>
      <c r="S445" s="32"/>
    </row>
    <row r="446" spans="1:20" ht="15" x14ac:dyDescent="0.25">
      <c r="A446" s="1"/>
      <c r="B446" s="31"/>
      <c r="C446" s="1"/>
      <c r="D446" s="1"/>
      <c r="E446" s="115"/>
      <c r="F446" s="115"/>
      <c r="G446" s="115"/>
      <c r="H446" s="133"/>
      <c r="I446" s="1"/>
      <c r="J446" s="1"/>
      <c r="K446" s="1"/>
      <c r="L446" s="1"/>
      <c r="M446" s="1"/>
      <c r="N446" s="1"/>
      <c r="O446" s="1"/>
      <c r="P446" s="1"/>
      <c r="Q446" s="1"/>
      <c r="R446" s="32"/>
      <c r="S446" s="32"/>
    </row>
    <row r="447" spans="1:20" ht="15" x14ac:dyDescent="0.25">
      <c r="A447" s="1"/>
      <c r="B447" s="31"/>
      <c r="C447" s="1"/>
      <c r="D447" s="1"/>
      <c r="E447" s="115"/>
      <c r="F447" s="115"/>
      <c r="G447" s="115"/>
      <c r="H447" s="133"/>
      <c r="I447" s="1"/>
      <c r="J447" s="1"/>
      <c r="K447" s="1"/>
      <c r="L447" s="1"/>
      <c r="M447" s="1"/>
      <c r="N447" s="1"/>
      <c r="O447" s="1"/>
      <c r="P447" s="1"/>
      <c r="Q447" s="1"/>
      <c r="R447" s="32"/>
      <c r="S447" s="32"/>
    </row>
    <row r="448" spans="1:20" ht="15" x14ac:dyDescent="0.25">
      <c r="A448" s="1"/>
      <c r="B448" s="31"/>
      <c r="C448" s="1"/>
      <c r="D448" s="1"/>
      <c r="E448" s="115"/>
      <c r="F448" s="115"/>
      <c r="G448" s="115"/>
      <c r="H448" s="133"/>
      <c r="I448" s="1"/>
      <c r="J448" s="1"/>
      <c r="K448" s="1"/>
      <c r="L448" s="1"/>
      <c r="M448" s="1"/>
      <c r="N448" s="1"/>
      <c r="O448" s="1"/>
      <c r="P448" s="1"/>
      <c r="Q448" s="1"/>
      <c r="R448" s="32"/>
      <c r="S448" s="32"/>
    </row>
    <row r="449" spans="1:19" ht="15" x14ac:dyDescent="0.25">
      <c r="A449" s="1"/>
      <c r="B449" s="31"/>
      <c r="C449" s="1"/>
      <c r="D449" s="1"/>
      <c r="E449" s="115"/>
      <c r="F449" s="115"/>
      <c r="G449" s="115"/>
      <c r="H449" s="133"/>
      <c r="I449" s="1"/>
      <c r="J449" s="1"/>
      <c r="K449" s="1"/>
      <c r="L449" s="1"/>
      <c r="M449" s="1"/>
      <c r="N449" s="1"/>
      <c r="O449" s="1"/>
      <c r="P449" s="1"/>
      <c r="Q449" s="1"/>
      <c r="R449" s="32"/>
      <c r="S449" s="32"/>
    </row>
    <row r="450" spans="1:19" ht="15" x14ac:dyDescent="0.25">
      <c r="A450" s="1"/>
      <c r="B450" s="31"/>
      <c r="C450" s="1"/>
      <c r="D450" s="1"/>
      <c r="E450" s="115"/>
      <c r="F450" s="115"/>
      <c r="G450" s="115"/>
      <c r="H450" s="133"/>
      <c r="I450" s="1"/>
      <c r="J450" s="1"/>
      <c r="K450" s="1"/>
      <c r="L450" s="1"/>
      <c r="M450" s="1"/>
      <c r="N450" s="1"/>
      <c r="O450" s="1"/>
      <c r="P450" s="1"/>
      <c r="Q450" s="1"/>
      <c r="R450" s="32"/>
      <c r="S450" s="32"/>
    </row>
    <row r="451" spans="1:19" x14ac:dyDescent="0.2">
      <c r="A451" s="7" t="s">
        <v>223</v>
      </c>
      <c r="B451" s="7" t="s">
        <v>223</v>
      </c>
      <c r="C451" s="7" t="s">
        <v>223</v>
      </c>
      <c r="D451" s="7" t="s">
        <v>223</v>
      </c>
      <c r="E451" s="7" t="s">
        <v>223</v>
      </c>
      <c r="F451" s="7" t="s">
        <v>223</v>
      </c>
      <c r="G451" s="7" t="s">
        <v>223</v>
      </c>
      <c r="H451" s="7" t="s">
        <v>223</v>
      </c>
      <c r="I451" s="7" t="s">
        <v>223</v>
      </c>
      <c r="J451" s="7" t="s">
        <v>223</v>
      </c>
      <c r="K451" s="7" t="s">
        <v>223</v>
      </c>
      <c r="L451" s="7" t="s">
        <v>223</v>
      </c>
      <c r="M451" s="7" t="s">
        <v>223</v>
      </c>
      <c r="N451" s="7" t="s">
        <v>223</v>
      </c>
      <c r="O451" s="7" t="s">
        <v>223</v>
      </c>
      <c r="P451" s="7" t="s">
        <v>223</v>
      </c>
      <c r="Q451" s="7" t="s">
        <v>223</v>
      </c>
    </row>
  </sheetData>
  <autoFilter ref="A2:S451" xr:uid="{EBB59CDF-825B-4627-ABA5-1A0DDBD544DC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K454"/>
  <sheetViews>
    <sheetView workbookViewId="0">
      <pane xSplit="8" ySplit="2" topLeftCell="I132" activePane="bottomRight" state="frozen"/>
      <selection pane="topRight" activeCell="I1" sqref="I1"/>
      <selection pane="bottomLeft" activeCell="A3" sqref="A3"/>
      <selection pane="bottomRight" activeCell="C150" sqref="C150"/>
    </sheetView>
  </sheetViews>
  <sheetFormatPr baseColWidth="10" defaultRowHeight="12.75" x14ac:dyDescent="0.2"/>
  <cols>
    <col min="1" max="1" width="10" style="32" customWidth="1"/>
    <col min="2" max="3" width="10" customWidth="1"/>
    <col min="4" max="4" width="10" style="246" customWidth="1"/>
    <col min="5" max="5" width="10" style="247" customWidth="1"/>
    <col min="6" max="6" width="4.28515625" style="248" customWidth="1"/>
    <col min="7" max="8" width="6.140625" customWidth="1"/>
    <col min="9" max="9" width="6" bestFit="1" customWidth="1"/>
  </cols>
  <sheetData>
    <row r="1" spans="1:11" x14ac:dyDescent="0.2">
      <c r="A1"/>
      <c r="D1"/>
      <c r="E1"/>
      <c r="F1"/>
    </row>
    <row r="2" spans="1:11" ht="33.75" x14ac:dyDescent="0.2">
      <c r="A2" s="240" t="s">
        <v>1888</v>
      </c>
      <c r="B2" s="241" t="s">
        <v>15</v>
      </c>
      <c r="C2" s="241" t="s">
        <v>16</v>
      </c>
      <c r="D2" s="241" t="s">
        <v>14</v>
      </c>
      <c r="E2" s="242" t="s">
        <v>282</v>
      </c>
      <c r="F2" s="241" t="s">
        <v>283</v>
      </c>
      <c r="G2" s="241" t="s">
        <v>284</v>
      </c>
      <c r="H2" s="241" t="s">
        <v>285</v>
      </c>
      <c r="I2" s="252" t="s">
        <v>1895</v>
      </c>
      <c r="J2" s="252" t="s">
        <v>1111</v>
      </c>
      <c r="K2" s="261" t="s">
        <v>1893</v>
      </c>
    </row>
    <row r="3" spans="1:11" x14ac:dyDescent="0.2">
      <c r="A3" s="186">
        <v>1</v>
      </c>
      <c r="B3" s="304">
        <f>IFERROR(VLOOKUP(A3,[3]Hoja1!$B$3:$I$1048576,5,FALSE),"")</f>
        <v>36.025666666666666</v>
      </c>
      <c r="C3" s="305">
        <f>IFERROR(VLOOKUP(A3,[3]Hoja1!$B$3:$K$124,9,FALSE),"")</f>
        <v>1650</v>
      </c>
      <c r="D3" s="305">
        <f>IFERROR(VLOOKUP(A3,[3]Hoja1!$B$3:$I$1048576,8,FALSE),"")</f>
        <v>59442.350000000035</v>
      </c>
      <c r="E3" s="305">
        <f>IFERROR(VLOOKUP(A3,[3]Hoja1!$B$3:$K$124,10,FALSE),"")</f>
        <v>1716.9637999999993</v>
      </c>
      <c r="F3" s="243" t="s">
        <v>286</v>
      </c>
      <c r="G3" s="304">
        <f>IFERROR(VLOOKUP(A3,[3]Hoja1!$B$3:$K$124,3,FALSE),"")</f>
        <v>1.1000000000000008</v>
      </c>
      <c r="H3" s="304">
        <f>IFERROR(VLOOKUP(A3,[3]Hoja1!$B$3:$K$124,2,FALSE),"")</f>
        <v>0.48864864864864888</v>
      </c>
      <c r="I3" s="252" t="s">
        <v>1872</v>
      </c>
      <c r="J3" s="252" t="s">
        <v>1872</v>
      </c>
      <c r="K3" s="260">
        <f t="shared" ref="K3:K16" si="0">+B3*G3</f>
        <v>39.628233333333363</v>
      </c>
    </row>
    <row r="4" spans="1:11" x14ac:dyDescent="0.2">
      <c r="A4" s="186">
        <v>2</v>
      </c>
      <c r="B4" s="304">
        <f>IFERROR(VLOOKUP(A4,[3]Hoja1!$B$3:$I$1048576,5,FALSE),"")</f>
        <v>42.369333333333365</v>
      </c>
      <c r="C4" s="305">
        <f>IFERROR(VLOOKUP(A4,[3]Hoja1!$B$3:$K$124,9,FALSE),"")</f>
        <v>1384</v>
      </c>
      <c r="D4" s="305">
        <f>IFERROR(VLOOKUP(A4,[3]Hoja1!$B$3:$I$1048576,8,FALSE),"")</f>
        <v>58639.157333333293</v>
      </c>
      <c r="E4" s="305">
        <f>IFERROR(VLOOKUP(A4,[3]Hoja1!$B$3:$K$124,10,FALSE),"")</f>
        <v>1792.8139999999987</v>
      </c>
      <c r="F4" s="243" t="s">
        <v>286</v>
      </c>
      <c r="G4" s="304">
        <f>IFERROR(VLOOKUP(A4,[3]Hoja1!$B$3:$K$124,3,FALSE),"")</f>
        <v>0.89999999999999925</v>
      </c>
      <c r="H4" s="304">
        <f>IFERROR(VLOOKUP(A4,[3]Hoja1!$B$3:$K$124,2,FALSE),"")</f>
        <v>0.51046511627906932</v>
      </c>
      <c r="I4" s="252" t="s">
        <v>1872</v>
      </c>
      <c r="J4" s="252" t="s">
        <v>1872</v>
      </c>
      <c r="K4" s="260">
        <f t="shared" si="0"/>
        <v>38.132399999999997</v>
      </c>
    </row>
    <row r="5" spans="1:11" x14ac:dyDescent="0.2">
      <c r="A5" s="186">
        <v>3</v>
      </c>
      <c r="B5" s="304">
        <f>IFERROR(VLOOKUP(A5,[3]Hoja1!$B$3:$I$1048576,5,FALSE),"")</f>
        <v>40.696999999999996</v>
      </c>
      <c r="C5" s="305">
        <f>IFERROR(VLOOKUP(A5,[3]Hoja1!$B$3:$K$124,9,FALSE),"")</f>
        <v>1384</v>
      </c>
      <c r="D5" s="305">
        <f>IFERROR(VLOOKUP(A5,[3]Hoja1!$B$3:$I$1048576,8,FALSE),"")</f>
        <v>56324.64800000003</v>
      </c>
      <c r="E5" s="305">
        <f>IFERROR(VLOOKUP(A5,[3]Hoja1!$B$3:$K$124,10,FALSE),"")</f>
        <v>1696.2131023255808</v>
      </c>
      <c r="F5" s="243" t="s">
        <v>286</v>
      </c>
      <c r="G5" s="304">
        <f>IFERROR(VLOOKUP(A5,[3]Hoja1!$B$3:$K$124,3,FALSE),"")</f>
        <v>0.89999999999999925</v>
      </c>
      <c r="H5" s="304">
        <f>IFERROR(VLOOKUP(A5,[3]Hoja1!$B$3:$K$124,2,FALSE),"")</f>
        <v>0.48930232558139514</v>
      </c>
      <c r="I5" s="252" t="s">
        <v>1872</v>
      </c>
      <c r="J5" s="252" t="s">
        <v>1872</v>
      </c>
      <c r="K5" s="260">
        <f t="shared" si="0"/>
        <v>36.627299999999963</v>
      </c>
    </row>
    <row r="6" spans="1:11" x14ac:dyDescent="0.2">
      <c r="A6" s="186">
        <v>4</v>
      </c>
      <c r="B6" s="304">
        <f>IFERROR(VLOOKUP(A6,[3]Hoja1!$B$3:$I$1048576,5,FALSE),"")</f>
        <v>32.97999999999999</v>
      </c>
      <c r="C6" s="305">
        <f>IFERROR(VLOOKUP(A6,[3]Hoja1!$B$3:$K$124,9,FALSE),"")</f>
        <v>1500</v>
      </c>
      <c r="D6" s="305">
        <f>IFERROR(VLOOKUP(A6,[3]Hoja1!$B$3:$I$1048576,8,FALSE),"")</f>
        <v>49470.000000000007</v>
      </c>
      <c r="E6" s="305">
        <f>IFERROR(VLOOKUP(A6,[3]Hoja1!$B$3:$K$124,10,FALSE),"")</f>
        <v>1382.8320000000008</v>
      </c>
      <c r="F6" s="243" t="s">
        <v>286</v>
      </c>
      <c r="G6" s="304">
        <f>IFERROR(VLOOKUP(A6,[3]Hoja1!$B$3:$K$124,3,FALSE),"")</f>
        <v>0.94999999999999951</v>
      </c>
      <c r="H6" s="304">
        <f>IFERROR(VLOOKUP(A6,[3]Hoja1!$B$3:$K$124,2,FALSE),"")</f>
        <v>0.44764705882352918</v>
      </c>
      <c r="I6" s="252" t="s">
        <v>287</v>
      </c>
      <c r="J6" s="252" t="s">
        <v>287</v>
      </c>
      <c r="K6" s="260">
        <f t="shared" si="0"/>
        <v>31.330999999999975</v>
      </c>
    </row>
    <row r="7" spans="1:11" x14ac:dyDescent="0.2">
      <c r="A7" s="186">
        <v>5</v>
      </c>
      <c r="B7" s="304">
        <f>IFERROR(VLOOKUP(A7,[3]Hoja1!$B$3:$I$1048576,5,FALSE),"")</f>
        <v>35.038999999999987</v>
      </c>
      <c r="C7" s="305">
        <f>IFERROR(VLOOKUP(A7,[3]Hoja1!$B$3:$K$124,9,FALSE),"")</f>
        <v>1500</v>
      </c>
      <c r="D7" s="305">
        <f>IFERROR(VLOOKUP(A7,[3]Hoja1!$B$3:$I$1048576,8,FALSE),"")</f>
        <v>51800.518000000004</v>
      </c>
      <c r="E7" s="305">
        <f>IFERROR(VLOOKUP(A7,[3]Hoja1!$B$3:$K$124,10,FALSE),"")</f>
        <v>1464.5354999999993</v>
      </c>
      <c r="F7" s="243" t="s">
        <v>286</v>
      </c>
      <c r="G7" s="304">
        <f>IFERROR(VLOOKUP(A7,[3]Hoja1!$B$3:$K$124,3,FALSE),"")</f>
        <v>0.94999999999999973</v>
      </c>
      <c r="H7" s="304">
        <f>IFERROR(VLOOKUP(A7,[3]Hoja1!$B$3:$K$124,2,FALSE),"")</f>
        <v>0.44324324324324321</v>
      </c>
      <c r="I7" s="252" t="s">
        <v>1872</v>
      </c>
      <c r="J7" s="252" t="s">
        <v>1872</v>
      </c>
      <c r="K7" s="260">
        <f t="shared" si="0"/>
        <v>33.287049999999979</v>
      </c>
    </row>
    <row r="8" spans="1:11" x14ac:dyDescent="0.2">
      <c r="A8" s="186">
        <v>6</v>
      </c>
      <c r="B8" s="304">
        <f>IFERROR(VLOOKUP(A8,[3]Hoja1!$B$3:$I$1048576,5,FALSE),"")</f>
        <v>34.688666666666656</v>
      </c>
      <c r="C8" s="305">
        <f>IFERROR(VLOOKUP(A8,[3]Hoja1!$B$3:$K$124,9,FALSE),"")</f>
        <v>1500</v>
      </c>
      <c r="D8" s="305">
        <f>IFERROR(VLOOKUP(A8,[3]Hoja1!$B$3:$I$1048576,8,FALSE),"")</f>
        <v>52033</v>
      </c>
      <c r="E8" s="305">
        <f>IFERROR(VLOOKUP(A8,[3]Hoja1!$B$3:$K$124,10,FALSE),"")</f>
        <v>1439.8687388888884</v>
      </c>
      <c r="F8" s="243" t="s">
        <v>286</v>
      </c>
      <c r="G8" s="304">
        <f>IFERROR(VLOOKUP(A8,[3]Hoja1!$B$3:$K$124,3,FALSE),"")</f>
        <v>0.94999999999999973</v>
      </c>
      <c r="H8" s="304">
        <f>IFERROR(VLOOKUP(A8,[3]Hoja1!$B$3:$K$124,2,FALSE),"")</f>
        <v>0.43361111111111095</v>
      </c>
      <c r="I8" s="252" t="s">
        <v>1872</v>
      </c>
      <c r="J8" s="252" t="s">
        <v>1872</v>
      </c>
      <c r="K8" s="260">
        <f t="shared" si="0"/>
        <v>32.954233333333313</v>
      </c>
    </row>
    <row r="9" spans="1:11" x14ac:dyDescent="0.2">
      <c r="A9" s="186">
        <v>7</v>
      </c>
      <c r="B9" s="304">
        <f>IFERROR(VLOOKUP(A9,[3]Hoja1!$B$3:$I$1048576,5,FALSE),"")</f>
        <v>40.432000000000002</v>
      </c>
      <c r="C9" s="305">
        <f>IFERROR(VLOOKUP(A9,[3]Hoja1!$B$3:$K$124,9,FALSE),"")</f>
        <v>1500</v>
      </c>
      <c r="D9" s="305">
        <f>IFERROR(VLOOKUP(A9,[3]Hoja1!$B$3:$I$1048576,8,FALSE),"")</f>
        <v>60648</v>
      </c>
      <c r="E9" s="305">
        <f>IFERROR(VLOOKUP(A9,[3]Hoja1!$B$3:$K$124,10,FALSE),"")</f>
        <v>1778.1415999999995</v>
      </c>
      <c r="F9" s="243" t="s">
        <v>286</v>
      </c>
      <c r="G9" s="304">
        <f>IFERROR(VLOOKUP(A9,[3]Hoja1!$B$3:$K$124,3,FALSE),"")</f>
        <v>0.95000000000000018</v>
      </c>
      <c r="H9" s="304">
        <f>IFERROR(VLOOKUP(A9,[3]Hoja1!$B$3:$K$124,2,FALSE),"")</f>
        <v>0.51595238095238105</v>
      </c>
      <c r="I9" s="252" t="s">
        <v>287</v>
      </c>
      <c r="J9" s="252" t="s">
        <v>287</v>
      </c>
      <c r="K9" s="260">
        <f t="shared" si="0"/>
        <v>38.41040000000001</v>
      </c>
    </row>
    <row r="10" spans="1:11" x14ac:dyDescent="0.2">
      <c r="A10" s="186">
        <v>8</v>
      </c>
      <c r="B10" s="304">
        <f>IFERROR(VLOOKUP(A10,[3]Hoja1!$B$3:$I$1048576,5,FALSE),"")</f>
        <v>43.061333333333344</v>
      </c>
      <c r="C10" s="305">
        <f>IFERROR(VLOOKUP(A10,[3]Hoja1!$B$3:$K$124,9,FALSE),"")</f>
        <v>1500</v>
      </c>
      <c r="D10" s="305">
        <f>IFERROR(VLOOKUP(A10,[3]Hoja1!$B$3:$I$1048576,8,FALSE),"")</f>
        <v>64592</v>
      </c>
      <c r="E10" s="305">
        <f>IFERROR(VLOOKUP(A10,[3]Hoja1!$B$3:$K$124,10,FALSE),"")</f>
        <v>1808.5760000000012</v>
      </c>
      <c r="F10" s="243" t="s">
        <v>286</v>
      </c>
      <c r="G10" s="304">
        <f>IFERROR(VLOOKUP(A10,[3]Hoja1!$B$3:$K$124,3,FALSE),"")</f>
        <v>0.95000000000000029</v>
      </c>
      <c r="H10" s="304">
        <f>IFERROR(VLOOKUP(A10,[3]Hoja1!$B$3:$K$124,2,FALSE),"")</f>
        <v>0.44999999999999962</v>
      </c>
      <c r="I10" s="252" t="s">
        <v>1872</v>
      </c>
      <c r="J10" s="252" t="s">
        <v>1872</v>
      </c>
      <c r="K10" s="260">
        <f t="shared" si="0"/>
        <v>40.908266666666691</v>
      </c>
    </row>
    <row r="11" spans="1:11" x14ac:dyDescent="0.2">
      <c r="A11" s="186">
        <v>9</v>
      </c>
      <c r="B11" s="304">
        <f>IFERROR(VLOOKUP(A11,[3]Hoja1!$B$3:$I$1048576,5,FALSE),"")</f>
        <v>41.599666666666671</v>
      </c>
      <c r="C11" s="305">
        <f>IFERROR(VLOOKUP(A11,[3]Hoja1!$B$3:$K$124,9,FALSE),"")</f>
        <v>1500</v>
      </c>
      <c r="D11" s="305">
        <f>IFERROR(VLOOKUP(A11,[3]Hoja1!$B$3:$I$1048576,8,FALSE),"")</f>
        <v>61354.54</v>
      </c>
      <c r="E11" s="305">
        <f>IFERROR(VLOOKUP(A11,[3]Hoja1!$B$3:$K$124,10,FALSE),"")</f>
        <v>1754.560486363637</v>
      </c>
      <c r="F11" s="243" t="s">
        <v>286</v>
      </c>
      <c r="G11" s="304">
        <f>IFERROR(VLOOKUP(A11,[3]Hoja1!$B$3:$K$124,3,FALSE),"")</f>
        <v>0.95000000000000018</v>
      </c>
      <c r="H11" s="304">
        <f>IFERROR(VLOOKUP(A11,[3]Hoja1!$B$3:$K$124,2,FALSE),"")</f>
        <v>0.45590909090909149</v>
      </c>
      <c r="I11" s="252" t="s">
        <v>287</v>
      </c>
      <c r="J11" s="252" t="s">
        <v>287</v>
      </c>
      <c r="K11" s="260">
        <f t="shared" si="0"/>
        <v>39.519683333333347</v>
      </c>
    </row>
    <row r="12" spans="1:11" x14ac:dyDescent="0.2">
      <c r="A12" s="186">
        <v>10</v>
      </c>
      <c r="B12" s="304">
        <f>IFERROR(VLOOKUP(A12,[3]Hoja1!$B$3:$I$1048576,5,FALSE),"")</f>
        <v>36.336666666666666</v>
      </c>
      <c r="C12" s="305">
        <f>IFERROR(VLOOKUP(A12,[3]Hoja1!$B$3:$K$124,9,FALSE),"")</f>
        <v>1650</v>
      </c>
      <c r="D12" s="305">
        <f>IFERROR(VLOOKUP(A12,[3]Hoja1!$B$3:$I$1048576,8,FALSE),"")</f>
        <v>58181.507999999965</v>
      </c>
      <c r="E12" s="305">
        <f>IFERROR(VLOOKUP(A12,[3]Hoja1!$B$3:$K$124,10,FALSE),"")</f>
        <v>1730.6771842105275</v>
      </c>
      <c r="F12" s="243" t="s">
        <v>286</v>
      </c>
      <c r="G12" s="304">
        <f>IFERROR(VLOOKUP(A12,[3]Hoja1!$B$3:$K$124,3,FALSE),"")</f>
        <v>1.1000000000000008</v>
      </c>
      <c r="H12" s="304">
        <f>IFERROR(VLOOKUP(A12,[3]Hoja1!$B$3:$K$124,2,FALSE),"")</f>
        <v>0.48763157894736853</v>
      </c>
      <c r="I12" s="252" t="s">
        <v>1872</v>
      </c>
      <c r="J12" s="252" t="s">
        <v>1872</v>
      </c>
      <c r="K12" s="260">
        <f t="shared" si="0"/>
        <v>39.970333333333357</v>
      </c>
    </row>
    <row r="13" spans="1:11" x14ac:dyDescent="0.2">
      <c r="A13" s="186">
        <v>11</v>
      </c>
      <c r="B13" s="304">
        <f>IFERROR(VLOOKUP(A13,[3]Hoja1!$B$3:$I$1048576,5,FALSE),"")</f>
        <v>40.58333333333335</v>
      </c>
      <c r="C13" s="305">
        <f>IFERROR(VLOOKUP(A13,[3]Hoja1!$B$3:$K$124,9,FALSE),"")</f>
        <v>1500</v>
      </c>
      <c r="D13" s="305">
        <f>IFERROR(VLOOKUP(A13,[3]Hoja1!$B$3:$I$1048576,8,FALSE),"")</f>
        <v>60875</v>
      </c>
      <c r="E13" s="305">
        <f>IFERROR(VLOOKUP(A13,[3]Hoja1!$B$3:$K$124,10,FALSE),"")</f>
        <v>1697.8327380952387</v>
      </c>
      <c r="F13" s="243" t="s">
        <v>286</v>
      </c>
      <c r="G13" s="304">
        <f>IFERROR(VLOOKUP(A13,[3]Hoja1!$B$3:$K$124,3,FALSE),"")</f>
        <v>0.95000000000000018</v>
      </c>
      <c r="H13" s="304">
        <f>IFERROR(VLOOKUP(A13,[3]Hoja1!$B$3:$K$124,2,FALSE),"")</f>
        <v>0.44452380952380965</v>
      </c>
      <c r="I13" s="252" t="s">
        <v>1872</v>
      </c>
      <c r="J13" s="252" t="s">
        <v>1872</v>
      </c>
      <c r="K13" s="260">
        <f t="shared" si="0"/>
        <v>38.554166666666688</v>
      </c>
    </row>
    <row r="14" spans="1:11" x14ac:dyDescent="0.2">
      <c r="A14" s="186">
        <v>12</v>
      </c>
      <c r="B14" s="304">
        <f>IFERROR(VLOOKUP(A14,[3]Hoja1!$B$3:$I$1048576,5,FALSE),"")</f>
        <v>43.496333333333347</v>
      </c>
      <c r="C14" s="305">
        <f>IFERROR(VLOOKUP(A14,[3]Hoja1!$B$3:$K$124,9,FALSE),"")</f>
        <v>1384</v>
      </c>
      <c r="D14" s="305">
        <f>IFERROR(VLOOKUP(A14,[3]Hoja1!$B$3:$I$1048576,8,FALSE),"")</f>
        <v>60198.925333333296</v>
      </c>
      <c r="E14" s="305">
        <f>IFERROR(VLOOKUP(A14,[3]Hoja1!$B$3:$K$124,10,FALSE),"")</f>
        <v>1736.0968318181833</v>
      </c>
      <c r="F14" s="243" t="s">
        <v>286</v>
      </c>
      <c r="G14" s="304">
        <f>IFERROR(VLOOKUP(A14,[3]Hoja1!$B$3:$K$124,3,FALSE),"")</f>
        <v>0.89999999999999925</v>
      </c>
      <c r="H14" s="304">
        <f>IFERROR(VLOOKUP(A14,[3]Hoja1!$B$3:$K$124,2,FALSE),"")</f>
        <v>0.43045454545454509</v>
      </c>
      <c r="I14" s="252" t="s">
        <v>1872</v>
      </c>
      <c r="J14" s="252" t="s">
        <v>1872</v>
      </c>
      <c r="K14" s="260">
        <f t="shared" si="0"/>
        <v>39.146699999999981</v>
      </c>
    </row>
    <row r="15" spans="1:11" x14ac:dyDescent="0.2">
      <c r="A15" s="186">
        <v>13</v>
      </c>
      <c r="B15" s="304">
        <f>IFERROR(VLOOKUP(A15,[3]Hoja1!$B$3:$I$1048576,5,FALSE),"")</f>
        <v>36.789333333333339</v>
      </c>
      <c r="C15" s="305">
        <f>IFERROR(VLOOKUP(A15,[3]Hoja1!$B$3:$K$124,9,FALSE),"")</f>
        <v>1384</v>
      </c>
      <c r="D15" s="305">
        <f>IFERROR(VLOOKUP(A15,[3]Hoja1!$B$3:$I$1048576,8,FALSE),"")</f>
        <v>50916.437333333335</v>
      </c>
      <c r="E15" s="305">
        <f>IFERROR(VLOOKUP(A15,[3]Hoja1!$B$3:$K$124,10,FALSE),"")</f>
        <v>1543.6371450980391</v>
      </c>
      <c r="F15" s="243" t="s">
        <v>286</v>
      </c>
      <c r="G15" s="304">
        <f>IFERROR(VLOOKUP(A15,[3]Hoja1!$B$3:$K$124,3,FALSE),"")</f>
        <v>0.89999999999999913</v>
      </c>
      <c r="H15" s="304">
        <f>IFERROR(VLOOKUP(A15,[3]Hoja1!$B$3:$K$124,2,FALSE),"")</f>
        <v>0.49862745098039252</v>
      </c>
      <c r="I15" s="252" t="s">
        <v>287</v>
      </c>
      <c r="J15" s="252" t="s">
        <v>287</v>
      </c>
      <c r="K15" s="260">
        <f t="shared" si="0"/>
        <v>33.11039999999997</v>
      </c>
    </row>
    <row r="16" spans="1:11" x14ac:dyDescent="0.2">
      <c r="A16" s="186">
        <v>14</v>
      </c>
      <c r="B16" s="304">
        <f>IFERROR(VLOOKUP(A16,[3]Hoja1!$B$3:$I$1048576,5,FALSE),"")</f>
        <v>41.683333333333302</v>
      </c>
      <c r="C16" s="305">
        <f>IFERROR(VLOOKUP(A16,[3]Hoja1!$B$3:$K$124,9,FALSE),"")</f>
        <v>1500</v>
      </c>
      <c r="D16" s="305">
        <f>IFERROR(VLOOKUP(A16,[3]Hoja1!$B$3:$I$1048576,8,FALSE),"")</f>
        <v>62525</v>
      </c>
      <c r="E16" s="305">
        <f>IFERROR(VLOOKUP(A16,[3]Hoja1!$B$3:$K$124,10,FALSE),"")</f>
        <v>1748.664302325582</v>
      </c>
      <c r="F16" s="243" t="s">
        <v>1889</v>
      </c>
      <c r="G16" s="304">
        <f>IFERROR(VLOOKUP(A16,[3]Hoja1!$B$3:$K$124,3,FALSE),"")</f>
        <v>0.95000000000000007</v>
      </c>
      <c r="H16" s="304">
        <f>IFERROR(VLOOKUP(A16,[3]Hoja1!$B$3:$K$124,2,FALSE),"")</f>
        <v>0.44837209302325587</v>
      </c>
      <c r="I16" s="252" t="s">
        <v>287</v>
      </c>
      <c r="J16" s="252" t="s">
        <v>287</v>
      </c>
      <c r="K16" s="260">
        <f t="shared" si="0"/>
        <v>39.59916666666664</v>
      </c>
    </row>
    <row r="17" spans="1:11" x14ac:dyDescent="0.2">
      <c r="A17" s="186">
        <v>15</v>
      </c>
      <c r="B17" s="304">
        <f>IFERROR(VLOOKUP(A17,[3]Hoja1!$B$3:$I$1048576,5,FALSE),"")</f>
        <v>35.951666666666661</v>
      </c>
      <c r="C17" s="305">
        <f>IFERROR(VLOOKUP(A17,[3]Hoja1!$B$3:$K$124,9,FALSE),"")</f>
        <v>1650</v>
      </c>
      <c r="D17" s="305">
        <f>IFERROR(VLOOKUP(A17,[3]Hoja1!$B$3:$I$1048576,8,FALSE),"")</f>
        <v>59229.250349999995</v>
      </c>
      <c r="E17" s="305">
        <f>IFERROR(VLOOKUP(A17,[3]Hoja1!$B$3:$K$124,10,FALSE),"")</f>
        <v>1746.3765000000008</v>
      </c>
      <c r="F17" s="243" t="s">
        <v>286</v>
      </c>
      <c r="G17" s="304">
        <f>IFERROR(VLOOKUP(A17,[3]Hoja1!$B$3:$K$124,3,FALSE),"")</f>
        <v>1.1000000000000008</v>
      </c>
      <c r="H17" s="304">
        <f>IFERROR(VLOOKUP(A17,[3]Hoja1!$B$3:$K$124,2,FALSE),"")</f>
        <v>0.5191891891891891</v>
      </c>
      <c r="I17" s="252" t="s">
        <v>287</v>
      </c>
      <c r="J17" s="252" t="s">
        <v>287</v>
      </c>
      <c r="K17" s="260">
        <f>+B17*G17</f>
        <v>39.546833333333353</v>
      </c>
    </row>
    <row r="18" spans="1:11" x14ac:dyDescent="0.2">
      <c r="A18" s="186">
        <v>16</v>
      </c>
      <c r="B18" s="304">
        <f>IFERROR(VLOOKUP(A18,[3]Hoja1!$B$3:$I$1048576,5,FALSE),"")</f>
        <v>37.043166666666679</v>
      </c>
      <c r="C18" s="305">
        <f>IFERROR(VLOOKUP(A18,[3]Hoja1!$B$3:$K$124,9,FALSE),"")</f>
        <v>1650</v>
      </c>
      <c r="D18" s="305">
        <f>IFERROR(VLOOKUP(A18,[3]Hoja1!$B$3:$I$1048576,8,FALSE),"")</f>
        <v>61121.225000000042</v>
      </c>
      <c r="E18" s="305">
        <f>IFERROR(VLOOKUP(A18,[3]Hoja1!$B$3:$K$124,10,FALSE),"")</f>
        <v>1802.0999999999992</v>
      </c>
      <c r="F18" s="243" t="s">
        <v>1889</v>
      </c>
      <c r="G18" s="304">
        <f>IFERROR(VLOOKUP(A18,[3]Hoja1!$B$3:$K$124,3,FALSE),"")</f>
        <v>1.1000000000000008</v>
      </c>
      <c r="H18" s="304">
        <f>IFERROR(VLOOKUP(A18,[3]Hoja1!$B$3:$K$124,2,FALSE),"")</f>
        <v>0.52162162162162173</v>
      </c>
      <c r="I18" s="252" t="s">
        <v>287</v>
      </c>
      <c r="J18" s="252" t="s">
        <v>287</v>
      </c>
      <c r="K18" s="260">
        <f t="shared" ref="K18:K82" si="1">+B18*G18</f>
        <v>40.747483333333378</v>
      </c>
    </row>
    <row r="19" spans="1:11" x14ac:dyDescent="0.2">
      <c r="A19" s="186">
        <v>17</v>
      </c>
      <c r="B19" s="304">
        <f>IFERROR(VLOOKUP(A19,[3]Hoja1!$B$3:$I$1048576,5,FALSE),"")</f>
        <v>42.699000000000005</v>
      </c>
      <c r="C19" s="305">
        <f>IFERROR(VLOOKUP(A19,[3]Hoja1!$B$3:$K$124,9,FALSE),"")</f>
        <v>1500</v>
      </c>
      <c r="D19" s="305">
        <f>IFERROR(VLOOKUP(A19,[3]Hoja1!$B$3:$I$1048576,8,FALSE),"")</f>
        <v>64048.5</v>
      </c>
      <c r="E19" s="305">
        <f>IFERROR(VLOOKUP(A19,[3]Hoja1!$B$3:$K$124,10,FALSE),"")</f>
        <v>1754.6309999999983</v>
      </c>
      <c r="F19" s="243" t="s">
        <v>286</v>
      </c>
      <c r="G19" s="304">
        <f>IFERROR(VLOOKUP(A19,[3]Hoja1!$B$3:$K$124,3,FALSE),"")</f>
        <v>0.95000000000000018</v>
      </c>
      <c r="H19" s="304">
        <f>IFERROR(VLOOKUP(A19,[3]Hoja1!$B$3:$K$124,2,FALSE),"")</f>
        <v>0.41976744186046494</v>
      </c>
      <c r="I19" s="252" t="s">
        <v>1872</v>
      </c>
      <c r="J19" s="252" t="s">
        <v>1872</v>
      </c>
      <c r="K19" s="260">
        <f t="shared" si="1"/>
        <v>40.564050000000016</v>
      </c>
    </row>
    <row r="20" spans="1:11" x14ac:dyDescent="0.2">
      <c r="A20" s="186">
        <v>18</v>
      </c>
      <c r="B20" s="304">
        <f>IFERROR(VLOOKUP(A20,[3]Hoja1!$B$3:$I$1048576,5,FALSE),"")</f>
        <v>43.501333333333342</v>
      </c>
      <c r="C20" s="305">
        <f>IFERROR(VLOOKUP(A20,[3]Hoja1!$B$3:$K$124,9,FALSE),"")</f>
        <v>1500</v>
      </c>
      <c r="D20" s="305">
        <f>IFERROR(VLOOKUP(A20,[3]Hoja1!$B$3:$I$1048576,8,FALSE),"")</f>
        <v>65252</v>
      </c>
      <c r="E20" s="305">
        <f>IFERROR(VLOOKUP(A20,[3]Hoja1!$B$3:$K$124,10,FALSE),"")</f>
        <v>1824.3866</v>
      </c>
      <c r="F20" s="243" t="s">
        <v>286</v>
      </c>
      <c r="G20" s="304">
        <f>IFERROR(VLOOKUP(A20,[3]Hoja1!$B$3:$K$124,3,FALSE),"")</f>
        <v>0.95000000000000029</v>
      </c>
      <c r="H20" s="304">
        <f>IFERROR(VLOOKUP(A20,[3]Hoja1!$B$3:$K$124,2,FALSE),"")</f>
        <v>0.44795454545454549</v>
      </c>
      <c r="I20" s="252" t="s">
        <v>1872</v>
      </c>
      <c r="J20" s="252" t="s">
        <v>1872</v>
      </c>
      <c r="K20" s="260">
        <f t="shared" si="1"/>
        <v>41.32626666666669</v>
      </c>
    </row>
    <row r="21" spans="1:11" x14ac:dyDescent="0.2">
      <c r="A21" s="186">
        <v>19</v>
      </c>
      <c r="B21" s="304">
        <f>IFERROR(VLOOKUP(A21,[3]Hoja1!$B$3:$I$1048576,5,FALSE),"")</f>
        <v>42.995333333333349</v>
      </c>
      <c r="C21" s="305">
        <f>IFERROR(VLOOKUP(A21,[3]Hoja1!$B$3:$K$124,9,FALSE),"")</f>
        <v>1500</v>
      </c>
      <c r="D21" s="305">
        <f>IFERROR(VLOOKUP(A21,[3]Hoja1!$B$3:$I$1048576,8,FALSE),"")</f>
        <v>64493</v>
      </c>
      <c r="E21" s="305">
        <f>IFERROR(VLOOKUP(A21,[3]Hoja1!$B$3:$K$124,10,FALSE),"")</f>
        <v>1801.9930499999996</v>
      </c>
      <c r="F21" s="243" t="s">
        <v>1889</v>
      </c>
      <c r="G21" s="304">
        <f>IFERROR(VLOOKUP(A21,[3]Hoja1!$B$3:$K$124,3,FALSE),"")</f>
        <v>0.95000000000000029</v>
      </c>
      <c r="H21" s="304">
        <f>IFERROR(VLOOKUP(A21,[3]Hoja1!$B$3:$K$124,2,FALSE),"")</f>
        <v>0.44704545454545436</v>
      </c>
      <c r="I21" s="252" t="s">
        <v>1872</v>
      </c>
      <c r="J21" s="252" t="s">
        <v>1872</v>
      </c>
      <c r="K21" s="260">
        <f t="shared" si="1"/>
        <v>40.845566666666691</v>
      </c>
    </row>
    <row r="22" spans="1:11" x14ac:dyDescent="0.2">
      <c r="A22" s="186">
        <v>20</v>
      </c>
      <c r="B22" s="304">
        <f>IFERROR(VLOOKUP(A22,[3]Hoja1!$B$3:$I$1048576,5,FALSE),"")</f>
        <v>43.486666666666622</v>
      </c>
      <c r="C22" s="305">
        <f>IFERROR(VLOOKUP(A22,[3]Hoja1!$B$3:$K$124,9,FALSE),"")</f>
        <v>1500</v>
      </c>
      <c r="D22" s="305">
        <f>IFERROR(VLOOKUP(A22,[3]Hoja1!$B$3:$I$1048576,8,FALSE),"")</f>
        <v>65230</v>
      </c>
      <c r="E22" s="305">
        <f>IFERROR(VLOOKUP(A22,[3]Hoja1!$B$3:$K$124,10,FALSE),"")</f>
        <v>1826.7365000000007</v>
      </c>
      <c r="F22" s="243" t="s">
        <v>1889</v>
      </c>
      <c r="G22" s="304">
        <f>IFERROR(VLOOKUP(A22,[3]Hoja1!$B$3:$K$124,3,FALSE),"")</f>
        <v>0.95000000000000029</v>
      </c>
      <c r="H22" s="304">
        <f>IFERROR(VLOOKUP(A22,[3]Hoja1!$B$3:$K$124,2,FALSE),"")</f>
        <v>0.4502272727272722</v>
      </c>
      <c r="I22" s="252" t="s">
        <v>1872</v>
      </c>
      <c r="J22" s="252" t="s">
        <v>1872</v>
      </c>
      <c r="K22" s="260">
        <f t="shared" si="1"/>
        <v>41.312333333333306</v>
      </c>
    </row>
    <row r="23" spans="1:11" x14ac:dyDescent="0.2">
      <c r="A23" s="186">
        <v>21</v>
      </c>
      <c r="B23" s="304">
        <f>IFERROR(VLOOKUP(A23,[3]Hoja1!$B$3:$I$1048576,5,FALSE),"")</f>
        <v>13.20082495140967</v>
      </c>
      <c r="C23" s="305">
        <f>IFERROR(VLOOKUP(A23,[3]Hoja1!$B$3:$K$124,9,FALSE),"")</f>
        <v>1650</v>
      </c>
      <c r="D23" s="305">
        <f>IFERROR(VLOOKUP(A23,[3]Hoja1!$B$3:$I$1048576,8,FALSE),"")</f>
        <v>21595.373169825947</v>
      </c>
      <c r="E23" s="305">
        <f>IFERROR(VLOOKUP(A23,[3]Hoja1!$B$3:$K$124,10,FALSE),"")</f>
        <v>633.63959766766391</v>
      </c>
      <c r="F23" s="243" t="s">
        <v>286</v>
      </c>
      <c r="G23" s="304">
        <f>IFERROR(VLOOKUP(A23,[3]Hoja1!$B$3:$K$124,3,FALSE),"")</f>
        <v>1.1000000000000005</v>
      </c>
      <c r="H23" s="304">
        <f>IFERROR(VLOOKUP(A23,[3]Hoja1!$B$3:$K$124,2,FALSE),"")</f>
        <v>0.5</v>
      </c>
      <c r="I23" s="252" t="s">
        <v>1872</v>
      </c>
      <c r="J23" s="252" t="s">
        <v>1872</v>
      </c>
      <c r="K23" s="260">
        <f t="shared" si="1"/>
        <v>14.520907446550645</v>
      </c>
    </row>
    <row r="24" spans="1:11" x14ac:dyDescent="0.2">
      <c r="A24" s="186">
        <v>22</v>
      </c>
      <c r="B24" s="304">
        <f>IFERROR(VLOOKUP(A24,[3]Hoja1!$B$3:$I$1048576,5,FALSE),"")</f>
        <v>35.52000000000001</v>
      </c>
      <c r="C24" s="305">
        <f>IFERROR(VLOOKUP(A24,[3]Hoja1!$B$3:$K$124,9,FALSE),"")</f>
        <v>1650</v>
      </c>
      <c r="D24" s="305">
        <f>IFERROR(VLOOKUP(A24,[3]Hoja1!$B$3:$I$1048576,8,FALSE),"")</f>
        <v>58608</v>
      </c>
      <c r="E24" s="305">
        <f>IFERROR(VLOOKUP(A24,[3]Hoja1!$B$3:$K$124,10,FALSE),"")</f>
        <v>1690.9055999999987</v>
      </c>
      <c r="F24" s="243" t="s">
        <v>286</v>
      </c>
      <c r="G24" s="304">
        <f>IFERROR(VLOOKUP(A24,[3]Hoja1!$B$3:$K$124,3,FALSE),"")</f>
        <v>1.1000000000000005</v>
      </c>
      <c r="H24" s="304">
        <f>IFERROR(VLOOKUP(A24,[3]Hoja1!$B$3:$K$124,2,FALSE),"")</f>
        <v>0.4868108108108109</v>
      </c>
      <c r="I24" s="252" t="s">
        <v>1872</v>
      </c>
      <c r="J24" s="252" t="s">
        <v>1872</v>
      </c>
      <c r="K24" s="260">
        <f t="shared" si="1"/>
        <v>39.072000000000031</v>
      </c>
    </row>
    <row r="25" spans="1:11" x14ac:dyDescent="0.2">
      <c r="A25" s="186">
        <v>23</v>
      </c>
      <c r="B25" s="304">
        <f>IFERROR(VLOOKUP(A25,[3]Hoja1!$B$3:$I$1048576,5,FALSE),"")</f>
        <v>41.026999999999958</v>
      </c>
      <c r="C25" s="305">
        <f>IFERROR(VLOOKUP(A25,[3]Hoja1!$B$3:$K$124,9,FALSE),"")</f>
        <v>1500</v>
      </c>
      <c r="D25" s="305">
        <f>IFERROR(VLOOKUP(A25,[3]Hoja1!$B$3:$I$1048576,8,FALSE),"")</f>
        <v>60300.66</v>
      </c>
      <c r="E25" s="305">
        <f>IFERROR(VLOOKUP(A25,[3]Hoja1!$B$3:$K$124,10,FALSE),"")</f>
        <v>1723.4270499999996</v>
      </c>
      <c r="F25" s="243" t="s">
        <v>286</v>
      </c>
      <c r="G25" s="304">
        <f>IFERROR(VLOOKUP(A25,[3]Hoja1!$B$3:$K$124,3,FALSE),"")</f>
        <v>0.95000000000000018</v>
      </c>
      <c r="H25" s="304">
        <f>IFERROR(VLOOKUP(A25,[3]Hoja1!$B$3:$K$124,2,FALSE),"")</f>
        <v>0.45023809523809533</v>
      </c>
      <c r="I25" s="252" t="s">
        <v>1872</v>
      </c>
      <c r="J25" s="252" t="s">
        <v>1872</v>
      </c>
      <c r="K25" s="260">
        <f t="shared" si="1"/>
        <v>38.975649999999966</v>
      </c>
    </row>
    <row r="26" spans="1:11" x14ac:dyDescent="0.2">
      <c r="A26" s="186">
        <v>24</v>
      </c>
      <c r="B26" s="304">
        <f>IFERROR(VLOOKUP(A26,[3]Hoja1!$B$3:$I$1048576,5,FALSE),"")</f>
        <v>43.207833333333312</v>
      </c>
      <c r="C26" s="305">
        <f>IFERROR(VLOOKUP(A26,[3]Hoja1!$B$3:$K$124,9,FALSE),"")</f>
        <v>1384</v>
      </c>
      <c r="D26" s="305">
        <f>IFERROR(VLOOKUP(A26,[3]Hoja1!$B$3:$I$1048576,8,FALSE),"")</f>
        <v>59799.641333333362</v>
      </c>
      <c r="E26" s="305">
        <f>IFERROR(VLOOKUP(A26,[3]Hoja1!$B$3:$K$124,10,FALSE),"")</f>
        <v>1819.8536500000007</v>
      </c>
      <c r="F26" s="243" t="s">
        <v>286</v>
      </c>
      <c r="G26" s="304">
        <f>IFERROR(VLOOKUP(A26,[3]Hoja1!$B$3:$K$124,3,FALSE),"")</f>
        <v>0.89999999999999925</v>
      </c>
      <c r="H26" s="304">
        <f>IFERROR(VLOOKUP(A26,[3]Hoja1!$B$3:$K$124,2,FALSE),"")</f>
        <v>0.50395348837209297</v>
      </c>
      <c r="I26" s="252" t="s">
        <v>1872</v>
      </c>
      <c r="J26" s="252" t="s">
        <v>1872</v>
      </c>
      <c r="K26" s="260">
        <f t="shared" si="1"/>
        <v>38.887049999999945</v>
      </c>
    </row>
    <row r="27" spans="1:11" x14ac:dyDescent="0.2">
      <c r="A27" s="186">
        <v>25</v>
      </c>
      <c r="B27" s="304">
        <f>IFERROR(VLOOKUP(A27,[3]Hoja1!$B$3:$I$1048576,5,FALSE),"")</f>
        <v>40.247666666666653</v>
      </c>
      <c r="C27" s="305">
        <f>IFERROR(VLOOKUP(A27,[3]Hoja1!$B$3:$K$124,9,FALSE),"")</f>
        <v>1500</v>
      </c>
      <c r="D27" s="305">
        <f>IFERROR(VLOOKUP(A27,[3]Hoja1!$B$3:$I$1048576,8,FALSE),"")</f>
        <v>59177.58</v>
      </c>
      <c r="E27" s="305">
        <f>IFERROR(VLOOKUP(A27,[3]Hoja1!$B$3:$K$124,10,FALSE),"")</f>
        <v>1683.3341170731701</v>
      </c>
      <c r="F27" s="243" t="s">
        <v>286</v>
      </c>
      <c r="G27" s="304">
        <f>IFERROR(VLOOKUP(A27,[3]Hoja1!$B$3:$K$124,3,FALSE),"")</f>
        <v>0.95000000000000007</v>
      </c>
      <c r="H27" s="304">
        <f>IFERROR(VLOOKUP(A27,[3]Hoja1!$B$3:$K$124,2,FALSE),"")</f>
        <v>0.44414634146341447</v>
      </c>
      <c r="I27" s="252" t="s">
        <v>1872</v>
      </c>
      <c r="J27" s="252" t="s">
        <v>1872</v>
      </c>
      <c r="K27" s="260">
        <f t="shared" si="1"/>
        <v>38.235283333333321</v>
      </c>
    </row>
    <row r="28" spans="1:11" x14ac:dyDescent="0.2">
      <c r="A28" s="186">
        <v>26</v>
      </c>
      <c r="B28" s="304">
        <f>IFERROR(VLOOKUP(A28,[3]Hoja1!$B$3:$I$1048576,5,FALSE),"")</f>
        <v>40.972666666666669</v>
      </c>
      <c r="C28" s="305">
        <f>IFERROR(VLOOKUP(A28,[3]Hoja1!$B$3:$K$124,9,FALSE),"")</f>
        <v>1500</v>
      </c>
      <c r="D28" s="305">
        <f>IFERROR(VLOOKUP(A28,[3]Hoja1!$B$3:$I$1048576,8,FALSE),"")</f>
        <v>61459</v>
      </c>
      <c r="E28" s="305">
        <f>IFERROR(VLOOKUP(A28,[3]Hoja1!$B$3:$K$124,10,FALSE),"")</f>
        <v>1719.6528000000008</v>
      </c>
      <c r="F28" s="243" t="s">
        <v>286</v>
      </c>
      <c r="G28" s="304">
        <f>IFERROR(VLOOKUP(A28,[3]Hoja1!$B$3:$K$124,3,FALSE),"")</f>
        <v>0.95000000000000007</v>
      </c>
      <c r="H28" s="304">
        <f>IFERROR(VLOOKUP(A28,[3]Hoja1!$B$3:$K$124,2,FALSE),"")</f>
        <v>0.4490243902439025</v>
      </c>
      <c r="I28" s="252" t="s">
        <v>1872</v>
      </c>
      <c r="J28" s="252" t="s">
        <v>1872</v>
      </c>
      <c r="K28" s="260">
        <f t="shared" si="1"/>
        <v>38.924033333333341</v>
      </c>
    </row>
    <row r="29" spans="1:11" x14ac:dyDescent="0.2">
      <c r="A29" s="186">
        <v>27</v>
      </c>
      <c r="B29" s="304">
        <f>IFERROR(VLOOKUP(A29,[3]Hoja1!$B$3:$I$1048576,5,FALSE),"")</f>
        <v>39.948999999999977</v>
      </c>
      <c r="C29" s="305">
        <f>IFERROR(VLOOKUP(A29,[3]Hoja1!$B$3:$K$124,9,FALSE),"")</f>
        <v>1500</v>
      </c>
      <c r="D29" s="305">
        <f>IFERROR(VLOOKUP(A29,[3]Hoja1!$B$3:$I$1048576,8,FALSE),"")</f>
        <v>59923.5</v>
      </c>
      <c r="E29" s="305">
        <f>IFERROR(VLOOKUP(A29,[3]Hoja1!$B$3:$K$124,10,FALSE),"")</f>
        <v>1665.8733</v>
      </c>
      <c r="F29" s="243" t="s">
        <v>286</v>
      </c>
      <c r="G29" s="304">
        <f>IFERROR(VLOOKUP(A29,[3]Hoja1!$B$3:$K$124,3,FALSE),"")</f>
        <v>0.95000000000000007</v>
      </c>
      <c r="H29" s="304">
        <f>IFERROR(VLOOKUP(A29,[3]Hoja1!$B$3:$K$124,2,FALSE),"")</f>
        <v>0.44</v>
      </c>
      <c r="I29" s="252" t="s">
        <v>1872</v>
      </c>
      <c r="J29" s="252" t="s">
        <v>1872</v>
      </c>
      <c r="K29" s="260">
        <f t="shared" si="1"/>
        <v>37.951549999999983</v>
      </c>
    </row>
    <row r="30" spans="1:11" x14ac:dyDescent="0.2">
      <c r="A30" s="186">
        <v>28</v>
      </c>
      <c r="B30" s="304">
        <f>IFERROR(VLOOKUP(A30,[3]Hoja1!$B$3:$I$1048576,5,FALSE),"")</f>
        <v>40.18683333333334</v>
      </c>
      <c r="C30" s="305">
        <f>IFERROR(VLOOKUP(A30,[3]Hoja1!$B$3:$K$124,9,FALSE),"")</f>
        <v>1500</v>
      </c>
      <c r="D30" s="305">
        <f>IFERROR(VLOOKUP(A30,[3]Hoja1!$B$3:$I$1048576,8,FALSE),"")</f>
        <v>60280.25</v>
      </c>
      <c r="E30" s="305">
        <f>IFERROR(VLOOKUP(A30,[3]Hoja1!$B$3:$K$124,10,FALSE),"")</f>
        <v>1670.203999999999</v>
      </c>
      <c r="F30" s="243" t="s">
        <v>286</v>
      </c>
      <c r="G30" s="304">
        <f>IFERROR(VLOOKUP(A30,[3]Hoja1!$B$3:$K$124,3,FALSE),"")</f>
        <v>0.95000000000000007</v>
      </c>
      <c r="H30" s="304">
        <f>IFERROR(VLOOKUP(A30,[3]Hoja1!$B$3:$K$124,2,FALSE),"")</f>
        <v>0.43536585365853653</v>
      </c>
      <c r="I30" s="252" t="s">
        <v>1872</v>
      </c>
      <c r="J30" s="252" t="s">
        <v>1872</v>
      </c>
      <c r="K30" s="260">
        <f t="shared" si="1"/>
        <v>38.177491666666675</v>
      </c>
    </row>
    <row r="31" spans="1:11" x14ac:dyDescent="0.2">
      <c r="A31" s="186">
        <v>29</v>
      </c>
      <c r="B31" s="304">
        <f>IFERROR(VLOOKUP(A31,[3]Hoja1!$B$3:$I$1048576,5,FALSE),"")</f>
        <v>30.158000000000005</v>
      </c>
      <c r="C31" s="305">
        <f>IFERROR(VLOOKUP(A31,[3]Hoja1!$B$3:$K$124,9,FALSE),"")</f>
        <v>1500</v>
      </c>
      <c r="D31" s="305">
        <f>IFERROR(VLOOKUP(A31,[3]Hoja1!$B$3:$I$1048576,8,FALSE),"")</f>
        <v>45237</v>
      </c>
      <c r="E31" s="305">
        <f>IFERROR(VLOOKUP(A31,[3]Hoja1!$B$3:$K$124,10,FALSE),"")</f>
        <v>1293.7782</v>
      </c>
      <c r="F31" s="243" t="s">
        <v>286</v>
      </c>
      <c r="G31" s="304">
        <f>IFERROR(VLOOKUP(A31,[3]Hoja1!$B$3:$K$124,3,FALSE),"")</f>
        <v>0.94999999999999984</v>
      </c>
      <c r="H31" s="304">
        <f>IFERROR(VLOOKUP(A31,[3]Hoja1!$B$3:$K$124,2,FALSE),"")</f>
        <v>0.48000000000000032</v>
      </c>
      <c r="I31" s="252" t="s">
        <v>1872</v>
      </c>
      <c r="J31" s="252" t="s">
        <v>1872</v>
      </c>
      <c r="K31" s="260">
        <f t="shared" si="1"/>
        <v>28.650099999999998</v>
      </c>
    </row>
    <row r="32" spans="1:11" x14ac:dyDescent="0.2">
      <c r="A32" s="186">
        <v>59</v>
      </c>
      <c r="B32" s="304">
        <f>IFERROR(VLOOKUP(A32,[3]Hoja1!$B$3:$I$1048576,5,FALSE),"")</f>
        <v>43.604999999999976</v>
      </c>
      <c r="C32" s="305">
        <f>IFERROR(VLOOKUP(A32,[3]Hoja1!$B$3:$K$124,9,FALSE),"")</f>
        <v>1500</v>
      </c>
      <c r="D32" s="305">
        <f>IFERROR(VLOOKUP(A32,[3]Hoja1!$B$3:$I$1048576,8,FALSE),"")</f>
        <v>65407.5</v>
      </c>
      <c r="E32" s="305">
        <f>IFERROR(VLOOKUP(A32,[3]Hoja1!$B$3:$K$124,10,FALSE),"")</f>
        <v>1831.4100000000003</v>
      </c>
      <c r="F32" s="243" t="s">
        <v>286</v>
      </c>
      <c r="G32" s="304">
        <f>IFERROR(VLOOKUP(A32,[3]Hoja1!$B$3:$K$124,3,FALSE),"")</f>
        <v>1</v>
      </c>
      <c r="H32" s="304">
        <f>IFERROR(VLOOKUP(A32,[3]Hoja1!$B$3:$K$124,2,FALSE),"")</f>
        <v>0.4</v>
      </c>
      <c r="I32" s="252" t="s">
        <v>225</v>
      </c>
      <c r="J32" s="254" t="s">
        <v>1890</v>
      </c>
      <c r="K32" s="260">
        <f t="shared" si="1"/>
        <v>43.604999999999976</v>
      </c>
    </row>
    <row r="33" spans="1:11" x14ac:dyDescent="0.2">
      <c r="A33" s="186">
        <v>60</v>
      </c>
      <c r="B33" s="304" t="str">
        <f>IFERROR(VLOOKUP(A33,[3]Hoja1!$B$3:$I$1048576,5,FALSE),"")</f>
        <v/>
      </c>
      <c r="C33" s="305" t="str">
        <f>IFERROR(VLOOKUP(A33,[3]Hoja1!$B$3:$K$124,9,FALSE),"")</f>
        <v/>
      </c>
      <c r="D33" s="305" t="str">
        <f>IFERROR(VLOOKUP(A33,[3]Hoja1!$B$3:$I$1048576,8,FALSE),"")</f>
        <v/>
      </c>
      <c r="E33" s="305" t="str">
        <f>IFERROR(VLOOKUP(A33,[3]Hoja1!$B$3:$K$124,10,FALSE),"")</f>
        <v/>
      </c>
      <c r="F33" s="243" t="s">
        <v>286</v>
      </c>
      <c r="G33" s="304" t="str">
        <f>IFERROR(VLOOKUP(A33,[3]Hoja1!$B$3:$K$124,3,FALSE),"")</f>
        <v/>
      </c>
      <c r="H33" s="304" t="str">
        <f>IFERROR(VLOOKUP(A33,[3]Hoja1!$B$3:$K$124,2,FALSE),"")</f>
        <v/>
      </c>
      <c r="I33" s="252" t="s">
        <v>225</v>
      </c>
      <c r="J33" s="254" t="s">
        <v>1890</v>
      </c>
      <c r="K33" s="260" t="e">
        <f t="shared" si="1"/>
        <v>#VALUE!</v>
      </c>
    </row>
    <row r="34" spans="1:11" x14ac:dyDescent="0.2">
      <c r="A34" s="186">
        <v>61</v>
      </c>
      <c r="B34" s="304">
        <f>IFERROR(VLOOKUP(A34,[3]Hoja1!$B$3:$I$1048576,5,FALSE),"")</f>
        <v>43.152000000000008</v>
      </c>
      <c r="C34" s="305">
        <f>IFERROR(VLOOKUP(A34,[3]Hoja1!$B$3:$K$124,9,FALSE),"")</f>
        <v>1425.2881355932204</v>
      </c>
      <c r="D34" s="305">
        <f>IFERROR(VLOOKUP(A34,[3]Hoja1!$B$3:$I$1048576,8,FALSE),"")</f>
        <v>62103.384000000005</v>
      </c>
      <c r="E34" s="305">
        <f>IFERROR(VLOOKUP(A34,[3]Hoja1!$B$3:$K$124,10,FALSE),"")</f>
        <v>1886.2776000000003</v>
      </c>
      <c r="F34" s="243" t="s">
        <v>286</v>
      </c>
      <c r="G34" s="304">
        <f>IFERROR(VLOOKUP(A34,[3]Hoja1!$B$3:$K$124,3,FALSE),"")</f>
        <v>0.93559322033898262</v>
      </c>
      <c r="H34" s="304">
        <f>IFERROR(VLOOKUP(A34,[3]Hoja1!$B$3:$K$124,2,FALSE),"")</f>
        <v>0.5071186440677965</v>
      </c>
      <c r="I34" s="252" t="s">
        <v>225</v>
      </c>
      <c r="J34" s="254" t="s">
        <v>1890</v>
      </c>
      <c r="K34" s="260">
        <f t="shared" si="1"/>
        <v>40.372718644067788</v>
      </c>
    </row>
    <row r="35" spans="1:11" x14ac:dyDescent="0.2">
      <c r="A35" s="186">
        <v>62</v>
      </c>
      <c r="B35" s="304" t="str">
        <f>IFERROR(VLOOKUP(A35,[3]Hoja1!$B$3:$I$1048576,5,FALSE),"")</f>
        <v/>
      </c>
      <c r="C35" s="305" t="str">
        <f>IFERROR(VLOOKUP(A35,[3]Hoja1!$B$3:$K$124,9,FALSE),"")</f>
        <v/>
      </c>
      <c r="D35" s="305" t="str">
        <f>IFERROR(VLOOKUP(A35,[3]Hoja1!$B$3:$I$1048576,8,FALSE),"")</f>
        <v/>
      </c>
      <c r="E35" s="305" t="str">
        <f>IFERROR(VLOOKUP(A35,[3]Hoja1!$B$3:$K$124,10,FALSE),"")</f>
        <v/>
      </c>
      <c r="F35" s="243" t="s">
        <v>286</v>
      </c>
      <c r="G35" s="304" t="str">
        <f>IFERROR(VLOOKUP(A35,[3]Hoja1!$B$3:$K$124,3,FALSE),"")</f>
        <v/>
      </c>
      <c r="H35" s="304" t="str">
        <f>IFERROR(VLOOKUP(A35,[3]Hoja1!$B$3:$K$124,2,FALSE),"")</f>
        <v/>
      </c>
      <c r="I35" s="252" t="s">
        <v>225</v>
      </c>
      <c r="J35" s="254" t="s">
        <v>1890</v>
      </c>
      <c r="K35" s="260" t="e">
        <f t="shared" si="1"/>
        <v>#VALUE!</v>
      </c>
    </row>
    <row r="36" spans="1:11" x14ac:dyDescent="0.2">
      <c r="A36" s="186">
        <v>63</v>
      </c>
      <c r="B36" s="304">
        <f>IFERROR(VLOOKUP(A36,[3]Hoja1!$B$3:$I$1048576,5,FALSE),"")</f>
        <v>46.129000000000012</v>
      </c>
      <c r="C36" s="305">
        <f>IFERROR(VLOOKUP(A36,[3]Hoja1!$B$3:$K$124,9,FALSE),"")</f>
        <v>1500</v>
      </c>
      <c r="D36" s="305">
        <f>IFERROR(VLOOKUP(A36,[3]Hoja1!$B$3:$I$1048576,8,FALSE),"")</f>
        <v>69193.5</v>
      </c>
      <c r="E36" s="305">
        <f>IFERROR(VLOOKUP(A36,[3]Hoja1!$B$3:$K$124,10,FALSE),"")</f>
        <v>1854.3857999999993</v>
      </c>
      <c r="F36" s="243" t="s">
        <v>286</v>
      </c>
      <c r="G36" s="304">
        <f>IFERROR(VLOOKUP(A36,[3]Hoja1!$B$3:$K$124,3,FALSE),"")</f>
        <v>0.95000000000000107</v>
      </c>
      <c r="H36" s="304">
        <f>IFERROR(VLOOKUP(A36,[3]Hoja1!$B$3:$K$124,2,FALSE),"")</f>
        <v>0.39000000000000035</v>
      </c>
      <c r="I36" s="252" t="s">
        <v>225</v>
      </c>
      <c r="J36" s="254" t="s">
        <v>1890</v>
      </c>
      <c r="K36" s="260">
        <f t="shared" si="1"/>
        <v>43.822550000000064</v>
      </c>
    </row>
    <row r="37" spans="1:11" x14ac:dyDescent="0.2">
      <c r="A37" s="186">
        <v>64</v>
      </c>
      <c r="B37" s="304">
        <f>IFERROR(VLOOKUP(A37,[3]Hoja1!$B$3:$I$1048576,5,FALSE),"")</f>
        <v>36.516499999999979</v>
      </c>
      <c r="C37" s="305">
        <f>IFERROR(VLOOKUP(A37,[3]Hoja1!$B$3:$K$124,9,FALSE),"")</f>
        <v>1500</v>
      </c>
      <c r="D37" s="305">
        <f>IFERROR(VLOOKUP(A37,[3]Hoja1!$B$3:$I$1048576,8,FALSE),"")</f>
        <v>54774.75</v>
      </c>
      <c r="E37" s="305">
        <f>IFERROR(VLOOKUP(A37,[3]Hoja1!$B$3:$K$124,10,FALSE),"")</f>
        <v>1533.693</v>
      </c>
      <c r="F37" s="243" t="s">
        <v>286</v>
      </c>
      <c r="G37" s="304">
        <f>IFERROR(VLOOKUP(A37,[3]Hoja1!$B$3:$K$124,3,FALSE),"")</f>
        <v>0.89999999999999925</v>
      </c>
      <c r="H37" s="304">
        <f>IFERROR(VLOOKUP(A37,[3]Hoja1!$B$3:$K$124,2,FALSE),"")</f>
        <v>0.5</v>
      </c>
      <c r="I37" s="252" t="s">
        <v>225</v>
      </c>
      <c r="J37" s="254" t="s">
        <v>1890</v>
      </c>
      <c r="K37" s="260">
        <f t="shared" si="1"/>
        <v>32.864849999999954</v>
      </c>
    </row>
    <row r="38" spans="1:11" x14ac:dyDescent="0.2">
      <c r="A38" s="186">
        <v>65</v>
      </c>
      <c r="B38" s="304">
        <f>IFERROR(VLOOKUP(A38,[3]Hoja1!$B$3:$I$1048576,5,FALSE),"")</f>
        <v>49.66200000000002</v>
      </c>
      <c r="C38" s="305">
        <f>IFERROR(VLOOKUP(A38,[3]Hoja1!$B$3:$K$124,9,FALSE),"")</f>
        <v>1384</v>
      </c>
      <c r="D38" s="305">
        <f>IFERROR(VLOOKUP(A38,[3]Hoja1!$B$3:$I$1048576,8,FALSE),"")</f>
        <v>68732.207999999984</v>
      </c>
      <c r="E38" s="305">
        <f>IFERROR(VLOOKUP(A38,[3]Hoja1!$B$3:$K$124,10,FALSE),"")</f>
        <v>2085.8039999999996</v>
      </c>
      <c r="F38" s="243" t="s">
        <v>286</v>
      </c>
      <c r="G38" s="304">
        <f>IFERROR(VLOOKUP(A38,[3]Hoja1!$B$3:$K$124,3,FALSE),"")</f>
        <v>0.89999999999999936</v>
      </c>
      <c r="H38" s="304">
        <f>IFERROR(VLOOKUP(A38,[3]Hoja1!$B$3:$K$124,2,FALSE),"")</f>
        <v>0.5</v>
      </c>
      <c r="I38" s="252" t="s">
        <v>225</v>
      </c>
      <c r="J38" s="254" t="s">
        <v>1890</v>
      </c>
      <c r="K38" s="260">
        <f t="shared" si="1"/>
        <v>44.695799999999984</v>
      </c>
    </row>
    <row r="39" spans="1:11" x14ac:dyDescent="0.2">
      <c r="A39" s="186" t="s">
        <v>1124</v>
      </c>
      <c r="B39" s="304" t="str">
        <f>IFERROR(VLOOKUP(A39,[3]Hoja1!$B$3:$I$1048576,5,FALSE),"")</f>
        <v/>
      </c>
      <c r="C39" s="305" t="str">
        <f>IFERROR(VLOOKUP(A39,[3]Hoja1!$B$3:$K$124,9,FALSE),"")</f>
        <v/>
      </c>
      <c r="D39" s="305" t="str">
        <f>IFERROR(VLOOKUP(A39,[3]Hoja1!$B$3:$I$1048576,8,FALSE),"")</f>
        <v/>
      </c>
      <c r="E39" s="305" t="str">
        <f>IFERROR(VLOOKUP(A39,[3]Hoja1!$B$3:$K$124,10,FALSE),"")</f>
        <v/>
      </c>
      <c r="F39" s="243" t="s">
        <v>286</v>
      </c>
      <c r="G39" s="304" t="str">
        <f>IFERROR(VLOOKUP(A39,[3]Hoja1!$B$3:$K$124,3,FALSE),"")</f>
        <v/>
      </c>
      <c r="H39" s="304" t="str">
        <f>IFERROR(VLOOKUP(A39,[3]Hoja1!$B$3:$K$124,2,FALSE),"")</f>
        <v/>
      </c>
      <c r="I39" s="252" t="s">
        <v>225</v>
      </c>
      <c r="J39" s="254" t="s">
        <v>1890</v>
      </c>
      <c r="K39" s="260" t="e">
        <f t="shared" si="1"/>
        <v>#VALUE!</v>
      </c>
    </row>
    <row r="40" spans="1:11" x14ac:dyDescent="0.2">
      <c r="A40" s="186" t="s">
        <v>1126</v>
      </c>
      <c r="B40" s="304" t="str">
        <f>IFERROR(VLOOKUP(A40,[3]Hoja1!$B$3:$I$1048576,5,FALSE),"")</f>
        <v/>
      </c>
      <c r="C40" s="305" t="str">
        <f>IFERROR(VLOOKUP(A40,[3]Hoja1!$B$3:$K$124,9,FALSE),"")</f>
        <v/>
      </c>
      <c r="D40" s="305" t="str">
        <f>IFERROR(VLOOKUP(A40,[3]Hoja1!$B$3:$I$1048576,8,FALSE),"")</f>
        <v/>
      </c>
      <c r="E40" s="305" t="str">
        <f>IFERROR(VLOOKUP(A40,[3]Hoja1!$B$3:$K$124,10,FALSE),"")</f>
        <v/>
      </c>
      <c r="F40" s="243" t="s">
        <v>286</v>
      </c>
      <c r="G40" s="304" t="str">
        <f>IFERROR(VLOOKUP(A40,[3]Hoja1!$B$3:$K$124,3,FALSE),"")</f>
        <v/>
      </c>
      <c r="H40" s="304" t="str">
        <f>IFERROR(VLOOKUP(A40,[3]Hoja1!$B$3:$K$124,2,FALSE),"")</f>
        <v/>
      </c>
      <c r="I40" s="252" t="s">
        <v>225</v>
      </c>
      <c r="J40" s="254" t="s">
        <v>1890</v>
      </c>
      <c r="K40" s="260" t="e">
        <f t="shared" si="1"/>
        <v>#VALUE!</v>
      </c>
    </row>
    <row r="41" spans="1:11" x14ac:dyDescent="0.2">
      <c r="A41" s="186">
        <v>68</v>
      </c>
      <c r="B41" s="304">
        <f>IFERROR(VLOOKUP(A41,[3]Hoja1!$B$3:$I$1048576,5,FALSE),"")</f>
        <v>31.997959999999996</v>
      </c>
      <c r="C41" s="305">
        <f>IFERROR(VLOOKUP(A41,[3]Hoja1!$B$3:$K$124,9,FALSE),"")</f>
        <v>1384</v>
      </c>
      <c r="D41" s="305">
        <f>IFERROR(VLOOKUP(A41,[3]Hoja1!$B$3:$I$1048576,8,FALSE),"")</f>
        <v>44285.176640000005</v>
      </c>
      <c r="E41" s="305">
        <f>IFERROR(VLOOKUP(A41,[3]Hoja1!$B$3:$K$124,10,FALSE),"")</f>
        <v>1343.9143200000001</v>
      </c>
      <c r="F41" s="243" t="s">
        <v>286</v>
      </c>
      <c r="G41" s="304">
        <f>IFERROR(VLOOKUP(A41,[3]Hoja1!$B$3:$K$124,3,FALSE),"")</f>
        <v>0.89999999999999936</v>
      </c>
      <c r="H41" s="304">
        <f>IFERROR(VLOOKUP(A41,[3]Hoja1!$B$3:$K$124,2,FALSE),"")</f>
        <v>0.5</v>
      </c>
      <c r="I41" s="252" t="s">
        <v>225</v>
      </c>
      <c r="J41" s="254" t="s">
        <v>1890</v>
      </c>
      <c r="K41" s="260">
        <f t="shared" si="1"/>
        <v>28.798163999999975</v>
      </c>
    </row>
    <row r="42" spans="1:11" x14ac:dyDescent="0.2">
      <c r="A42" s="186">
        <v>69</v>
      </c>
      <c r="B42" s="304">
        <f>IFERROR(VLOOKUP(A42,[3]Hoja1!$B$3:$I$1048576,5,FALSE),"")</f>
        <v>35.227499999999985</v>
      </c>
      <c r="C42" s="305">
        <f>IFERROR(VLOOKUP(A42,[3]Hoja1!$B$3:$K$124,9,FALSE),"")</f>
        <v>1500</v>
      </c>
      <c r="D42" s="305">
        <f>IFERROR(VLOOKUP(A42,[3]Hoja1!$B$3:$I$1048576,8,FALSE),"")</f>
        <v>52841.25</v>
      </c>
      <c r="E42" s="305">
        <f>IFERROR(VLOOKUP(A42,[3]Hoja1!$B$3:$K$124,10,FALSE),"")</f>
        <v>1479.5549999999994</v>
      </c>
      <c r="F42" s="243" t="s">
        <v>286</v>
      </c>
      <c r="G42" s="304">
        <f>IFERROR(VLOOKUP(A42,[3]Hoja1!$B$3:$K$124,3,FALSE),"")</f>
        <v>1</v>
      </c>
      <c r="H42" s="304">
        <f>IFERROR(VLOOKUP(A42,[3]Hoja1!$B$3:$K$124,2,FALSE),"")</f>
        <v>0.40000000000000019</v>
      </c>
      <c r="I42" s="252" t="s">
        <v>225</v>
      </c>
      <c r="J42" s="254" t="s">
        <v>1890</v>
      </c>
      <c r="K42" s="260">
        <f t="shared" si="1"/>
        <v>35.227499999999985</v>
      </c>
    </row>
    <row r="43" spans="1:11" x14ac:dyDescent="0.2">
      <c r="A43" s="186">
        <v>70</v>
      </c>
      <c r="B43" s="304">
        <f>IFERROR(VLOOKUP(A43,[3]Hoja1!$B$3:$I$1048576,5,FALSE),"")</f>
        <v>33.525666666666659</v>
      </c>
      <c r="C43" s="305">
        <f>IFERROR(VLOOKUP(A43,[3]Hoja1!$B$3:$K$124,9,FALSE),"")</f>
        <v>1500</v>
      </c>
      <c r="D43" s="305">
        <f>IFERROR(VLOOKUP(A43,[3]Hoja1!$B$3:$I$1048576,8,FALSE),"")</f>
        <v>50288.5</v>
      </c>
      <c r="E43" s="305">
        <f>IFERROR(VLOOKUP(A43,[3]Hoja1!$B$3:$K$124,10,FALSE),"")</f>
        <v>1398.0203000000008</v>
      </c>
      <c r="F43" s="243" t="s">
        <v>286</v>
      </c>
      <c r="G43" s="304">
        <f>IFERROR(VLOOKUP(A43,[3]Hoja1!$B$3:$K$124,3,FALSE),"")</f>
        <v>1</v>
      </c>
      <c r="H43" s="304">
        <f>IFERROR(VLOOKUP(A43,[3]Hoja1!$B$3:$K$124,2,FALSE),"")</f>
        <v>0.39000000000000018</v>
      </c>
      <c r="I43" s="252" t="s">
        <v>225</v>
      </c>
      <c r="J43" s="254" t="s">
        <v>1890</v>
      </c>
      <c r="K43" s="260">
        <f t="shared" si="1"/>
        <v>33.525666666666659</v>
      </c>
    </row>
    <row r="44" spans="1:11" x14ac:dyDescent="0.2">
      <c r="A44" s="186">
        <v>71</v>
      </c>
      <c r="B44" s="304">
        <f>IFERROR(VLOOKUP(A44,[3]Hoja1!$B$3:$I$1048576,5,FALSE),"")</f>
        <v>20.635666666666665</v>
      </c>
      <c r="C44" s="305">
        <f>IFERROR(VLOOKUP(A44,[3]Hoja1!$B$3:$K$124,9,FALSE),"")</f>
        <v>1500</v>
      </c>
      <c r="D44" s="305">
        <f>IFERROR(VLOOKUP(A44,[3]Hoja1!$B$3:$I$1048576,8,FALSE),"")</f>
        <v>30953.5</v>
      </c>
      <c r="E44" s="305">
        <f>IFERROR(VLOOKUP(A44,[3]Hoja1!$B$3:$K$124,10,FALSE),"")</f>
        <v>866.69799999999987</v>
      </c>
      <c r="F44" s="243" t="s">
        <v>286</v>
      </c>
      <c r="G44" s="304">
        <f>IFERROR(VLOOKUP(A44,[3]Hoja1!$B$3:$K$124,3,FALSE),"")</f>
        <v>1</v>
      </c>
      <c r="H44" s="304">
        <f>IFERROR(VLOOKUP(A44,[3]Hoja1!$B$3:$K$124,2,FALSE),"")</f>
        <v>0.40000000000000019</v>
      </c>
      <c r="I44" s="252" t="s">
        <v>225</v>
      </c>
      <c r="J44" s="254" t="s">
        <v>1890</v>
      </c>
      <c r="K44" s="260">
        <f t="shared" si="1"/>
        <v>20.635666666666665</v>
      </c>
    </row>
    <row r="45" spans="1:11" x14ac:dyDescent="0.2">
      <c r="A45" s="186">
        <v>72</v>
      </c>
      <c r="B45" s="304">
        <f>IFERROR(VLOOKUP(A45,[3]Hoja1!$B$3:$I$1048576,5,FALSE),"")</f>
        <v>36.036000000000008</v>
      </c>
      <c r="C45" s="305">
        <f>IFERROR(VLOOKUP(A45,[3]Hoja1!$B$3:$K$124,9,FALSE),"")</f>
        <v>1384</v>
      </c>
      <c r="D45" s="305">
        <f>IFERROR(VLOOKUP(A45,[3]Hoja1!$B$3:$I$1048576,8,FALSE),"")</f>
        <v>49873.824000000001</v>
      </c>
      <c r="E45" s="305">
        <f>IFERROR(VLOOKUP(A45,[3]Hoja1!$B$3:$K$124,10,FALSE),"")</f>
        <v>1504.2026999999989</v>
      </c>
      <c r="F45" s="243" t="s">
        <v>286</v>
      </c>
      <c r="G45" s="304">
        <f>IFERROR(VLOOKUP(A45,[3]Hoja1!$B$3:$K$124,3,FALSE),"")</f>
        <v>0.89999999999999936</v>
      </c>
      <c r="H45" s="304">
        <f>IFERROR(VLOOKUP(A45,[3]Hoja1!$B$3:$K$124,2,FALSE),"")</f>
        <v>0.49138888888888871</v>
      </c>
      <c r="I45" s="252" t="s">
        <v>225</v>
      </c>
      <c r="J45" s="254" t="s">
        <v>1890</v>
      </c>
      <c r="K45" s="260">
        <f t="shared" si="1"/>
        <v>32.432399999999987</v>
      </c>
    </row>
    <row r="46" spans="1:11" x14ac:dyDescent="0.2">
      <c r="A46" s="186">
        <v>73</v>
      </c>
      <c r="B46" s="304">
        <f>IFERROR(VLOOKUP(A46,[3]Hoja1!$B$3:$I$1048576,5,FALSE),"")</f>
        <v>35.243999999999978</v>
      </c>
      <c r="C46" s="305">
        <f>IFERROR(VLOOKUP(A46,[3]Hoja1!$B$3:$K$124,9,FALSE),"")</f>
        <v>1384</v>
      </c>
      <c r="D46" s="305">
        <f>IFERROR(VLOOKUP(A46,[3]Hoja1!$B$3:$I$1048576,8,FALSE),"")</f>
        <v>48777.696000000033</v>
      </c>
      <c r="E46" s="305">
        <f>IFERROR(VLOOKUP(A46,[3]Hoja1!$B$3:$K$124,10,FALSE),"")</f>
        <v>1459.1016000000011</v>
      </c>
      <c r="F46" s="243" t="s">
        <v>286</v>
      </c>
      <c r="G46" s="304">
        <f>IFERROR(VLOOKUP(A46,[3]Hoja1!$B$3:$K$124,3,FALSE),"")</f>
        <v>0.89999999999999936</v>
      </c>
      <c r="H46" s="304">
        <f>IFERROR(VLOOKUP(A46,[3]Hoja1!$B$3:$K$124,2,FALSE),"")</f>
        <v>0.48000000000000032</v>
      </c>
      <c r="I46" s="252" t="s">
        <v>225</v>
      </c>
      <c r="J46" s="254" t="s">
        <v>1890</v>
      </c>
      <c r="K46" s="260">
        <f t="shared" si="1"/>
        <v>31.719599999999957</v>
      </c>
    </row>
    <row r="47" spans="1:11" x14ac:dyDescent="0.2">
      <c r="A47" s="186">
        <v>74</v>
      </c>
      <c r="B47" s="304">
        <f>IFERROR(VLOOKUP(A47,[3]Hoja1!$B$3:$I$1048576,5,FALSE),"")</f>
        <v>35.54399999999999</v>
      </c>
      <c r="C47" s="305">
        <f>IFERROR(VLOOKUP(A47,[3]Hoja1!$B$3:$K$124,9,FALSE),"")</f>
        <v>1500</v>
      </c>
      <c r="D47" s="305">
        <f>IFERROR(VLOOKUP(A47,[3]Hoja1!$B$3:$I$1048576,8,FALSE),"")</f>
        <v>53316</v>
      </c>
      <c r="E47" s="305">
        <f>IFERROR(VLOOKUP(A47,[3]Hoja1!$B$3:$K$124,10,FALSE),"")</f>
        <v>1482.1848000000011</v>
      </c>
      <c r="F47" s="243" t="s">
        <v>286</v>
      </c>
      <c r="G47" s="304">
        <f>IFERROR(VLOOKUP(A47,[3]Hoja1!$B$3:$K$124,3,FALSE),"")</f>
        <v>1</v>
      </c>
      <c r="H47" s="304">
        <f>IFERROR(VLOOKUP(A47,[3]Hoja1!$B$3:$K$124,2,FALSE),"")</f>
        <v>0.39000000000000018</v>
      </c>
      <c r="I47" s="252" t="s">
        <v>225</v>
      </c>
      <c r="J47" s="254" t="s">
        <v>1890</v>
      </c>
      <c r="K47" s="260">
        <f t="shared" si="1"/>
        <v>35.54399999999999</v>
      </c>
    </row>
    <row r="48" spans="1:11" x14ac:dyDescent="0.2">
      <c r="A48" s="186">
        <v>75</v>
      </c>
      <c r="B48" s="304">
        <f>IFERROR(VLOOKUP(A48,[3]Hoja1!$B$3:$I$1048576,5,FALSE),"")</f>
        <v>35.208000000000027</v>
      </c>
      <c r="C48" s="305">
        <f>IFERROR(VLOOKUP(A48,[3]Hoja1!$B$3:$K$124,9,FALSE),"")</f>
        <v>1500</v>
      </c>
      <c r="D48" s="305">
        <f>IFERROR(VLOOKUP(A48,[3]Hoja1!$B$3:$I$1048576,8,FALSE),"")</f>
        <v>52812</v>
      </c>
      <c r="E48" s="305">
        <f>IFERROR(VLOOKUP(A48,[3]Hoja1!$B$3:$K$124,10,FALSE),"")</f>
        <v>1468.1736000000001</v>
      </c>
      <c r="F48" s="243" t="s">
        <v>286</v>
      </c>
      <c r="G48" s="304">
        <f>IFERROR(VLOOKUP(A48,[3]Hoja1!$B$3:$K$124,3,FALSE),"")</f>
        <v>1</v>
      </c>
      <c r="H48" s="304">
        <f>IFERROR(VLOOKUP(A48,[3]Hoja1!$B$3:$K$124,2,FALSE),"")</f>
        <v>0.39000000000000018</v>
      </c>
      <c r="I48" s="252" t="s">
        <v>225</v>
      </c>
      <c r="J48" s="254" t="s">
        <v>1890</v>
      </c>
      <c r="K48" s="260">
        <f t="shared" si="1"/>
        <v>35.208000000000027</v>
      </c>
    </row>
    <row r="49" spans="1:11" x14ac:dyDescent="0.2">
      <c r="A49" s="186">
        <v>76</v>
      </c>
      <c r="B49" s="304">
        <f>IFERROR(VLOOKUP(A49,[3]Hoja1!$B$3:$I$1048576,5,FALSE),"")</f>
        <v>40.553333333333342</v>
      </c>
      <c r="C49" s="305">
        <f>IFERROR(VLOOKUP(A49,[3]Hoja1!$B$3:$K$124,9,FALSE),"")</f>
        <v>1500</v>
      </c>
      <c r="D49" s="305">
        <f>IFERROR(VLOOKUP(A49,[3]Hoja1!$B$3:$I$1048576,8,FALSE),"")</f>
        <v>60830</v>
      </c>
      <c r="E49" s="305">
        <f>IFERROR(VLOOKUP(A49,[3]Hoja1!$B$3:$K$124,10,FALSE),"")</f>
        <v>1715.4059999999997</v>
      </c>
      <c r="F49" s="243" t="s">
        <v>286</v>
      </c>
      <c r="G49" s="304">
        <f>IFERROR(VLOOKUP(A49,[3]Hoja1!$B$3:$K$124,3,FALSE),"")</f>
        <v>1</v>
      </c>
      <c r="H49" s="304">
        <f>IFERROR(VLOOKUP(A49,[3]Hoja1!$B$3:$K$124,2,FALSE),"")</f>
        <v>0.41000000000000009</v>
      </c>
      <c r="I49" s="252" t="s">
        <v>225</v>
      </c>
      <c r="J49" s="254" t="s">
        <v>1890</v>
      </c>
      <c r="K49" s="260">
        <f t="shared" si="1"/>
        <v>40.553333333333342</v>
      </c>
    </row>
    <row r="50" spans="1:11" x14ac:dyDescent="0.2">
      <c r="A50" s="186">
        <v>77</v>
      </c>
      <c r="B50" s="304">
        <f>IFERROR(VLOOKUP(A50,[3]Hoja1!$B$3:$I$1048576,5,FALSE),"")</f>
        <v>35.466000000000008</v>
      </c>
      <c r="C50" s="305">
        <f>IFERROR(VLOOKUP(A50,[3]Hoja1!$B$3:$K$124,9,FALSE),"")</f>
        <v>1384</v>
      </c>
      <c r="D50" s="305">
        <f>IFERROR(VLOOKUP(A50,[3]Hoja1!$B$3:$I$1048576,8,FALSE),"")</f>
        <v>49084.944000000025</v>
      </c>
      <c r="E50" s="305">
        <f>IFERROR(VLOOKUP(A50,[3]Hoja1!$B$3:$K$124,10,FALSE),"")</f>
        <v>1478.9321999999991</v>
      </c>
      <c r="F50" s="243" t="s">
        <v>286</v>
      </c>
      <c r="G50" s="304">
        <f>IFERROR(VLOOKUP(A50,[3]Hoja1!$B$3:$K$124,3,FALSE),"")</f>
        <v>0.89999999999999936</v>
      </c>
      <c r="H50" s="304">
        <f>IFERROR(VLOOKUP(A50,[3]Hoja1!$B$3:$K$124,2,FALSE),"")</f>
        <v>0.49</v>
      </c>
      <c r="I50" s="252" t="s">
        <v>225</v>
      </c>
      <c r="J50" s="254" t="s">
        <v>1890</v>
      </c>
      <c r="K50" s="260">
        <f t="shared" si="1"/>
        <v>31.919399999999985</v>
      </c>
    </row>
    <row r="51" spans="1:11" x14ac:dyDescent="0.2">
      <c r="A51" s="186">
        <v>78</v>
      </c>
      <c r="B51" s="304">
        <f>IFERROR(VLOOKUP(A51,[3]Hoja1!$B$3:$I$1048576,5,FALSE),"")</f>
        <v>47.562666666666672</v>
      </c>
      <c r="C51" s="305">
        <f>IFERROR(VLOOKUP(A51,[3]Hoja1!$B$3:$K$124,9,FALSE),"")</f>
        <v>1384</v>
      </c>
      <c r="D51" s="305">
        <f>IFERROR(VLOOKUP(A51,[3]Hoja1!$B$3:$I$1048576,8,FALSE),"")</f>
        <v>65826.730666666626</v>
      </c>
      <c r="E51" s="305">
        <f>IFERROR(VLOOKUP(A51,[3]Hoja1!$B$3:$K$124,10,FALSE),"")</f>
        <v>1997.6320000000003</v>
      </c>
      <c r="F51" s="243" t="s">
        <v>286</v>
      </c>
      <c r="G51" s="304">
        <f>IFERROR(VLOOKUP(A51,[3]Hoja1!$B$3:$K$124,3,FALSE),"")</f>
        <v>0.89999999999999913</v>
      </c>
      <c r="H51" s="304">
        <f>IFERROR(VLOOKUP(A51,[3]Hoja1!$B$3:$K$124,2,FALSE),"")</f>
        <v>0.5</v>
      </c>
      <c r="I51" s="252" t="s">
        <v>225</v>
      </c>
      <c r="J51" s="254" t="s">
        <v>1890</v>
      </c>
      <c r="K51" s="260">
        <f t="shared" si="1"/>
        <v>42.806399999999961</v>
      </c>
    </row>
    <row r="52" spans="1:11" x14ac:dyDescent="0.2">
      <c r="A52" s="186"/>
      <c r="B52" s="304" t="str">
        <f>IFERROR(VLOOKUP(A52,[3]Hoja1!$B$3:$I$1048576,5,FALSE),"")</f>
        <v/>
      </c>
      <c r="C52" s="305" t="str">
        <f>IFERROR(VLOOKUP(A52,[3]Hoja1!$B$3:$K$124,9,FALSE),"")</f>
        <v/>
      </c>
      <c r="D52" s="305" t="str">
        <f>IFERROR(VLOOKUP(A52,[3]Hoja1!$B$3:$I$1048576,8,FALSE),"")</f>
        <v/>
      </c>
      <c r="E52" s="305" t="str">
        <f>IFERROR(VLOOKUP(A52,[3]Hoja1!$B$3:$K$124,10,FALSE),"")</f>
        <v/>
      </c>
      <c r="F52" s="243"/>
      <c r="G52" s="304" t="str">
        <f>IFERROR(VLOOKUP(A52,[3]Hoja1!$B$3:$K$124,3,FALSE),"")</f>
        <v/>
      </c>
      <c r="H52" s="304" t="str">
        <f>IFERROR(VLOOKUP(A52,[3]Hoja1!$B$3:$K$124,2,FALSE),"")</f>
        <v/>
      </c>
      <c r="I52" s="252"/>
      <c r="J52" s="254"/>
      <c r="K52" s="260" t="e">
        <f t="shared" si="1"/>
        <v>#VALUE!</v>
      </c>
    </row>
    <row r="53" spans="1:11" x14ac:dyDescent="0.2">
      <c r="A53" s="186">
        <v>81</v>
      </c>
      <c r="B53" s="304" t="str">
        <f>IFERROR(VLOOKUP(A53,[3]Hoja1!$B$3:$I$1048576,5,FALSE),"")</f>
        <v/>
      </c>
      <c r="C53" s="305" t="str">
        <f>IFERROR(VLOOKUP(A53,[3]Hoja1!$B$3:$K$124,9,FALSE),"")</f>
        <v/>
      </c>
      <c r="D53" s="305" t="str">
        <f>IFERROR(VLOOKUP(A53,[3]Hoja1!$B$3:$I$1048576,8,FALSE),"")</f>
        <v/>
      </c>
      <c r="E53" s="305" t="str">
        <f>IFERROR(VLOOKUP(A53,[3]Hoja1!$B$3:$K$124,10,FALSE),"")</f>
        <v/>
      </c>
      <c r="F53" s="243" t="s">
        <v>286</v>
      </c>
      <c r="G53" s="304" t="str">
        <f>IFERROR(VLOOKUP(A53,[3]Hoja1!$B$3:$K$124,3,FALSE),"")</f>
        <v/>
      </c>
      <c r="H53" s="304" t="str">
        <f>IFERROR(VLOOKUP(A53,[3]Hoja1!$B$3:$K$124,2,FALSE),"")</f>
        <v/>
      </c>
      <c r="I53" s="252" t="s">
        <v>225</v>
      </c>
      <c r="J53" s="254" t="s">
        <v>1890</v>
      </c>
      <c r="K53" s="260" t="e">
        <f t="shared" si="1"/>
        <v>#VALUE!</v>
      </c>
    </row>
    <row r="54" spans="1:11" x14ac:dyDescent="0.2">
      <c r="A54" s="186">
        <v>82</v>
      </c>
      <c r="B54" s="304">
        <f>IFERROR(VLOOKUP(A54,[3]Hoja1!$B$3:$I$1048576,5,FALSE),"")</f>
        <v>29.044282033333321</v>
      </c>
      <c r="C54" s="305">
        <f>IFERROR(VLOOKUP(A54,[3]Hoja1!$B$3:$K$124,9,FALSE),"")</f>
        <v>1650</v>
      </c>
      <c r="D54" s="305">
        <f>IFERROR(VLOOKUP(A54,[3]Hoja1!$B$3:$I$1048576,8,FALSE),"")</f>
        <v>47923.065355000006</v>
      </c>
      <c r="E54" s="305">
        <f>IFERROR(VLOOKUP(A54,[3]Hoja1!$B$3:$K$124,10,FALSE),"")</f>
        <v>1389.7688952949998</v>
      </c>
      <c r="F54" s="243" t="s">
        <v>286</v>
      </c>
      <c r="G54" s="304">
        <f>IFERROR(VLOOKUP(A54,[3]Hoja1!$B$3:$K$124,3,FALSE),"")</f>
        <v>1.1000000000000005</v>
      </c>
      <c r="H54" s="304">
        <f>IFERROR(VLOOKUP(A54,[3]Hoja1!$B$3:$K$124,2,FALSE),"")</f>
        <v>0.49499999999999983</v>
      </c>
      <c r="I54" s="252" t="s">
        <v>225</v>
      </c>
      <c r="J54" s="254" t="s">
        <v>1890</v>
      </c>
      <c r="K54" s="260">
        <f t="shared" si="1"/>
        <v>31.948710236666667</v>
      </c>
    </row>
    <row r="55" spans="1:11" x14ac:dyDescent="0.2">
      <c r="A55" s="186">
        <v>83</v>
      </c>
      <c r="B55" s="304">
        <f>IFERROR(VLOOKUP(A55,[3]Hoja1!$B$3:$I$1048576,5,FALSE),"")</f>
        <v>35.577333333333335</v>
      </c>
      <c r="C55" s="305">
        <f>IFERROR(VLOOKUP(A55,[3]Hoja1!$B$3:$K$124,9,FALSE),"")</f>
        <v>1500</v>
      </c>
      <c r="D55" s="305">
        <f>IFERROR(VLOOKUP(A55,[3]Hoja1!$B$3:$I$1048576,8,FALSE),"")</f>
        <v>53366</v>
      </c>
      <c r="E55" s="305">
        <f>IFERROR(VLOOKUP(A55,[3]Hoja1!$B$3:$K$124,10,FALSE),"")</f>
        <v>1483.5748000000001</v>
      </c>
      <c r="F55" s="243" t="s">
        <v>286</v>
      </c>
      <c r="G55" s="304">
        <f>IFERROR(VLOOKUP(A55,[3]Hoja1!$B$3:$K$124,3,FALSE),"")</f>
        <v>0.95</v>
      </c>
      <c r="H55" s="304">
        <f>IFERROR(VLOOKUP(A55,[3]Hoja1!$B$3:$K$124,2,FALSE),"")</f>
        <v>0.43999999999999995</v>
      </c>
      <c r="I55" s="252" t="s">
        <v>225</v>
      </c>
      <c r="J55" s="254" t="s">
        <v>1890</v>
      </c>
      <c r="K55" s="260">
        <f t="shared" si="1"/>
        <v>33.79846666666667</v>
      </c>
    </row>
    <row r="56" spans="1:11" x14ac:dyDescent="0.2">
      <c r="A56" s="186">
        <v>84</v>
      </c>
      <c r="B56" s="304">
        <f>IFERROR(VLOOKUP(A56,[3]Hoja1!$B$3:$I$1048576,5,FALSE),"")</f>
        <v>35.71866666666665</v>
      </c>
      <c r="C56" s="305">
        <f>IFERROR(VLOOKUP(A56,[3]Hoja1!$B$3:$K$124,9,FALSE),"")</f>
        <v>1384</v>
      </c>
      <c r="D56" s="305">
        <f>IFERROR(VLOOKUP(A56,[3]Hoja1!$B$3:$I$1048576,8,FALSE),"")</f>
        <v>49434.634666666665</v>
      </c>
      <c r="E56" s="305">
        <f>IFERROR(VLOOKUP(A56,[3]Hoja1!$B$3:$K$124,10,FALSE),"")</f>
        <v>1500.1840000000002</v>
      </c>
      <c r="F56" s="243" t="s">
        <v>286</v>
      </c>
      <c r="G56" s="304">
        <f>IFERROR(VLOOKUP(A56,[3]Hoja1!$B$3:$K$124,3,FALSE),"")</f>
        <v>0.89999999999999936</v>
      </c>
      <c r="H56" s="304">
        <f>IFERROR(VLOOKUP(A56,[3]Hoja1!$B$3:$K$124,2,FALSE),"")</f>
        <v>0.5</v>
      </c>
      <c r="I56" s="252" t="s">
        <v>225</v>
      </c>
      <c r="J56" s="254" t="s">
        <v>1890</v>
      </c>
      <c r="K56" s="260">
        <f t="shared" si="1"/>
        <v>32.146799999999963</v>
      </c>
    </row>
    <row r="57" spans="1:11" x14ac:dyDescent="0.2">
      <c r="A57" s="186">
        <v>301</v>
      </c>
      <c r="B57" s="304">
        <f>IFERROR(VLOOKUP(A57,[3]Hoja1!$B$3:$I$1048576,5,FALSE),"")</f>
        <v>47.570666666666654</v>
      </c>
      <c r="C57" s="305">
        <f>IFERROR(VLOOKUP(A57,[3]Hoja1!$B$3:$K$124,9,FALSE),"")</f>
        <v>1250</v>
      </c>
      <c r="D57" s="305">
        <f>IFERROR(VLOOKUP(A57,[3]Hoja1!$B$3:$I$1048576,8,FALSE),"")</f>
        <v>59463.333333333285</v>
      </c>
      <c r="E57" s="305">
        <f>IFERROR(VLOOKUP(A57,[3]Hoja1!$B$3:$K$124,10,FALSE),"")</f>
        <v>1898.0696000000012</v>
      </c>
      <c r="F57" s="243" t="s">
        <v>1891</v>
      </c>
      <c r="G57" s="304">
        <f>IFERROR(VLOOKUP(A57,[3]Hoja1!$B$3:$K$124,3,FALSE),"")</f>
        <v>0.79999999999999971</v>
      </c>
      <c r="H57" s="304">
        <f>IFERROR(VLOOKUP(A57,[3]Hoja1!$B$3:$K$124,2,FALSE),"")</f>
        <v>0.53000000000000025</v>
      </c>
      <c r="I57" s="252" t="s">
        <v>287</v>
      </c>
      <c r="J57" s="254" t="s">
        <v>287</v>
      </c>
      <c r="K57" s="260">
        <f t="shared" si="1"/>
        <v>38.056533333333306</v>
      </c>
    </row>
    <row r="58" spans="1:11" x14ac:dyDescent="0.2">
      <c r="A58" s="186">
        <v>302</v>
      </c>
      <c r="B58" s="304" t="str">
        <f>IFERROR(VLOOKUP(A58,[3]Hoja1!$B$3:$I$1048576,5,FALSE),"")</f>
        <v/>
      </c>
      <c r="C58" s="305" t="str">
        <f>IFERROR(VLOOKUP(A58,[3]Hoja1!$B$3:$K$124,9,FALSE),"")</f>
        <v/>
      </c>
      <c r="D58" s="305" t="str">
        <f>IFERROR(VLOOKUP(A58,[3]Hoja1!$B$3:$I$1048576,8,FALSE),"")</f>
        <v/>
      </c>
      <c r="E58" s="305" t="str">
        <f>IFERROR(VLOOKUP(A58,[3]Hoja1!$B$3:$K$124,10,FALSE),"")</f>
        <v/>
      </c>
      <c r="F58" s="243" t="s">
        <v>286</v>
      </c>
      <c r="G58" s="304" t="str">
        <f>IFERROR(VLOOKUP(A58,[3]Hoja1!$B$3:$K$124,3,FALSE),"")</f>
        <v/>
      </c>
      <c r="H58" s="304" t="str">
        <f>IFERROR(VLOOKUP(A58,[3]Hoja1!$B$3:$K$124,2,FALSE),"")</f>
        <v/>
      </c>
      <c r="I58" s="252" t="s">
        <v>287</v>
      </c>
      <c r="J58" s="254" t="s">
        <v>287</v>
      </c>
      <c r="K58" s="260" t="e">
        <f t="shared" si="1"/>
        <v>#VALUE!</v>
      </c>
    </row>
    <row r="59" spans="1:11" x14ac:dyDescent="0.2">
      <c r="A59" s="186">
        <v>305</v>
      </c>
      <c r="B59" s="304">
        <f>IFERROR(VLOOKUP(A59,[3]Hoja1!$B$3:$I$1048576,5,FALSE),"")</f>
        <v>57.386000000000045</v>
      </c>
      <c r="C59" s="305">
        <f>IFERROR(VLOOKUP(A59,[3]Hoja1!$B$3:$K$124,9,FALSE),"")</f>
        <v>1500</v>
      </c>
      <c r="D59" s="305">
        <f>IFERROR(VLOOKUP(A59,[3]Hoja1!$B$3:$I$1048576,8,FALSE),"")</f>
        <v>86079.000000000015</v>
      </c>
      <c r="E59" s="305">
        <f>IFERROR(VLOOKUP(A59,[3]Hoja1!$B$3:$K$124,10,FALSE),"")</f>
        <v>2324.1330000000007</v>
      </c>
      <c r="F59" s="243" t="s">
        <v>286</v>
      </c>
      <c r="G59" s="304">
        <f>IFERROR(VLOOKUP(A59,[3]Hoja1!$B$3:$K$124,3,FALSE),"")</f>
        <v>0.95000000000000084</v>
      </c>
      <c r="H59" s="304">
        <f>IFERROR(VLOOKUP(A59,[3]Hoja1!$B$3:$K$124,2,FALSE),"")</f>
        <v>0.39999999999999974</v>
      </c>
      <c r="I59" s="252" t="s">
        <v>287</v>
      </c>
      <c r="J59" s="254" t="s">
        <v>287</v>
      </c>
      <c r="K59" s="260">
        <f t="shared" si="1"/>
        <v>54.516700000000093</v>
      </c>
    </row>
    <row r="60" spans="1:11" x14ac:dyDescent="0.2">
      <c r="A60" s="186">
        <v>306</v>
      </c>
      <c r="B60" s="304">
        <f>IFERROR(VLOOKUP(A60,[3]Hoja1!$B$3:$I$1048576,5,FALSE),"")</f>
        <v>55.387000000000064</v>
      </c>
      <c r="C60" s="305">
        <f>IFERROR(VLOOKUP(A60,[3]Hoja1!$B$3:$K$124,9,FALSE),"")</f>
        <v>1500</v>
      </c>
      <c r="D60" s="305">
        <f>IFERROR(VLOOKUP(A60,[3]Hoja1!$B$3:$I$1048576,8,FALSE),"")</f>
        <v>82660.5</v>
      </c>
      <c r="E60" s="305">
        <f>IFERROR(VLOOKUP(A60,[3]Hoja1!$B$3:$K$124,10,FALSE),"")</f>
        <v>2226.5573999999997</v>
      </c>
      <c r="F60" s="243" t="s">
        <v>286</v>
      </c>
      <c r="G60" s="304">
        <f>IFERROR(VLOOKUP(A60,[3]Hoja1!$B$3:$K$124,3,FALSE),"")</f>
        <v>0.95000000000000084</v>
      </c>
      <c r="H60" s="304">
        <f>IFERROR(VLOOKUP(A60,[3]Hoja1!$B$3:$K$124,2,FALSE),"")</f>
        <v>0.39000000000000029</v>
      </c>
      <c r="I60" s="252" t="s">
        <v>287</v>
      </c>
      <c r="J60" s="254" t="s">
        <v>287</v>
      </c>
      <c r="K60" s="260">
        <f t="shared" si="1"/>
        <v>52.617650000000111</v>
      </c>
    </row>
    <row r="61" spans="1:11" x14ac:dyDescent="0.2">
      <c r="A61" s="186">
        <v>307</v>
      </c>
      <c r="B61" s="304">
        <f>IFERROR(VLOOKUP(A61,[3]Hoja1!$B$3:$I$1048576,5,FALSE),"")</f>
        <v>54.782669099999964</v>
      </c>
      <c r="C61" s="305">
        <f>IFERROR(VLOOKUP(A61,[3]Hoja1!$B$3:$K$124,9,FALSE),"")</f>
        <v>1500</v>
      </c>
      <c r="D61" s="305">
        <f>IFERROR(VLOOKUP(A61,[3]Hoja1!$B$3:$I$1048576,8,FALSE),"")</f>
        <v>80000.47365</v>
      </c>
      <c r="E61" s="305">
        <f>IFERROR(VLOOKUP(A61,[3]Hoja1!$B$3:$K$124,10,FALSE),"")</f>
        <v>2202.2632978200008</v>
      </c>
      <c r="F61" s="243" t="s">
        <v>286</v>
      </c>
      <c r="G61" s="304">
        <f>IFERROR(VLOOKUP(A61,[3]Hoja1!$B$3:$K$124,3,FALSE),"")</f>
        <v>0.95000000000000073</v>
      </c>
      <c r="H61" s="304">
        <f>IFERROR(VLOOKUP(A61,[3]Hoja1!$B$3:$K$124,2,FALSE),"")</f>
        <v>0.39000000000000029</v>
      </c>
      <c r="I61" s="252" t="s">
        <v>287</v>
      </c>
      <c r="J61" s="254" t="s">
        <v>287</v>
      </c>
      <c r="K61" s="260">
        <f t="shared" si="1"/>
        <v>52.043535645000006</v>
      </c>
    </row>
    <row r="62" spans="1:11" x14ac:dyDescent="0.2">
      <c r="A62" s="186">
        <v>308</v>
      </c>
      <c r="B62" s="304">
        <f>IFERROR(VLOOKUP(A62,[3]Hoja1!$B$3:$I$1048576,5,FALSE),"")</f>
        <v>39.245488360000039</v>
      </c>
      <c r="C62" s="305">
        <f>IFERROR(VLOOKUP(A62,[3]Hoja1!$B$3:$K$124,9,FALSE),"")</f>
        <v>1650</v>
      </c>
      <c r="D62" s="305">
        <f>IFERROR(VLOOKUP(A62,[3]Hoja1!$B$3:$I$1048576,8,FALSE),"")</f>
        <v>64755.055793999993</v>
      </c>
      <c r="E62" s="305">
        <f>IFERROR(VLOOKUP(A62,[3]Hoja1!$B$3:$K$124,10,FALSE),"")</f>
        <v>1860.2361482640008</v>
      </c>
      <c r="F62" s="243" t="s">
        <v>286</v>
      </c>
      <c r="G62" s="304">
        <f>IFERROR(VLOOKUP(A62,[3]Hoja1!$B$3:$K$124,3,FALSE),"")</f>
        <v>1.1000000000000008</v>
      </c>
      <c r="H62" s="304">
        <f>IFERROR(VLOOKUP(A62,[3]Hoja1!$B$3:$K$124,2,FALSE),"")</f>
        <v>0.48000000000000032</v>
      </c>
      <c r="I62" s="252" t="s">
        <v>287</v>
      </c>
      <c r="J62" s="254" t="s">
        <v>287</v>
      </c>
      <c r="K62" s="260">
        <f t="shared" si="1"/>
        <v>43.170037196000074</v>
      </c>
    </row>
    <row r="63" spans="1:11" x14ac:dyDescent="0.2">
      <c r="A63" s="186">
        <v>309</v>
      </c>
      <c r="B63" s="304">
        <f>IFERROR(VLOOKUP(A63,[3]Hoja1!$B$3:$I$1048576,5,FALSE),"")</f>
        <v>50.470999999999968</v>
      </c>
      <c r="C63" s="305">
        <f>IFERROR(VLOOKUP(A63,[3]Hoja1!$B$3:$K$124,9,FALSE),"")</f>
        <v>1384</v>
      </c>
      <c r="D63" s="305">
        <f>IFERROR(VLOOKUP(A63,[3]Hoja1!$B$3:$I$1048576,8,FALSE),"")</f>
        <v>69851.864000000045</v>
      </c>
      <c r="E63" s="305">
        <f>IFERROR(VLOOKUP(A63,[3]Hoja1!$B$3:$K$124,10,FALSE),"")</f>
        <v>2013.7928999999976</v>
      </c>
      <c r="F63" s="243" t="s">
        <v>286</v>
      </c>
      <c r="G63" s="304">
        <f>IFERROR(VLOOKUP(A63,[3]Hoja1!$B$3:$K$124,3,FALSE),"")</f>
        <v>0.89999999999999913</v>
      </c>
      <c r="H63" s="304">
        <f>IFERROR(VLOOKUP(A63,[3]Hoja1!$B$3:$K$124,2,FALSE),"")</f>
        <v>0.42999999999999977</v>
      </c>
      <c r="I63" s="252" t="s">
        <v>287</v>
      </c>
      <c r="J63" s="254" t="s">
        <v>287</v>
      </c>
      <c r="K63" s="260">
        <f t="shared" si="1"/>
        <v>45.423899999999925</v>
      </c>
    </row>
    <row r="64" spans="1:11" x14ac:dyDescent="0.2">
      <c r="A64" s="186">
        <v>310</v>
      </c>
      <c r="B64" s="304">
        <f>IFERROR(VLOOKUP(A64,[3]Hoja1!$B$3:$I$1048576,5,FALSE),"")</f>
        <v>41.524000000000008</v>
      </c>
      <c r="C64" s="305">
        <f>IFERROR(VLOOKUP(A64,[3]Hoja1!$B$3:$K$124,9,FALSE),"")</f>
        <v>1384</v>
      </c>
      <c r="D64" s="305">
        <f>IFERROR(VLOOKUP(A64,[3]Hoja1!$B$3:$I$1048576,8,FALSE),"")</f>
        <v>56992.515999999967</v>
      </c>
      <c r="E64" s="305">
        <f>IFERROR(VLOOKUP(A64,[3]Hoja1!$B$3:$K$124,10,FALSE),"")</f>
        <v>1656.8075999999992</v>
      </c>
      <c r="F64" s="243" t="s">
        <v>286</v>
      </c>
      <c r="G64" s="304">
        <f>IFERROR(VLOOKUP(A64,[3]Hoja1!$B$3:$K$124,3,FALSE),"")</f>
        <v>0.89999999999999925</v>
      </c>
      <c r="H64" s="304">
        <f>IFERROR(VLOOKUP(A64,[3]Hoja1!$B$3:$K$124,2,FALSE),"")</f>
        <v>0.42999999999999983</v>
      </c>
      <c r="I64" s="252" t="s">
        <v>287</v>
      </c>
      <c r="J64" s="254" t="s">
        <v>287</v>
      </c>
      <c r="K64" s="260">
        <f t="shared" si="1"/>
        <v>37.371599999999972</v>
      </c>
    </row>
    <row r="65" spans="1:11" x14ac:dyDescent="0.2">
      <c r="A65" s="186">
        <v>311</v>
      </c>
      <c r="B65" s="304" t="str">
        <f>IFERROR(VLOOKUP(A65,[3]Hoja1!$B$3:$I$1048576,5,FALSE),"")</f>
        <v/>
      </c>
      <c r="C65" s="305" t="str">
        <f>IFERROR(VLOOKUP(A65,[3]Hoja1!$B$3:$K$124,9,FALSE),"")</f>
        <v/>
      </c>
      <c r="D65" s="305" t="str">
        <f>IFERROR(VLOOKUP(A65,[3]Hoja1!$B$3:$I$1048576,8,FALSE),"")</f>
        <v/>
      </c>
      <c r="E65" s="305" t="str">
        <f>IFERROR(VLOOKUP(A65,[3]Hoja1!$B$3:$K$124,10,FALSE),"")</f>
        <v/>
      </c>
      <c r="F65" s="243" t="s">
        <v>1891</v>
      </c>
      <c r="G65" s="304" t="str">
        <f>IFERROR(VLOOKUP(A65,[3]Hoja1!$B$3:$K$124,3,FALSE),"")</f>
        <v/>
      </c>
      <c r="H65" s="304" t="str">
        <f>IFERROR(VLOOKUP(A65,[3]Hoja1!$B$3:$K$124,2,FALSE),"")</f>
        <v/>
      </c>
      <c r="I65" s="252" t="s">
        <v>287</v>
      </c>
      <c r="J65" s="254" t="s">
        <v>287</v>
      </c>
      <c r="K65" s="260" t="e">
        <f t="shared" si="1"/>
        <v>#VALUE!</v>
      </c>
    </row>
    <row r="66" spans="1:11" x14ac:dyDescent="0.2">
      <c r="A66" s="186">
        <v>312</v>
      </c>
      <c r="B66" s="304" t="str">
        <f>IFERROR(VLOOKUP(A66,[3]Hoja1!$B$3:$I$1048576,5,FALSE),"")</f>
        <v/>
      </c>
      <c r="C66" s="305" t="str">
        <f>IFERROR(VLOOKUP(A66,[3]Hoja1!$B$3:$K$124,9,FALSE),"")</f>
        <v/>
      </c>
      <c r="D66" s="305" t="str">
        <f>IFERROR(VLOOKUP(A66,[3]Hoja1!$B$3:$I$1048576,8,FALSE),"")</f>
        <v/>
      </c>
      <c r="E66" s="305" t="str">
        <f>IFERROR(VLOOKUP(A66,[3]Hoja1!$B$3:$K$124,10,FALSE),"")</f>
        <v/>
      </c>
      <c r="F66" s="243" t="s">
        <v>286</v>
      </c>
      <c r="G66" s="304" t="str">
        <f>IFERROR(VLOOKUP(A66,[3]Hoja1!$B$3:$K$124,3,FALSE),"")</f>
        <v/>
      </c>
      <c r="H66" s="304" t="str">
        <f>IFERROR(VLOOKUP(A66,[3]Hoja1!$B$3:$K$124,2,FALSE),"")</f>
        <v/>
      </c>
      <c r="I66" s="252" t="s">
        <v>287</v>
      </c>
      <c r="J66" s="254" t="s">
        <v>287</v>
      </c>
      <c r="K66" s="260" t="e">
        <f t="shared" si="1"/>
        <v>#VALUE!</v>
      </c>
    </row>
    <row r="67" spans="1:11" s="267" customFormat="1" x14ac:dyDescent="0.2">
      <c r="A67" s="263">
        <v>313</v>
      </c>
      <c r="B67" s="304">
        <f>IFERROR(VLOOKUP(A67,[3]Hoja1!$B$3:$I$1048576,5,FALSE),"")</f>
        <v>41.626666666666665</v>
      </c>
      <c r="C67" s="305">
        <f>IFERROR(VLOOKUP(A67,[3]Hoja1!$B$3:$K$124,9,FALSE),"")</f>
        <v>1384</v>
      </c>
      <c r="D67" s="305">
        <f>IFERROR(VLOOKUP(A67,[3]Hoja1!$B$3:$I$1048576,8,FALSE),"")</f>
        <v>57108.586666666648</v>
      </c>
      <c r="E67" s="305">
        <f>IFERROR(VLOOKUP(A67,[3]Hoja1!$B$3:$K$124,10,FALSE),"")</f>
        <v>1673.392000000001</v>
      </c>
      <c r="F67" s="264" t="str">
        <f t="shared" ref="F67" si="2">IF(EU67="XL","XL",IF(EU67="XLFS","XL",IF(EU67="DNM","XL",IF(EU67="BSS","XL",IF(EU67=6025,"XL",IF(EU67="MS","MS",IF(EU67="AND","MS",IF(EU67="CLO","MS",IF(EU67="CV","CV","")))))))))</f>
        <v/>
      </c>
      <c r="G67" s="304">
        <f>IFERROR(VLOOKUP(A67,[3]Hoja1!$B$3:$K$124,3,FALSE),"")</f>
        <v>0.89999999999999925</v>
      </c>
      <c r="H67" s="304">
        <f>IFERROR(VLOOKUP(A67,[3]Hoja1!$B$3:$K$124,2,FALSE),"")</f>
        <v>0.43999999999999995</v>
      </c>
      <c r="I67" s="265" t="s">
        <v>287</v>
      </c>
      <c r="J67" s="265" t="s">
        <v>287</v>
      </c>
      <c r="K67" s="266">
        <f t="shared" si="1"/>
        <v>37.46399999999997</v>
      </c>
    </row>
    <row r="68" spans="1:11" x14ac:dyDescent="0.2">
      <c r="A68" s="186">
        <v>315</v>
      </c>
      <c r="B68" s="304">
        <f>IFERROR(VLOOKUP(A68,[3]Hoja1!$B$3:$I$1048576,5,FALSE),"")</f>
        <v>43.295666666666619</v>
      </c>
      <c r="C68" s="305">
        <f>IFERROR(VLOOKUP(A68,[3]Hoja1!$B$3:$K$124,9,FALSE),"")</f>
        <v>1500</v>
      </c>
      <c r="D68" s="305">
        <f>IFERROR(VLOOKUP(A68,[3]Hoja1!$B$3:$I$1048576,8,FALSE),"")</f>
        <v>64943.5</v>
      </c>
      <c r="E68" s="305">
        <f>IFERROR(VLOOKUP(A68,[3]Hoja1!$B$3:$K$124,10,FALSE),"")</f>
        <v>1727.4970999999985</v>
      </c>
      <c r="F68" s="243" t="s">
        <v>286</v>
      </c>
      <c r="G68" s="304">
        <f>IFERROR(VLOOKUP(A68,[3]Hoja1!$B$3:$K$124,3,FALSE),"")</f>
        <v>0.95000000000000029</v>
      </c>
      <c r="H68" s="304">
        <f>IFERROR(VLOOKUP(A68,[3]Hoja1!$B$3:$K$124,2,FALSE),"")</f>
        <v>0.38000000000000028</v>
      </c>
      <c r="I68" s="252" t="s">
        <v>287</v>
      </c>
      <c r="J68" s="254" t="s">
        <v>287</v>
      </c>
      <c r="K68" s="260">
        <f t="shared" si="1"/>
        <v>41.130883333333301</v>
      </c>
    </row>
    <row r="69" spans="1:11" x14ac:dyDescent="0.2">
      <c r="A69" s="186">
        <v>316</v>
      </c>
      <c r="B69" s="304">
        <f>IFERROR(VLOOKUP(A69,[3]Hoja1!$B$3:$I$1048576,5,FALSE),"")</f>
        <v>43.766166666666678</v>
      </c>
      <c r="C69" s="305">
        <f>IFERROR(VLOOKUP(A69,[3]Hoja1!$B$3:$K$124,9,FALSE),"")</f>
        <v>1500</v>
      </c>
      <c r="D69" s="305">
        <f>IFERROR(VLOOKUP(A69,[3]Hoja1!$B$3:$I$1048576,8,FALSE),"")</f>
        <v>65649.25</v>
      </c>
      <c r="E69" s="305">
        <f>IFERROR(VLOOKUP(A69,[3]Hoja1!$B$3:$K$124,10,FALSE),"")</f>
        <v>1733.1401999999996</v>
      </c>
      <c r="F69" s="243" t="s">
        <v>286</v>
      </c>
      <c r="G69" s="304">
        <f>IFERROR(VLOOKUP(A69,[3]Hoja1!$B$3:$K$124,3,FALSE),"")</f>
        <v>0.95000000000000029</v>
      </c>
      <c r="H69" s="304">
        <f>IFERROR(VLOOKUP(A69,[3]Hoja1!$B$3:$K$124,2,FALSE),"")</f>
        <v>0.36999999999999961</v>
      </c>
      <c r="I69" s="252" t="s">
        <v>287</v>
      </c>
      <c r="J69" s="254" t="s">
        <v>287</v>
      </c>
      <c r="K69" s="260">
        <f t="shared" si="1"/>
        <v>41.577858333333353</v>
      </c>
    </row>
    <row r="70" spans="1:11" x14ac:dyDescent="0.2">
      <c r="A70" s="186" t="s">
        <v>1883</v>
      </c>
      <c r="B70" s="304" t="str">
        <f>IFERROR(VLOOKUP(A70,[3]Hoja1!$B$3:$I$1048576,5,FALSE),"")</f>
        <v/>
      </c>
      <c r="C70" s="305" t="str">
        <f>IFERROR(VLOOKUP(A70,[3]Hoja1!$B$3:$K$124,9,FALSE),"")</f>
        <v/>
      </c>
      <c r="D70" s="305" t="str">
        <f>IFERROR(VLOOKUP(A70,[3]Hoja1!$B$3:$I$1048576,8,FALSE),"")</f>
        <v/>
      </c>
      <c r="E70" s="305" t="str">
        <f>IFERROR(VLOOKUP(A70,[3]Hoja1!$B$3:$K$124,10,FALSE),"")</f>
        <v/>
      </c>
      <c r="F70" s="243" t="s">
        <v>286</v>
      </c>
      <c r="G70" s="304" t="str">
        <f>IFERROR(VLOOKUP(A70,[3]Hoja1!$B$3:$K$124,3,FALSE),"")</f>
        <v/>
      </c>
      <c r="H70" s="304" t="str">
        <f>IFERROR(VLOOKUP(A70,[3]Hoja1!$B$3:$K$124,2,FALSE),"")</f>
        <v/>
      </c>
      <c r="I70" s="252" t="s">
        <v>287</v>
      </c>
      <c r="J70" s="254" t="s">
        <v>287</v>
      </c>
      <c r="K70" s="260" t="e">
        <f t="shared" si="1"/>
        <v>#VALUE!</v>
      </c>
    </row>
    <row r="71" spans="1:11" x14ac:dyDescent="0.2">
      <c r="A71" s="186" t="s">
        <v>1884</v>
      </c>
      <c r="B71" s="304" t="str">
        <f>IFERROR(VLOOKUP(A71,[3]Hoja1!$B$3:$I$1048576,5,FALSE),"")</f>
        <v/>
      </c>
      <c r="C71" s="305" t="str">
        <f>IFERROR(VLOOKUP(A71,[3]Hoja1!$B$3:$K$124,9,FALSE),"")</f>
        <v/>
      </c>
      <c r="D71" s="305" t="str">
        <f>IFERROR(VLOOKUP(A71,[3]Hoja1!$B$3:$I$1048576,8,FALSE),"")</f>
        <v/>
      </c>
      <c r="E71" s="305" t="str">
        <f>IFERROR(VLOOKUP(A71,[3]Hoja1!$B$3:$K$124,10,FALSE),"")</f>
        <v/>
      </c>
      <c r="F71" s="243" t="s">
        <v>286</v>
      </c>
      <c r="G71" s="304" t="str">
        <f>IFERROR(VLOOKUP(A71,[3]Hoja1!$B$3:$K$124,3,FALSE),"")</f>
        <v/>
      </c>
      <c r="H71" s="304" t="str">
        <f>IFERROR(VLOOKUP(A71,[3]Hoja1!$B$3:$K$124,2,FALSE),"")</f>
        <v/>
      </c>
      <c r="I71" s="252" t="s">
        <v>287</v>
      </c>
      <c r="J71" s="254" t="s">
        <v>287</v>
      </c>
      <c r="K71" s="260" t="e">
        <f t="shared" si="1"/>
        <v>#VALUE!</v>
      </c>
    </row>
    <row r="72" spans="1:11" x14ac:dyDescent="0.2">
      <c r="A72" s="186">
        <v>317</v>
      </c>
      <c r="B72" s="304">
        <f>IFERROR(VLOOKUP(A72,[3]Hoja1!$B$3:$I$1048576,5,FALSE),"")</f>
        <v>45.509999999999991</v>
      </c>
      <c r="C72" s="305">
        <f>IFERROR(VLOOKUP(A72,[3]Hoja1!$B$3:$K$124,9,FALSE),"")</f>
        <v>1500</v>
      </c>
      <c r="D72" s="305">
        <f>IFERROR(VLOOKUP(A72,[3]Hoja1!$B$3:$I$1048576,8,FALSE),"")</f>
        <v>68265</v>
      </c>
      <c r="E72" s="305">
        <f>IFERROR(VLOOKUP(A72,[3]Hoja1!$B$3:$K$124,10,FALSE),"")</f>
        <v>1829.5019999999988</v>
      </c>
      <c r="F72" s="243" t="s">
        <v>286</v>
      </c>
      <c r="G72" s="304">
        <f>IFERROR(VLOOKUP(A72,[3]Hoja1!$B$3:$K$124,3,FALSE),"")</f>
        <v>0.95000000000000029</v>
      </c>
      <c r="H72" s="304">
        <f>IFERROR(VLOOKUP(A72,[3]Hoja1!$B$3:$K$124,2,FALSE),"")</f>
        <v>0.39000000000000024</v>
      </c>
      <c r="I72" s="252" t="s">
        <v>287</v>
      </c>
      <c r="J72" s="254" t="s">
        <v>287</v>
      </c>
      <c r="K72" s="260">
        <f t="shared" si="1"/>
        <v>43.234500000000004</v>
      </c>
    </row>
    <row r="73" spans="1:11" x14ac:dyDescent="0.2">
      <c r="A73" s="186" t="s">
        <v>1881</v>
      </c>
      <c r="B73" s="304" t="str">
        <f>IFERROR(VLOOKUP(A73,[3]Hoja1!$B$3:$I$1048576,5,FALSE),"")</f>
        <v/>
      </c>
      <c r="C73" s="305" t="str">
        <f>IFERROR(VLOOKUP(A73,[3]Hoja1!$B$3:$K$124,9,FALSE),"")</f>
        <v/>
      </c>
      <c r="D73" s="305" t="str">
        <f>IFERROR(VLOOKUP(A73,[3]Hoja1!$B$3:$I$1048576,8,FALSE),"")</f>
        <v/>
      </c>
      <c r="E73" s="305" t="str">
        <f>IFERROR(VLOOKUP(A73,[3]Hoja1!$B$3:$K$124,10,FALSE),"")</f>
        <v/>
      </c>
      <c r="F73" s="243" t="s">
        <v>1889</v>
      </c>
      <c r="G73" s="304" t="str">
        <f>IFERROR(VLOOKUP(A73,[3]Hoja1!$B$3:$K$124,3,FALSE),"")</f>
        <v/>
      </c>
      <c r="H73" s="304" t="str">
        <f>IFERROR(VLOOKUP(A73,[3]Hoja1!$B$3:$K$124,2,FALSE),"")</f>
        <v/>
      </c>
      <c r="I73" s="252" t="s">
        <v>287</v>
      </c>
      <c r="J73" s="254" t="s">
        <v>287</v>
      </c>
      <c r="K73" s="260" t="e">
        <f t="shared" si="1"/>
        <v>#VALUE!</v>
      </c>
    </row>
    <row r="74" spans="1:11" x14ac:dyDescent="0.2">
      <c r="A74" s="186" t="s">
        <v>1882</v>
      </c>
      <c r="B74" s="304" t="str">
        <f>IFERROR(VLOOKUP(A74,[3]Hoja1!$B$3:$I$1048576,5,FALSE),"")</f>
        <v/>
      </c>
      <c r="C74" s="305" t="str">
        <f>IFERROR(VLOOKUP(A74,[3]Hoja1!$B$3:$K$124,9,FALSE),"")</f>
        <v/>
      </c>
      <c r="D74" s="305" t="str">
        <f>IFERROR(VLOOKUP(A74,[3]Hoja1!$B$3:$I$1048576,8,FALSE),"")</f>
        <v/>
      </c>
      <c r="E74" s="305" t="str">
        <f>IFERROR(VLOOKUP(A74,[3]Hoja1!$B$3:$K$124,10,FALSE),"")</f>
        <v/>
      </c>
      <c r="F74" s="243" t="s">
        <v>1889</v>
      </c>
      <c r="G74" s="304" t="str">
        <f>IFERROR(VLOOKUP(A74,[3]Hoja1!$B$3:$K$124,3,FALSE),"")</f>
        <v/>
      </c>
      <c r="H74" s="304" t="str">
        <f>IFERROR(VLOOKUP(A74,[3]Hoja1!$B$3:$K$124,2,FALSE),"")</f>
        <v/>
      </c>
      <c r="I74" s="252" t="s">
        <v>287</v>
      </c>
      <c r="J74" s="254" t="s">
        <v>287</v>
      </c>
      <c r="K74" s="260" t="e">
        <f t="shared" si="1"/>
        <v>#VALUE!</v>
      </c>
    </row>
    <row r="75" spans="1:11" x14ac:dyDescent="0.2">
      <c r="A75" s="186">
        <v>318</v>
      </c>
      <c r="B75" s="304">
        <f>IFERROR(VLOOKUP(A75,[3]Hoja1!$B$3:$I$1048576,5,FALSE),"")</f>
        <v>45.371333333333318</v>
      </c>
      <c r="C75" s="305">
        <f>IFERROR(VLOOKUP(A75,[3]Hoja1!$B$3:$K$124,9,FALSE),"")</f>
        <v>1500</v>
      </c>
      <c r="D75" s="305">
        <f>IFERROR(VLOOKUP(A75,[3]Hoja1!$B$3:$I$1048576,8,FALSE),"")</f>
        <v>68056.999999999985</v>
      </c>
      <c r="E75" s="305">
        <f>IFERROR(VLOOKUP(A75,[3]Hoja1!$B$3:$K$124,10,FALSE),"")</f>
        <v>1810.3162</v>
      </c>
      <c r="F75" s="243" t="s">
        <v>286</v>
      </c>
      <c r="G75" s="304">
        <f>IFERROR(VLOOKUP(A75,[3]Hoja1!$B$3:$K$124,3,FALSE),"")</f>
        <v>0.95000000000000029</v>
      </c>
      <c r="H75" s="304">
        <f>IFERROR(VLOOKUP(A75,[3]Hoja1!$B$3:$K$124,2,FALSE),"")</f>
        <v>0.38000000000000028</v>
      </c>
      <c r="I75" s="252" t="s">
        <v>287</v>
      </c>
      <c r="J75" s="254" t="s">
        <v>287</v>
      </c>
      <c r="K75" s="260">
        <f t="shared" si="1"/>
        <v>43.102766666666668</v>
      </c>
    </row>
    <row r="76" spans="1:11" x14ac:dyDescent="0.2">
      <c r="A76" s="186">
        <v>319</v>
      </c>
      <c r="B76" s="304">
        <f>IFERROR(VLOOKUP(A76,[3]Hoja1!$B$3:$I$1048576,5,FALSE),"")</f>
        <v>36.899399999999993</v>
      </c>
      <c r="C76" s="305">
        <f>IFERROR(VLOOKUP(A76,[3]Hoja1!$B$3:$K$124,9,FALSE),"")</f>
        <v>1650</v>
      </c>
      <c r="D76" s="305">
        <f>IFERROR(VLOOKUP(A76,[3]Hoja1!$B$3:$I$1048576,8,FALSE),"")</f>
        <v>60474.013000000006</v>
      </c>
      <c r="E76" s="305">
        <f>IFERROR(VLOOKUP(A76,[3]Hoja1!$B$3:$K$124,10,FALSE),"")</f>
        <v>1756.2119837837838</v>
      </c>
      <c r="F76" s="243" t="s">
        <v>286</v>
      </c>
      <c r="G76" s="304">
        <f>IFERROR(VLOOKUP(A76,[3]Hoja1!$B$3:$K$124,3,FALSE),"")</f>
        <v>1.1000000000000008</v>
      </c>
      <c r="H76" s="304">
        <f>IFERROR(VLOOKUP(A76,[3]Hoja1!$B$3:$K$124,2,FALSE),"")</f>
        <v>0.48648648648648629</v>
      </c>
      <c r="I76" s="252" t="s">
        <v>287</v>
      </c>
      <c r="J76" s="254" t="s">
        <v>287</v>
      </c>
      <c r="K76" s="260">
        <f t="shared" si="1"/>
        <v>40.589340000000021</v>
      </c>
    </row>
    <row r="77" spans="1:11" x14ac:dyDescent="0.2">
      <c r="A77" s="186">
        <v>320</v>
      </c>
      <c r="B77" s="304">
        <f>IFERROR(VLOOKUP(A77,[3]Hoja1!$B$3:$I$1048576,5,FALSE),"")</f>
        <v>35.77800000000002</v>
      </c>
      <c r="C77" s="305">
        <f>IFERROR(VLOOKUP(A77,[3]Hoja1!$B$3:$K$124,9,FALSE),"")</f>
        <v>1384</v>
      </c>
      <c r="D77" s="305">
        <f>IFERROR(VLOOKUP(A77,[3]Hoja1!$B$3:$I$1048576,8,FALSE),"")</f>
        <v>49516.752</v>
      </c>
      <c r="E77" s="305">
        <f>IFERROR(VLOOKUP(A77,[3]Hoja1!$B$3:$K$124,10,FALSE),"")</f>
        <v>1427.542199999999</v>
      </c>
      <c r="F77" s="243" t="s">
        <v>286</v>
      </c>
      <c r="G77" s="304">
        <f>IFERROR(VLOOKUP(A77,[3]Hoja1!$B$3:$K$124,3,FALSE),"")</f>
        <v>0.89999999999999936</v>
      </c>
      <c r="H77" s="304">
        <f>IFERROR(VLOOKUP(A77,[3]Hoja1!$B$3:$K$124,2,FALSE),"")</f>
        <v>0.42999999999999983</v>
      </c>
      <c r="I77" s="252" t="s">
        <v>287</v>
      </c>
      <c r="J77" s="254" t="s">
        <v>287</v>
      </c>
      <c r="K77" s="260">
        <f t="shared" si="1"/>
        <v>32.200199999999995</v>
      </c>
    </row>
    <row r="78" spans="1:11" x14ac:dyDescent="0.2">
      <c r="A78" s="186">
        <v>321</v>
      </c>
      <c r="B78" s="304">
        <f>IFERROR(VLOOKUP(A78,[3]Hoja1!$B$3:$I$1048576,5,FALSE),"")</f>
        <v>35.382666666666687</v>
      </c>
      <c r="C78" s="305">
        <f>IFERROR(VLOOKUP(A78,[3]Hoja1!$B$3:$K$124,9,FALSE),"")</f>
        <v>1250</v>
      </c>
      <c r="D78" s="305">
        <f>IFERROR(VLOOKUP(A78,[3]Hoja1!$B$3:$I$1048576,8,FALSE),"")</f>
        <v>44228.33333333335</v>
      </c>
      <c r="E78" s="305">
        <f>IFERROR(VLOOKUP(A78,[3]Hoja1!$B$3:$K$124,10,FALSE),"")</f>
        <v>1379.9240000000007</v>
      </c>
      <c r="F78" s="243" t="s">
        <v>1889</v>
      </c>
      <c r="G78" s="304">
        <f>IFERROR(VLOOKUP(A78,[3]Hoja1!$B$3:$K$124,3,FALSE),"")</f>
        <v>0.84</v>
      </c>
      <c r="H78" s="304">
        <f>IFERROR(VLOOKUP(A78,[3]Hoja1!$B$3:$K$124,2,FALSE),"")</f>
        <v>0.46000000000000046</v>
      </c>
      <c r="I78" s="252" t="s">
        <v>287</v>
      </c>
      <c r="J78" s="254" t="s">
        <v>287</v>
      </c>
      <c r="K78" s="260">
        <f t="shared" si="1"/>
        <v>29.721440000000015</v>
      </c>
    </row>
    <row r="79" spans="1:11" x14ac:dyDescent="0.2">
      <c r="A79" s="186">
        <v>322</v>
      </c>
      <c r="B79" s="304">
        <f>IFERROR(VLOOKUP(A79,[3]Hoja1!$B$3:$I$1048576,5,FALSE),"")</f>
        <v>35.230899999999984</v>
      </c>
      <c r="C79" s="305">
        <f>IFERROR(VLOOKUP(A79,[3]Hoja1!$B$3:$K$124,9,FALSE),"")</f>
        <v>1384</v>
      </c>
      <c r="D79" s="305">
        <f>IFERROR(VLOOKUP(A79,[3]Hoja1!$B$3:$I$1048576,8,FALSE),"")</f>
        <v>48759.565599999987</v>
      </c>
      <c r="E79" s="305">
        <f>IFERROR(VLOOKUP(A79,[3]Hoja1!$B$3:$K$124,10,FALSE),"")</f>
        <v>1374.0051000000003</v>
      </c>
      <c r="F79" s="243" t="s">
        <v>1889</v>
      </c>
      <c r="G79" s="304">
        <f>IFERROR(VLOOKUP(A79,[3]Hoja1!$B$3:$K$124,3,FALSE),"")</f>
        <v>0.89999999999999936</v>
      </c>
      <c r="H79" s="304">
        <f>IFERROR(VLOOKUP(A79,[3]Hoja1!$B$3:$K$124,2,FALSE),"")</f>
        <v>0.40000000000000019</v>
      </c>
      <c r="I79" s="252" t="s">
        <v>287</v>
      </c>
      <c r="J79" s="254" t="s">
        <v>287</v>
      </c>
      <c r="K79" s="260">
        <f t="shared" si="1"/>
        <v>31.707809999999963</v>
      </c>
    </row>
    <row r="80" spans="1:11" x14ac:dyDescent="0.2">
      <c r="A80" s="186">
        <v>323</v>
      </c>
      <c r="B80" s="304">
        <f>IFERROR(VLOOKUP(A80,[3]Hoja1!$B$3:$I$1048576,5,FALSE),"")</f>
        <v>35.135999999999989</v>
      </c>
      <c r="C80" s="305">
        <f>IFERROR(VLOOKUP(A80,[3]Hoja1!$B$3:$K$124,9,FALSE),"")</f>
        <v>1384</v>
      </c>
      <c r="D80" s="305">
        <f>IFERROR(VLOOKUP(A80,[3]Hoja1!$B$3:$I$1048576,8,FALSE),"")</f>
        <v>48628.224000000009</v>
      </c>
      <c r="E80" s="305">
        <f>IFERROR(VLOOKUP(A80,[3]Hoja1!$B$3:$K$124,10,FALSE),"")</f>
        <v>1359.7632000000001</v>
      </c>
      <c r="F80" s="243" t="s">
        <v>286</v>
      </c>
      <c r="G80" s="304">
        <f>IFERROR(VLOOKUP(A80,[3]Hoja1!$B$3:$K$124,3,FALSE),"")</f>
        <v>0.89999999999999936</v>
      </c>
      <c r="H80" s="304">
        <f>IFERROR(VLOOKUP(A80,[3]Hoja1!$B$3:$K$124,2,FALSE),"")</f>
        <v>0.39000000000000018</v>
      </c>
      <c r="I80" s="252" t="s">
        <v>287</v>
      </c>
      <c r="J80" s="254" t="s">
        <v>287</v>
      </c>
      <c r="K80" s="260">
        <f t="shared" si="1"/>
        <v>31.622399999999967</v>
      </c>
    </row>
    <row r="81" spans="1:11" x14ac:dyDescent="0.2">
      <c r="A81" s="186">
        <v>324</v>
      </c>
      <c r="B81" s="304">
        <f>IFERROR(VLOOKUP(A81,[3]Hoja1!$B$3:$I$1048576,5,FALSE),"")</f>
        <v>28.144500000000008</v>
      </c>
      <c r="C81" s="305">
        <f>IFERROR(VLOOKUP(A81,[3]Hoja1!$B$3:$K$124,9,FALSE),"")</f>
        <v>1384</v>
      </c>
      <c r="D81" s="305">
        <f>IFERROR(VLOOKUP(A81,[3]Hoja1!$B$3:$I$1048576,8,FALSE),"")</f>
        <v>38951.987999999983</v>
      </c>
      <c r="E81" s="305">
        <f>IFERROR(VLOOKUP(A81,[3]Hoja1!$B$3:$K$124,10,FALSE),"")</f>
        <v>1089.1921500000003</v>
      </c>
      <c r="F81" s="243" t="s">
        <v>286</v>
      </c>
      <c r="G81" s="304">
        <f>IFERROR(VLOOKUP(A81,[3]Hoja1!$B$3:$K$124,3,FALSE),"")</f>
        <v>0.89999999999999958</v>
      </c>
      <c r="H81" s="304">
        <f>IFERROR(VLOOKUP(A81,[3]Hoja1!$B$3:$K$124,2,FALSE),"")</f>
        <v>0.39000000000000007</v>
      </c>
      <c r="I81" s="252" t="s">
        <v>287</v>
      </c>
      <c r="J81" s="254" t="s">
        <v>287</v>
      </c>
      <c r="K81" s="260">
        <f t="shared" si="1"/>
        <v>25.330049999999996</v>
      </c>
    </row>
    <row r="82" spans="1:11" x14ac:dyDescent="0.2">
      <c r="A82" s="186">
        <v>325</v>
      </c>
      <c r="B82" s="304">
        <f>IFERROR(VLOOKUP(A82,[3]Hoja1!$B$3:$I$1048576,5,FALSE),"")</f>
        <v>30.068999999999974</v>
      </c>
      <c r="C82" s="305">
        <f>IFERROR(VLOOKUP(A82,[3]Hoja1!$B$3:$K$124,9,FALSE),"")</f>
        <v>1636.6666666666667</v>
      </c>
      <c r="D82" s="305">
        <f>IFERROR(VLOOKUP(A82,[3]Hoja1!$B$3:$I$1048576,8,FALSE),"")</f>
        <v>49212.929999999964</v>
      </c>
      <c r="E82" s="305">
        <f>IFERROR(VLOOKUP(A82,[3]Hoja1!$B$3:$K$124,10,FALSE),"")</f>
        <v>1417.7533499999995</v>
      </c>
      <c r="F82" s="243" t="s">
        <v>286</v>
      </c>
      <c r="G82" s="304">
        <f>IFERROR(VLOOKUP(A82,[3]Hoja1!$B$3:$K$124,3,FALSE),"")</f>
        <v>1.0916666666666672</v>
      </c>
      <c r="H82" s="304">
        <f>IFERROR(VLOOKUP(A82,[3]Hoja1!$B$3:$K$124,2,FALSE),"")</f>
        <v>0.48000000000000032</v>
      </c>
      <c r="I82" s="252" t="s">
        <v>287</v>
      </c>
      <c r="J82" s="254" t="s">
        <v>287</v>
      </c>
      <c r="K82" s="260">
        <f t="shared" si="1"/>
        <v>32.825324999999985</v>
      </c>
    </row>
    <row r="83" spans="1:11" x14ac:dyDescent="0.2">
      <c r="A83" s="186">
        <v>326</v>
      </c>
      <c r="B83" s="304">
        <f>IFERROR(VLOOKUP(A83,[3]Hoja1!$B$3:$I$1048576,5,FALSE),"")</f>
        <v>36.730333333333327</v>
      </c>
      <c r="C83" s="305">
        <f>IFERROR(VLOOKUP(A83,[3]Hoja1!$B$3:$K$124,9,FALSE),"")</f>
        <v>1384</v>
      </c>
      <c r="D83" s="305">
        <f>IFERROR(VLOOKUP(A83,[3]Hoja1!$B$3:$I$1048576,8,FALSE),"")</f>
        <v>50834.781333333296</v>
      </c>
      <c r="E83" s="305">
        <f>IFERROR(VLOOKUP(A83,[3]Hoja1!$B$3:$K$124,10,FALSE),"")</f>
        <v>1432.4830000000002</v>
      </c>
      <c r="F83" s="243" t="s">
        <v>1889</v>
      </c>
      <c r="G83" s="304">
        <f>IFERROR(VLOOKUP(A83,[3]Hoja1!$B$3:$K$124,3,FALSE),"")</f>
        <v>0.89999999999999936</v>
      </c>
      <c r="H83" s="304">
        <f>IFERROR(VLOOKUP(A83,[3]Hoja1!$B$3:$K$124,2,FALSE),"")</f>
        <v>0.40000000000000019</v>
      </c>
      <c r="I83" s="252" t="s">
        <v>287</v>
      </c>
      <c r="J83" s="254" t="s">
        <v>287</v>
      </c>
      <c r="K83" s="260">
        <f t="shared" ref="K83:K146" si="3">+B83*G83</f>
        <v>33.057299999999969</v>
      </c>
    </row>
    <row r="84" spans="1:11" x14ac:dyDescent="0.2">
      <c r="A84" s="186">
        <v>327</v>
      </c>
      <c r="B84" s="304">
        <f>IFERROR(VLOOKUP(A84,[3]Hoja1!$B$3:$I$1048576,5,FALSE),"")</f>
        <v>36.215666666666657</v>
      </c>
      <c r="C84" s="305">
        <f>IFERROR(VLOOKUP(A84,[3]Hoja1!$B$3:$K$124,9,FALSE),"")</f>
        <v>1384</v>
      </c>
      <c r="D84" s="305">
        <f>IFERROR(VLOOKUP(A84,[3]Hoja1!$B$3:$I$1048576,8,FALSE),"")</f>
        <v>50122.482666666663</v>
      </c>
      <c r="E84" s="305">
        <f>IFERROR(VLOOKUP(A84,[3]Hoja1!$B$3:$K$124,10,FALSE),"")</f>
        <v>1401.5463000000004</v>
      </c>
      <c r="F84" s="243" t="s">
        <v>1889</v>
      </c>
      <c r="G84" s="304">
        <f>IFERROR(VLOOKUP(A84,[3]Hoja1!$B$3:$K$124,3,FALSE),"")</f>
        <v>0.89999999999999936</v>
      </c>
      <c r="H84" s="304">
        <f>IFERROR(VLOOKUP(A84,[3]Hoja1!$B$3:$K$124,2,FALSE),"")</f>
        <v>0.39000000000000018</v>
      </c>
      <c r="I84" s="252" t="s">
        <v>287</v>
      </c>
      <c r="J84" s="254" t="s">
        <v>287</v>
      </c>
      <c r="K84" s="260">
        <f t="shared" si="3"/>
        <v>32.594099999999969</v>
      </c>
    </row>
    <row r="85" spans="1:11" x14ac:dyDescent="0.2">
      <c r="A85" s="186">
        <v>328</v>
      </c>
      <c r="B85" s="304">
        <f>IFERROR(VLOOKUP(A85,[3]Hoja1!$B$3:$I$1048576,5,FALSE),"")</f>
        <v>35.975999999999999</v>
      </c>
      <c r="C85" s="305">
        <f>IFERROR(VLOOKUP(A85,[3]Hoja1!$B$3:$K$124,9,FALSE),"")</f>
        <v>1384</v>
      </c>
      <c r="D85" s="305">
        <f>IFERROR(VLOOKUP(A85,[3]Hoja1!$B$3:$I$1048576,8,FALSE),"")</f>
        <v>49248.80399999996</v>
      </c>
      <c r="E85" s="305">
        <f>IFERROR(VLOOKUP(A85,[3]Hoja1!$B$3:$K$124,10,FALSE),"")</f>
        <v>1392.2711999999992</v>
      </c>
      <c r="F85" s="243" t="s">
        <v>286</v>
      </c>
      <c r="G85" s="304">
        <f>IFERROR(VLOOKUP(A85,[3]Hoja1!$B$3:$K$124,3,FALSE),"")</f>
        <v>0.89999999999999936</v>
      </c>
      <c r="H85" s="304">
        <f>IFERROR(VLOOKUP(A85,[3]Hoja1!$B$3:$K$124,2,FALSE),"")</f>
        <v>0.39000000000000018</v>
      </c>
      <c r="I85" s="252" t="s">
        <v>287</v>
      </c>
      <c r="J85" s="254" t="s">
        <v>287</v>
      </c>
      <c r="K85" s="260">
        <f t="shared" si="3"/>
        <v>32.378399999999978</v>
      </c>
    </row>
    <row r="86" spans="1:11" x14ac:dyDescent="0.2">
      <c r="A86" s="186">
        <v>329</v>
      </c>
      <c r="B86" s="304">
        <f>IFERROR(VLOOKUP(A86,[3]Hoja1!$B$3:$I$1048576,5,FALSE),"")</f>
        <v>66.556333333333299</v>
      </c>
      <c r="C86" s="305">
        <f>IFERROR(VLOOKUP(A86,[3]Hoja1!$B$3:$K$124,9,FALSE),"")</f>
        <v>1250</v>
      </c>
      <c r="D86" s="305">
        <f>IFERROR(VLOOKUP(A86,[3]Hoja1!$B$3:$I$1048576,8,FALSE),"")</f>
        <v>83195.416666666672</v>
      </c>
      <c r="E86" s="305">
        <f>IFERROR(VLOOKUP(A86,[3]Hoja1!$B$3:$K$124,10,FALSE),"")</f>
        <v>2655.5976999999984</v>
      </c>
      <c r="F86" s="243" t="s">
        <v>286</v>
      </c>
      <c r="G86" s="304">
        <f>IFERROR(VLOOKUP(A86,[3]Hoja1!$B$3:$K$124,3,FALSE),"")</f>
        <v>0.8</v>
      </c>
      <c r="H86" s="304">
        <f>IFERROR(VLOOKUP(A86,[3]Hoja1!$B$3:$K$124,2,FALSE),"")</f>
        <v>0.53000000000000014</v>
      </c>
      <c r="I86" s="252" t="s">
        <v>287</v>
      </c>
      <c r="J86" s="254" t="s">
        <v>287</v>
      </c>
      <c r="K86" s="260">
        <f t="shared" si="3"/>
        <v>53.245066666666645</v>
      </c>
    </row>
    <row r="87" spans="1:11" x14ac:dyDescent="0.2">
      <c r="A87" s="186">
        <v>330</v>
      </c>
      <c r="B87" s="304">
        <f>IFERROR(VLOOKUP(A87,[3]Hoja1!$B$3:$I$1048576,5,FALSE),"")</f>
        <v>46.759000000000022</v>
      </c>
      <c r="C87" s="305">
        <f>IFERROR(VLOOKUP(A87,[3]Hoja1!$B$3:$K$124,9,FALSE),"")</f>
        <v>1250</v>
      </c>
      <c r="D87" s="305">
        <f>IFERROR(VLOOKUP(A87,[3]Hoja1!$B$3:$I$1048576,8,FALSE),"")</f>
        <v>58448.75</v>
      </c>
      <c r="E87" s="305">
        <f>IFERROR(VLOOKUP(A87,[3]Hoja1!$B$3:$K$124,10,FALSE),"")</f>
        <v>1865.6841000000006</v>
      </c>
      <c r="F87" s="243" t="s">
        <v>1889</v>
      </c>
      <c r="G87" s="304">
        <f>IFERROR(VLOOKUP(A87,[3]Hoja1!$B$3:$K$124,3,FALSE),"")</f>
        <v>0.79999999999999993</v>
      </c>
      <c r="H87" s="304">
        <f>IFERROR(VLOOKUP(A87,[3]Hoja1!$B$3:$K$124,2,FALSE),"")</f>
        <v>0.53000000000000025</v>
      </c>
      <c r="I87" s="252" t="s">
        <v>287</v>
      </c>
      <c r="J87" s="254" t="s">
        <v>287</v>
      </c>
      <c r="K87" s="260">
        <f t="shared" si="3"/>
        <v>37.407200000000017</v>
      </c>
    </row>
    <row r="88" spans="1:11" x14ac:dyDescent="0.2">
      <c r="A88" s="186">
        <v>331</v>
      </c>
      <c r="B88" s="304">
        <f>IFERROR(VLOOKUP(A88,[3]Hoja1!$B$3:$I$1048576,5,FALSE),"")</f>
        <v>47.93333333333333</v>
      </c>
      <c r="C88" s="305">
        <f>IFERROR(VLOOKUP(A88,[3]Hoja1!$B$3:$K$124,9,FALSE),"")</f>
        <v>1250</v>
      </c>
      <c r="D88" s="305">
        <f>IFERROR(VLOOKUP(A88,[3]Hoja1!$B$3:$I$1048576,8,FALSE),"")</f>
        <v>59916.666666666664</v>
      </c>
      <c r="E88" s="305">
        <f>IFERROR(VLOOKUP(A88,[3]Hoja1!$B$3:$K$124,10,FALSE),"")</f>
        <v>1926.9200000000014</v>
      </c>
      <c r="F88" s="243" t="s">
        <v>286</v>
      </c>
      <c r="G88" s="304">
        <f>IFERROR(VLOOKUP(A88,[3]Hoja1!$B$3:$K$124,3,FALSE),"")</f>
        <v>0.84000000000000064</v>
      </c>
      <c r="H88" s="304">
        <f>IFERROR(VLOOKUP(A88,[3]Hoja1!$B$3:$K$124,2,FALSE),"")</f>
        <v>0.5</v>
      </c>
      <c r="I88" s="252" t="s">
        <v>287</v>
      </c>
      <c r="J88" s="254" t="s">
        <v>287</v>
      </c>
      <c r="K88" s="260">
        <f t="shared" si="3"/>
        <v>40.264000000000024</v>
      </c>
    </row>
    <row r="89" spans="1:11" x14ac:dyDescent="0.2">
      <c r="A89" s="186">
        <v>332</v>
      </c>
      <c r="B89" s="304">
        <f>IFERROR(VLOOKUP(A89,[3]Hoja1!$B$3:$I$1048576,5,FALSE),"")</f>
        <v>52.872139303482513</v>
      </c>
      <c r="C89" s="305">
        <f>IFERROR(VLOOKUP(A89,[3]Hoja1!$B$3:$K$124,9,FALSE),"")</f>
        <v>1250</v>
      </c>
      <c r="D89" s="305">
        <f>IFERROR(VLOOKUP(A89,[3]Hoja1!$B$3:$I$1048576,8,FALSE),"")</f>
        <v>66090.174129353196</v>
      </c>
      <c r="E89" s="305">
        <f>IFERROR(VLOOKUP(A89,[3]Hoja1!$B$3:$K$124,10,FALSE),"")</f>
        <v>2125.4599999999982</v>
      </c>
      <c r="F89" s="243" t="s">
        <v>286</v>
      </c>
      <c r="G89" s="304">
        <f>IFERROR(VLOOKUP(A89,[3]Hoja1!$B$3:$K$124,3,FALSE),"")</f>
        <v>0.84000000000000086</v>
      </c>
      <c r="H89" s="304">
        <f>IFERROR(VLOOKUP(A89,[3]Hoja1!$B$3:$K$124,2,FALSE),"")</f>
        <v>0.5</v>
      </c>
      <c r="I89" s="252" t="s">
        <v>287</v>
      </c>
      <c r="J89" s="254" t="s">
        <v>287</v>
      </c>
      <c r="K89" s="260">
        <f t="shared" si="3"/>
        <v>44.412597014925353</v>
      </c>
    </row>
    <row r="90" spans="1:11" x14ac:dyDescent="0.2">
      <c r="A90" s="186">
        <v>333</v>
      </c>
      <c r="B90" s="304">
        <f>IFERROR(VLOOKUP(A90,[3]Hoja1!$B$3:$I$1048576,5,FALSE),"")</f>
        <v>56.501666666666708</v>
      </c>
      <c r="C90" s="305">
        <f>IFERROR(VLOOKUP(A90,[3]Hoja1!$B$3:$K$124,9,FALSE),"")</f>
        <v>1250</v>
      </c>
      <c r="D90" s="305">
        <f>IFERROR(VLOOKUP(A90,[3]Hoja1!$B$3:$I$1048576,8,FALSE),"")</f>
        <v>70627.083333333372</v>
      </c>
      <c r="E90" s="305">
        <f>IFERROR(VLOOKUP(A90,[3]Hoja1!$B$3:$K$124,10,FALSE),"")</f>
        <v>2186.614500000002</v>
      </c>
      <c r="F90" s="243" t="s">
        <v>1889</v>
      </c>
      <c r="G90" s="304">
        <f>IFERROR(VLOOKUP(A90,[3]Hoja1!$B$3:$K$124,3,FALSE),"")</f>
        <v>0.79999999999999938</v>
      </c>
      <c r="H90" s="304">
        <f>IFERROR(VLOOKUP(A90,[3]Hoja1!$B$3:$K$124,2,FALSE),"")</f>
        <v>0.48999999999999944</v>
      </c>
      <c r="I90" s="252" t="s">
        <v>287</v>
      </c>
      <c r="J90" s="254" t="s">
        <v>287</v>
      </c>
      <c r="K90" s="260">
        <f t="shared" si="3"/>
        <v>45.201333333333331</v>
      </c>
    </row>
    <row r="91" spans="1:11" x14ac:dyDescent="0.2">
      <c r="A91" s="186" t="s">
        <v>1874</v>
      </c>
      <c r="B91" s="304" t="str">
        <f>IFERROR(VLOOKUP(A91,[3]Hoja1!$B$3:$I$1048576,5,FALSE),"")</f>
        <v/>
      </c>
      <c r="C91" s="305" t="str">
        <f>IFERROR(VLOOKUP(A91,[3]Hoja1!$B$3:$K$124,9,FALSE),"")</f>
        <v/>
      </c>
      <c r="D91" s="305" t="str">
        <f>IFERROR(VLOOKUP(A91,[3]Hoja1!$B$3:$I$1048576,8,FALSE),"")</f>
        <v/>
      </c>
      <c r="E91" s="305" t="str">
        <f>IFERROR(VLOOKUP(A91,[3]Hoja1!$B$3:$K$124,10,FALSE),"")</f>
        <v/>
      </c>
      <c r="F91" s="243" t="s">
        <v>286</v>
      </c>
      <c r="G91" s="304" t="str">
        <f>IFERROR(VLOOKUP(A91,[3]Hoja1!$B$3:$K$124,3,FALSE),"")</f>
        <v/>
      </c>
      <c r="H91" s="304" t="str">
        <f>IFERROR(VLOOKUP(A91,[3]Hoja1!$B$3:$K$124,2,FALSE),"")</f>
        <v/>
      </c>
      <c r="I91" s="252" t="s">
        <v>287</v>
      </c>
      <c r="J91" s="254" t="s">
        <v>287</v>
      </c>
      <c r="K91" s="260" t="e">
        <f t="shared" si="3"/>
        <v>#VALUE!</v>
      </c>
    </row>
    <row r="92" spans="1:11" x14ac:dyDescent="0.2">
      <c r="A92" s="186" t="s">
        <v>1875</v>
      </c>
      <c r="B92" s="304" t="str">
        <f>IFERROR(VLOOKUP(A92,[3]Hoja1!$B$3:$I$1048576,5,FALSE),"")</f>
        <v/>
      </c>
      <c r="C92" s="305" t="str">
        <f>IFERROR(VLOOKUP(A92,[3]Hoja1!$B$3:$K$124,9,FALSE),"")</f>
        <v/>
      </c>
      <c r="D92" s="305" t="str">
        <f>IFERROR(VLOOKUP(A92,[3]Hoja1!$B$3:$I$1048576,8,FALSE),"")</f>
        <v/>
      </c>
      <c r="E92" s="305" t="str">
        <f>IFERROR(VLOOKUP(A92,[3]Hoja1!$B$3:$K$124,10,FALSE),"")</f>
        <v/>
      </c>
      <c r="F92" s="243" t="s">
        <v>286</v>
      </c>
      <c r="G92" s="304" t="str">
        <f>IFERROR(VLOOKUP(A92,[3]Hoja1!$B$3:$K$124,3,FALSE),"")</f>
        <v/>
      </c>
      <c r="H92" s="304" t="str">
        <f>IFERROR(VLOOKUP(A92,[3]Hoja1!$B$3:$K$124,2,FALSE),"")</f>
        <v/>
      </c>
      <c r="I92" s="252" t="s">
        <v>287</v>
      </c>
      <c r="J92" s="254" t="s">
        <v>287</v>
      </c>
      <c r="K92" s="260" t="e">
        <f t="shared" si="3"/>
        <v>#VALUE!</v>
      </c>
    </row>
    <row r="93" spans="1:11" x14ac:dyDescent="0.2">
      <c r="A93" s="186">
        <v>334</v>
      </c>
      <c r="B93" s="304">
        <f>IFERROR(VLOOKUP(A93,[3]Hoja1!$B$3:$I$1048576,5,FALSE),"")</f>
        <v>46.94233333333333</v>
      </c>
      <c r="C93" s="305">
        <f>IFERROR(VLOOKUP(A93,[3]Hoja1!$B$3:$K$124,9,FALSE),"")</f>
        <v>1644.4583333333333</v>
      </c>
      <c r="D93" s="305">
        <f>IFERROR(VLOOKUP(A93,[3]Hoja1!$B$3:$I$1048576,8,FALSE),"")</f>
        <v>77192.396666666653</v>
      </c>
      <c r="E93" s="305">
        <f>IFERROR(VLOOKUP(A93,[3]Hoja1!$B$3:$K$124,10,FALSE),"")</f>
        <v>2247.3119999999985</v>
      </c>
      <c r="F93" s="243" t="s">
        <v>286</v>
      </c>
      <c r="G93" s="304">
        <f>IFERROR(VLOOKUP(A93,[3]Hoja1!$B$3:$K$124,3,FALSE),"")</f>
        <v>1.0958333333333343</v>
      </c>
      <c r="H93" s="304">
        <f>IFERROR(VLOOKUP(A93,[3]Hoja1!$B$3:$K$124,2,FALSE),"")</f>
        <v>0.5</v>
      </c>
      <c r="I93" s="252" t="s">
        <v>287</v>
      </c>
      <c r="J93" s="254" t="s">
        <v>287</v>
      </c>
      <c r="K93" s="260">
        <f t="shared" si="3"/>
        <v>51.440973611111154</v>
      </c>
    </row>
    <row r="94" spans="1:11" x14ac:dyDescent="0.2">
      <c r="A94" s="186">
        <v>335</v>
      </c>
      <c r="B94" s="304">
        <f>IFERROR(VLOOKUP(A94,[3]Hoja1!$B$3:$I$1048576,5,FALSE),"")</f>
        <v>47.786333333333296</v>
      </c>
      <c r="C94" s="305">
        <f>IFERROR(VLOOKUP(A94,[3]Hoja1!$B$3:$K$124,9,FALSE),"")</f>
        <v>1644.4583333333333</v>
      </c>
      <c r="D94" s="305">
        <f>IFERROR(VLOOKUP(A94,[3]Hoja1!$B$3:$I$1048576,8,FALSE),"")</f>
        <v>78581.361333333392</v>
      </c>
      <c r="E94" s="305">
        <f>IFERROR(VLOOKUP(A94,[3]Hoja1!$B$3:$K$124,10,FALSE),"")</f>
        <v>2287.7420000000016</v>
      </c>
      <c r="F94" s="243" t="s">
        <v>286</v>
      </c>
      <c r="G94" s="304">
        <f>IFERROR(VLOOKUP(A94,[3]Hoja1!$B$3:$K$124,3,FALSE),"")</f>
        <v>1.0958333333333343</v>
      </c>
      <c r="H94" s="304">
        <f>IFERROR(VLOOKUP(A94,[3]Hoja1!$B$3:$K$124,2,FALSE),"")</f>
        <v>0.5</v>
      </c>
      <c r="I94" s="252" t="s">
        <v>287</v>
      </c>
      <c r="J94" s="254" t="s">
        <v>287</v>
      </c>
      <c r="K94" s="260">
        <f t="shared" si="3"/>
        <v>52.365856944444452</v>
      </c>
    </row>
    <row r="95" spans="1:11" x14ac:dyDescent="0.2">
      <c r="A95" s="186">
        <v>336</v>
      </c>
      <c r="B95" s="304">
        <f>IFERROR(VLOOKUP(A95,[3]Hoja1!$B$3:$I$1048576,5,FALSE),"")</f>
        <v>46.098999999999982</v>
      </c>
      <c r="C95" s="305">
        <f>IFERROR(VLOOKUP(A95,[3]Hoja1!$B$3:$K$124,9,FALSE),"")</f>
        <v>1644.2173913043478</v>
      </c>
      <c r="D95" s="305">
        <f>IFERROR(VLOOKUP(A95,[3]Hoja1!$B$3:$I$1048576,8,FALSE),"")</f>
        <v>75796.285999999993</v>
      </c>
      <c r="E95" s="305">
        <f>IFERROR(VLOOKUP(A95,[3]Hoja1!$B$3:$K$124,10,FALSE),"")</f>
        <v>2206.7280000000005</v>
      </c>
      <c r="F95" s="243" t="s">
        <v>286</v>
      </c>
      <c r="G95" s="304">
        <f>IFERROR(VLOOKUP(A95,[3]Hoja1!$B$3:$K$124,3,FALSE),"")</f>
        <v>1.0956521739130445</v>
      </c>
      <c r="H95" s="304">
        <f>IFERROR(VLOOKUP(A95,[3]Hoja1!$B$3:$K$124,2,FALSE),"")</f>
        <v>0.5</v>
      </c>
      <c r="I95" s="252" t="s">
        <v>287</v>
      </c>
      <c r="J95" s="254" t="s">
        <v>287</v>
      </c>
      <c r="K95" s="260">
        <f t="shared" si="3"/>
        <v>50.508469565217418</v>
      </c>
    </row>
    <row r="96" spans="1:11" x14ac:dyDescent="0.2">
      <c r="A96" s="186">
        <v>337</v>
      </c>
      <c r="B96" s="304">
        <f>IFERROR(VLOOKUP(A96,[3]Hoja1!$B$3:$I$1048576,5,FALSE),"")</f>
        <v>45.693333333333307</v>
      </c>
      <c r="C96" s="305">
        <f>IFERROR(VLOOKUP(A96,[3]Hoja1!$B$3:$K$124,9,FALSE),"")</f>
        <v>1650</v>
      </c>
      <c r="D96" s="305">
        <f>IFERROR(VLOOKUP(A96,[3]Hoja1!$B$3:$I$1048576,8,FALSE),"")</f>
        <v>75394</v>
      </c>
      <c r="E96" s="305">
        <f>IFERROR(VLOOKUP(A96,[3]Hoja1!$B$3:$K$124,10,FALSE),"")</f>
        <v>2187.3200000000015</v>
      </c>
      <c r="F96" s="243" t="s">
        <v>286</v>
      </c>
      <c r="G96" s="304">
        <f>IFERROR(VLOOKUP(A96,[3]Hoja1!$B$3:$K$124,3,FALSE),"")</f>
        <v>1.0956521739130445</v>
      </c>
      <c r="H96" s="304">
        <f>IFERROR(VLOOKUP(A96,[3]Hoja1!$B$3:$K$124,2,FALSE),"")</f>
        <v>0.5</v>
      </c>
      <c r="I96" s="252" t="s">
        <v>287</v>
      </c>
      <c r="J96" s="254" t="s">
        <v>287</v>
      </c>
      <c r="K96" s="260">
        <f t="shared" si="3"/>
        <v>50.064000000000014</v>
      </c>
    </row>
    <row r="97" spans="1:11" x14ac:dyDescent="0.2">
      <c r="A97" s="186">
        <v>338</v>
      </c>
      <c r="B97" s="304">
        <f>IFERROR(VLOOKUP(A97,[3]Hoja1!$B$3:$I$1048576,5,FALSE),"")</f>
        <v>48.149033333333293</v>
      </c>
      <c r="C97" s="305">
        <f>IFERROR(VLOOKUP(A97,[3]Hoja1!$B$3:$K$124,9,FALSE),"")</f>
        <v>1650</v>
      </c>
      <c r="D97" s="305">
        <f>IFERROR(VLOOKUP(A97,[3]Hoja1!$B$3:$I$1048576,8,FALSE),"")</f>
        <v>79445.905000000028</v>
      </c>
      <c r="E97" s="305">
        <f>IFERROR(VLOOKUP(A97,[3]Hoja1!$B$3:$K$124,10,FALSE),"")</f>
        <v>2296.7088899999994</v>
      </c>
      <c r="F97" s="243" t="s">
        <v>286</v>
      </c>
      <c r="G97" s="304">
        <f>IFERROR(VLOOKUP(A97,[3]Hoja1!$B$3:$K$124,3,FALSE),"")</f>
        <v>1.1000000000000008</v>
      </c>
      <c r="H97" s="304">
        <f>IFERROR(VLOOKUP(A97,[3]Hoja1!$B$3:$K$124,2,FALSE),"")</f>
        <v>0.4899999999999996</v>
      </c>
      <c r="I97" s="252" t="s">
        <v>287</v>
      </c>
      <c r="J97" s="254" t="s">
        <v>287</v>
      </c>
      <c r="K97" s="260">
        <f t="shared" si="3"/>
        <v>52.963936666666662</v>
      </c>
    </row>
    <row r="98" spans="1:11" x14ac:dyDescent="0.2">
      <c r="A98" s="186" t="s">
        <v>17</v>
      </c>
      <c r="B98" s="304" t="str">
        <f>IFERROR(VLOOKUP(A98,[3]Hoja1!$B$3:$I$1048576,5,FALSE),"")</f>
        <v/>
      </c>
      <c r="C98" s="305" t="str">
        <f>IFERROR(VLOOKUP(A98,[3]Hoja1!$B$3:$K$124,9,FALSE),"")</f>
        <v/>
      </c>
      <c r="D98" s="305" t="str">
        <f>IFERROR(VLOOKUP(A98,[3]Hoja1!$B$3:$I$1048576,8,FALSE),"")</f>
        <v/>
      </c>
      <c r="E98" s="305" t="str">
        <f>IFERROR(VLOOKUP(A98,[3]Hoja1!$B$3:$K$124,10,FALSE),"")</f>
        <v/>
      </c>
      <c r="F98" s="243" t="s">
        <v>286</v>
      </c>
      <c r="G98" s="304" t="str">
        <f>IFERROR(VLOOKUP(A98,[3]Hoja1!$B$3:$K$124,3,FALSE),"")</f>
        <v/>
      </c>
      <c r="H98" s="304" t="str">
        <f>IFERROR(VLOOKUP(A98,[3]Hoja1!$B$3:$K$124,2,FALSE),"")</f>
        <v/>
      </c>
      <c r="I98" s="253" t="s">
        <v>225</v>
      </c>
      <c r="J98" s="253" t="s">
        <v>1890</v>
      </c>
      <c r="K98" s="260" t="e">
        <f t="shared" si="3"/>
        <v>#VALUE!</v>
      </c>
    </row>
    <row r="99" spans="1:11" x14ac:dyDescent="0.2">
      <c r="A99" s="186"/>
      <c r="B99" s="304" t="str">
        <f>IFERROR(VLOOKUP(A99,[3]Hoja1!$B$3:$I$1048576,5,FALSE),"")</f>
        <v/>
      </c>
      <c r="C99" s="305" t="str">
        <f>IFERROR(VLOOKUP(A99,[3]Hoja1!$B$3:$K$124,9,FALSE),"")</f>
        <v/>
      </c>
      <c r="D99" s="305" t="str">
        <f>IFERROR(VLOOKUP(A99,[3]Hoja1!$B$3:$I$1048576,8,FALSE),"")</f>
        <v/>
      </c>
      <c r="E99" s="305" t="str">
        <f>IFERROR(VLOOKUP(A99,[3]Hoja1!$B$3:$K$124,10,FALSE),"")</f>
        <v/>
      </c>
      <c r="F99" s="243"/>
      <c r="G99" s="304" t="str">
        <f>IFERROR(VLOOKUP(A99,[3]Hoja1!$B$3:$K$124,3,FALSE),"")</f>
        <v/>
      </c>
      <c r="H99" s="304" t="str">
        <f>IFERROR(VLOOKUP(A99,[3]Hoja1!$B$3:$K$124,2,FALSE),"")</f>
        <v/>
      </c>
      <c r="I99" s="252"/>
      <c r="J99" s="252"/>
      <c r="K99" s="260" t="e">
        <f t="shared" si="3"/>
        <v>#VALUE!</v>
      </c>
    </row>
    <row r="100" spans="1:11" x14ac:dyDescent="0.2">
      <c r="A100" s="186" t="s">
        <v>18</v>
      </c>
      <c r="B100" s="304" t="str">
        <f>IFERROR(VLOOKUP(A100,[3]Hoja1!$B$3:$I$1048576,5,FALSE),"")</f>
        <v/>
      </c>
      <c r="C100" s="305" t="str">
        <f>IFERROR(VLOOKUP(A100,[3]Hoja1!$B$3:$K$124,9,FALSE),"")</f>
        <v/>
      </c>
      <c r="D100" s="305" t="str">
        <f>IFERROR(VLOOKUP(A100,[3]Hoja1!$B$3:$I$1048576,8,FALSE),"")</f>
        <v/>
      </c>
      <c r="E100" s="305" t="str">
        <f>IFERROR(VLOOKUP(A100,[3]Hoja1!$B$3:$K$124,10,FALSE),"")</f>
        <v/>
      </c>
      <c r="F100" s="243" t="s">
        <v>286</v>
      </c>
      <c r="G100" s="304" t="str">
        <f>IFERROR(VLOOKUP(A100,[3]Hoja1!$B$3:$K$124,3,FALSE),"")</f>
        <v/>
      </c>
      <c r="H100" s="304" t="str">
        <f>IFERROR(VLOOKUP(A100,[3]Hoja1!$B$3:$K$124,2,FALSE),"")</f>
        <v/>
      </c>
      <c r="I100" s="253" t="s">
        <v>225</v>
      </c>
      <c r="J100" s="253" t="s">
        <v>1890</v>
      </c>
      <c r="K100" s="260" t="e">
        <f t="shared" si="3"/>
        <v>#VALUE!</v>
      </c>
    </row>
    <row r="101" spans="1:11" x14ac:dyDescent="0.2">
      <c r="A101" s="186"/>
      <c r="B101" s="304" t="str">
        <f>IFERROR(VLOOKUP(A101,[3]Hoja1!$B$3:$I$1048576,5,FALSE),"")</f>
        <v/>
      </c>
      <c r="C101" s="305" t="str">
        <f>IFERROR(VLOOKUP(A101,[3]Hoja1!$B$3:$K$124,9,FALSE),"")</f>
        <v/>
      </c>
      <c r="D101" s="305" t="str">
        <f>IFERROR(VLOOKUP(A101,[3]Hoja1!$B$3:$I$1048576,8,FALSE),"")</f>
        <v/>
      </c>
      <c r="E101" s="305" t="str">
        <f>IFERROR(VLOOKUP(A101,[3]Hoja1!$B$3:$K$124,10,FALSE),"")</f>
        <v/>
      </c>
      <c r="F101" s="243"/>
      <c r="G101" s="304" t="str">
        <f>IFERROR(VLOOKUP(A101,[3]Hoja1!$B$3:$K$124,3,FALSE),"")</f>
        <v/>
      </c>
      <c r="H101" s="304" t="str">
        <f>IFERROR(VLOOKUP(A101,[3]Hoja1!$B$3:$K$124,2,FALSE),"")</f>
        <v/>
      </c>
      <c r="I101" s="252"/>
      <c r="J101" s="252"/>
      <c r="K101" s="260" t="e">
        <f t="shared" si="3"/>
        <v>#VALUE!</v>
      </c>
    </row>
    <row r="102" spans="1:11" x14ac:dyDescent="0.2">
      <c r="A102" s="186">
        <v>351</v>
      </c>
      <c r="B102" s="304" t="str">
        <f>IFERROR(VLOOKUP(A102,[3]Hoja1!$B$3:$I$1048576,5,FALSE),"")</f>
        <v/>
      </c>
      <c r="C102" s="305" t="str">
        <f>IFERROR(VLOOKUP(A102,[3]Hoja1!$B$3:$K$124,9,FALSE),"")</f>
        <v/>
      </c>
      <c r="D102" s="305" t="str">
        <f>IFERROR(VLOOKUP(A102,[3]Hoja1!$B$3:$I$1048576,8,FALSE),"")</f>
        <v/>
      </c>
      <c r="E102" s="305" t="str">
        <f>IFERROR(VLOOKUP(A102,[3]Hoja1!$B$3:$K$124,10,FALSE),"")</f>
        <v/>
      </c>
      <c r="F102" s="243" t="s">
        <v>286</v>
      </c>
      <c r="G102" s="304" t="str">
        <f>IFERROR(VLOOKUP(A102,[3]Hoja1!$B$3:$K$124,3,FALSE),"")</f>
        <v/>
      </c>
      <c r="H102" s="304" t="str">
        <f>IFERROR(VLOOKUP(A102,[3]Hoja1!$B$3:$K$124,2,FALSE),"")</f>
        <v/>
      </c>
      <c r="I102" s="253" t="s">
        <v>225</v>
      </c>
      <c r="J102" s="253" t="s">
        <v>225</v>
      </c>
      <c r="K102" s="260" t="e">
        <f t="shared" si="3"/>
        <v>#VALUE!</v>
      </c>
    </row>
    <row r="103" spans="1:11" x14ac:dyDescent="0.2">
      <c r="A103" s="186">
        <v>352</v>
      </c>
      <c r="B103" s="304" t="str">
        <f>IFERROR(VLOOKUP(A103,[3]Hoja1!$B$3:$I$1048576,5,FALSE),"")</f>
        <v/>
      </c>
      <c r="C103" s="305" t="str">
        <f>IFERROR(VLOOKUP(A103,[3]Hoja1!$B$3:$K$124,9,FALSE),"")</f>
        <v/>
      </c>
      <c r="D103" s="305" t="str">
        <f>IFERROR(VLOOKUP(A103,[3]Hoja1!$B$3:$I$1048576,8,FALSE),"")</f>
        <v/>
      </c>
      <c r="E103" s="305" t="str">
        <f>IFERROR(VLOOKUP(A103,[3]Hoja1!$B$3:$K$124,10,FALSE),"")</f>
        <v/>
      </c>
      <c r="F103" s="243" t="s">
        <v>286</v>
      </c>
      <c r="G103" s="304" t="str">
        <f>IFERROR(VLOOKUP(A103,[3]Hoja1!$B$3:$K$124,3,FALSE),"")</f>
        <v/>
      </c>
      <c r="H103" s="304" t="str">
        <f>IFERROR(VLOOKUP(A103,[3]Hoja1!$B$3:$K$124,2,FALSE),"")</f>
        <v/>
      </c>
      <c r="I103" s="253" t="s">
        <v>225</v>
      </c>
      <c r="J103" s="253" t="s">
        <v>225</v>
      </c>
      <c r="K103" s="260" t="e">
        <f t="shared" si="3"/>
        <v>#VALUE!</v>
      </c>
    </row>
    <row r="104" spans="1:11" x14ac:dyDescent="0.2">
      <c r="A104" s="186">
        <v>354</v>
      </c>
      <c r="B104" s="304">
        <f>IFERROR(VLOOKUP(A104,[3]Hoja1!$B$3:$I$1048576,5,FALSE),"")</f>
        <v>22.320833333333329</v>
      </c>
      <c r="C104" s="305">
        <f>IFERROR(VLOOKUP(A104,[3]Hoja1!$B$3:$K$124,9,FALSE),"")</f>
        <v>1778</v>
      </c>
      <c r="D104" s="305">
        <f>IFERROR(VLOOKUP(A104,[3]Hoja1!$B$3:$I$1048576,8,FALSE),"")</f>
        <v>39686.441666666666</v>
      </c>
      <c r="E104" s="305">
        <f>IFERROR(VLOOKUP(A104,[3]Hoja1!$B$3:$K$124,10,FALSE),"")</f>
        <v>1024.5262499999999</v>
      </c>
      <c r="F104" s="243" t="s">
        <v>286</v>
      </c>
      <c r="G104" s="304">
        <f>IFERROR(VLOOKUP(A104,[3]Hoja1!$B$3:$K$124,3,FALSE),"")</f>
        <v>1.1400000000000003</v>
      </c>
      <c r="H104" s="304">
        <f>IFERROR(VLOOKUP(A104,[3]Hoja1!$B$3:$K$124,2,FALSE),"")</f>
        <v>0.39</v>
      </c>
      <c r="I104" s="253" t="s">
        <v>225</v>
      </c>
      <c r="J104" s="253" t="s">
        <v>225</v>
      </c>
      <c r="K104" s="260">
        <f t="shared" si="3"/>
        <v>25.445750000000004</v>
      </c>
    </row>
    <row r="105" spans="1:11" x14ac:dyDescent="0.2">
      <c r="A105" s="186">
        <v>355</v>
      </c>
      <c r="B105" s="304" t="str">
        <f>IFERROR(VLOOKUP(A105,[3]Hoja1!$B$3:$I$1048576,5,FALSE),"")</f>
        <v/>
      </c>
      <c r="C105" s="305" t="str">
        <f>IFERROR(VLOOKUP(A105,[3]Hoja1!$B$3:$K$124,9,FALSE),"")</f>
        <v/>
      </c>
      <c r="D105" s="305" t="str">
        <f>IFERROR(VLOOKUP(A105,[3]Hoja1!$B$3:$I$1048576,8,FALSE),"")</f>
        <v/>
      </c>
      <c r="E105" s="305" t="str">
        <f>IFERROR(VLOOKUP(A105,[3]Hoja1!$B$3:$K$124,10,FALSE),"")</f>
        <v/>
      </c>
      <c r="F105" s="243" t="s">
        <v>1872</v>
      </c>
      <c r="G105" s="304" t="str">
        <f>IFERROR(VLOOKUP(A105,[3]Hoja1!$B$3:$K$124,3,FALSE),"")</f>
        <v/>
      </c>
      <c r="H105" s="304" t="str">
        <f>IFERROR(VLOOKUP(A105,[3]Hoja1!$B$3:$K$124,2,FALSE),"")</f>
        <v/>
      </c>
      <c r="I105" s="253" t="s">
        <v>225</v>
      </c>
      <c r="J105" s="253" t="s">
        <v>225</v>
      </c>
      <c r="K105" s="260" t="e">
        <f t="shared" si="3"/>
        <v>#VALUE!</v>
      </c>
    </row>
    <row r="106" spans="1:11" x14ac:dyDescent="0.2">
      <c r="A106" s="186">
        <v>356</v>
      </c>
      <c r="B106" s="304" t="str">
        <f>IFERROR(VLOOKUP(A106,[3]Hoja1!$B$3:$I$1048576,5,FALSE),"")</f>
        <v/>
      </c>
      <c r="C106" s="305" t="str">
        <f>IFERROR(VLOOKUP(A106,[3]Hoja1!$B$3:$K$124,9,FALSE),"")</f>
        <v/>
      </c>
      <c r="D106" s="305" t="str">
        <f>IFERROR(VLOOKUP(A106,[3]Hoja1!$B$3:$I$1048576,8,FALSE),"")</f>
        <v/>
      </c>
      <c r="E106" s="305" t="str">
        <f>IFERROR(VLOOKUP(A106,[3]Hoja1!$B$3:$K$124,10,FALSE),"")</f>
        <v/>
      </c>
      <c r="F106" s="243" t="s">
        <v>1872</v>
      </c>
      <c r="G106" s="304" t="str">
        <f>IFERROR(VLOOKUP(A106,[3]Hoja1!$B$3:$K$124,3,FALSE),"")</f>
        <v/>
      </c>
      <c r="H106" s="304" t="str">
        <f>IFERROR(VLOOKUP(A106,[3]Hoja1!$B$3:$K$124,2,FALSE),"")</f>
        <v/>
      </c>
      <c r="I106" s="252" t="s">
        <v>225</v>
      </c>
      <c r="J106" s="253" t="s">
        <v>225</v>
      </c>
      <c r="K106" s="260" t="e">
        <f t="shared" si="3"/>
        <v>#VALUE!</v>
      </c>
    </row>
    <row r="107" spans="1:11" x14ac:dyDescent="0.2">
      <c r="A107" s="186">
        <v>361</v>
      </c>
      <c r="B107" s="304" t="str">
        <f>IFERROR(VLOOKUP(A107,[3]Hoja1!$B$3:$I$1048576,5,FALSE),"")</f>
        <v/>
      </c>
      <c r="C107" s="305" t="str">
        <f>IFERROR(VLOOKUP(A107,[3]Hoja1!$B$3:$K$124,9,FALSE),"")</f>
        <v/>
      </c>
      <c r="D107" s="305" t="str">
        <f>IFERROR(VLOOKUP(A107,[3]Hoja1!$B$3:$I$1048576,8,FALSE),"")</f>
        <v/>
      </c>
      <c r="E107" s="305" t="str">
        <f>IFERROR(VLOOKUP(A107,[3]Hoja1!$B$3:$K$124,10,FALSE),"")</f>
        <v/>
      </c>
      <c r="F107" s="243" t="s">
        <v>1872</v>
      </c>
      <c r="G107" s="304" t="str">
        <f>IFERROR(VLOOKUP(A107,[3]Hoja1!$B$3:$K$124,3,FALSE),"")</f>
        <v/>
      </c>
      <c r="H107" s="304" t="str">
        <f>IFERROR(VLOOKUP(A107,[3]Hoja1!$B$3:$K$124,2,FALSE),"")</f>
        <v/>
      </c>
      <c r="I107" s="252" t="s">
        <v>225</v>
      </c>
      <c r="J107" s="253" t="s">
        <v>225</v>
      </c>
      <c r="K107" s="260" t="e">
        <f t="shared" si="3"/>
        <v>#VALUE!</v>
      </c>
    </row>
    <row r="108" spans="1:11" x14ac:dyDescent="0.2">
      <c r="A108" s="186">
        <v>362</v>
      </c>
      <c r="B108" s="304" t="str">
        <f>IFERROR(VLOOKUP(A108,[3]Hoja1!$B$3:$I$1048576,5,FALSE),"")</f>
        <v/>
      </c>
      <c r="C108" s="305" t="str">
        <f>IFERROR(VLOOKUP(A108,[3]Hoja1!$B$3:$K$124,9,FALSE),"")</f>
        <v/>
      </c>
      <c r="D108" s="305" t="str">
        <f>IFERROR(VLOOKUP(A108,[3]Hoja1!$B$3:$I$1048576,8,FALSE),"")</f>
        <v/>
      </c>
      <c r="E108" s="305" t="str">
        <f>IFERROR(VLOOKUP(A108,[3]Hoja1!$B$3:$K$124,10,FALSE),"")</f>
        <v/>
      </c>
      <c r="F108" s="243" t="s">
        <v>286</v>
      </c>
      <c r="G108" s="304" t="str">
        <f>IFERROR(VLOOKUP(A108,[3]Hoja1!$B$3:$K$124,3,FALSE),"")</f>
        <v/>
      </c>
      <c r="H108" s="304" t="str">
        <f>IFERROR(VLOOKUP(A108,[3]Hoja1!$B$3:$K$124,2,FALSE),"")</f>
        <v/>
      </c>
      <c r="I108" s="252" t="s">
        <v>225</v>
      </c>
      <c r="J108" s="253" t="s">
        <v>225</v>
      </c>
      <c r="K108" s="260" t="e">
        <f t="shared" si="3"/>
        <v>#VALUE!</v>
      </c>
    </row>
    <row r="109" spans="1:11" x14ac:dyDescent="0.2">
      <c r="A109" s="186"/>
      <c r="B109" s="304" t="str">
        <f>IFERROR(VLOOKUP(A109,[3]Hoja1!$B$3:$I$1048576,5,FALSE),"")</f>
        <v/>
      </c>
      <c r="C109" s="305" t="str">
        <f>IFERROR(VLOOKUP(A109,[3]Hoja1!$B$3:$K$124,9,FALSE),"")</f>
        <v/>
      </c>
      <c r="D109" s="305" t="str">
        <f>IFERROR(VLOOKUP(A109,[3]Hoja1!$B$3:$I$1048576,8,FALSE),"")</f>
        <v/>
      </c>
      <c r="E109" s="305" t="str">
        <f>IFERROR(VLOOKUP(A109,[3]Hoja1!$B$3:$K$124,10,FALSE),"")</f>
        <v/>
      </c>
      <c r="F109" s="243"/>
      <c r="G109" s="304" t="str">
        <f>IFERROR(VLOOKUP(A109,[3]Hoja1!$B$3:$K$124,3,FALSE),"")</f>
        <v/>
      </c>
      <c r="H109" s="304" t="str">
        <f>IFERROR(VLOOKUP(A109,[3]Hoja1!$B$3:$K$124,2,FALSE),"")</f>
        <v/>
      </c>
      <c r="I109" s="252"/>
      <c r="J109" s="252"/>
      <c r="K109" s="260" t="e">
        <f t="shared" si="3"/>
        <v>#VALUE!</v>
      </c>
    </row>
    <row r="110" spans="1:11" x14ac:dyDescent="0.2">
      <c r="A110" s="300" t="s">
        <v>1901</v>
      </c>
      <c r="B110" s="304" t="str">
        <f>IFERROR(VLOOKUP(A110,[3]Hoja1!$B$3:$I$1048576,5,FALSE),"")</f>
        <v/>
      </c>
      <c r="C110" s="305" t="str">
        <f>IFERROR(VLOOKUP(A110,[3]Hoja1!$B$3:$K$124,9,FALSE),"")</f>
        <v/>
      </c>
      <c r="D110" s="305" t="str">
        <f>IFERROR(VLOOKUP(A110,[3]Hoja1!$B$3:$I$1048576,8,FALSE),"")</f>
        <v/>
      </c>
      <c r="E110" s="305" t="str">
        <f>IFERROR(VLOOKUP(A110,[3]Hoja1!$B$3:$K$124,10,FALSE),"")</f>
        <v/>
      </c>
      <c r="F110" s="301" t="s">
        <v>1889</v>
      </c>
      <c r="G110" s="304" t="str">
        <f>IFERROR(VLOOKUP(A110,[3]Hoja1!$B$3:$K$124,3,FALSE),"")</f>
        <v/>
      </c>
      <c r="H110" s="304" t="str">
        <f>IFERROR(VLOOKUP(A110,[3]Hoja1!$B$3:$K$124,2,FALSE),"")</f>
        <v/>
      </c>
      <c r="I110" s="302">
        <v>31279.500000000004</v>
      </c>
      <c r="J110" s="302">
        <v>19.810350000000007</v>
      </c>
      <c r="K110" s="303">
        <v>19.810350000000007</v>
      </c>
    </row>
    <row r="111" spans="1:11" x14ac:dyDescent="0.2">
      <c r="A111" s="300" t="s">
        <v>1902</v>
      </c>
      <c r="B111" s="304" t="str">
        <f>IFERROR(VLOOKUP(A111,[3]Hoja1!$B$3:$I$1048576,5,FALSE),"")</f>
        <v/>
      </c>
      <c r="C111" s="305" t="str">
        <f>IFERROR(VLOOKUP(A111,[3]Hoja1!$B$3:$K$124,9,FALSE),"")</f>
        <v/>
      </c>
      <c r="D111" s="305" t="str">
        <f>IFERROR(VLOOKUP(A111,[3]Hoja1!$B$3:$I$1048576,8,FALSE),"")</f>
        <v/>
      </c>
      <c r="E111" s="305" t="str">
        <f>IFERROR(VLOOKUP(A111,[3]Hoja1!$B$3:$K$124,10,FALSE),"")</f>
        <v/>
      </c>
      <c r="F111" s="301" t="s">
        <v>1889</v>
      </c>
      <c r="G111" s="304" t="str">
        <f>IFERROR(VLOOKUP(A111,[3]Hoja1!$B$3:$K$124,3,FALSE),"")</f>
        <v/>
      </c>
      <c r="H111" s="304" t="str">
        <f>IFERROR(VLOOKUP(A111,[3]Hoja1!$B$3:$K$124,2,FALSE),"")</f>
        <v/>
      </c>
      <c r="I111" s="302">
        <v>32769</v>
      </c>
      <c r="J111" s="302">
        <v>20.753700000000006</v>
      </c>
      <c r="K111" s="303">
        <v>20.753700000000006</v>
      </c>
    </row>
    <row r="112" spans="1:11" x14ac:dyDescent="0.2">
      <c r="A112" s="186" t="s">
        <v>1877</v>
      </c>
      <c r="B112" s="304" t="str">
        <f>IFERROR(VLOOKUP(A112,[3]Hoja1!$B$3:$I$1048576,5,FALSE),"")</f>
        <v/>
      </c>
      <c r="C112" s="305" t="str">
        <f>IFERROR(VLOOKUP(A112,[3]Hoja1!$B$3:$K$124,9,FALSE),"")</f>
        <v/>
      </c>
      <c r="D112" s="305" t="str">
        <f>IFERROR(VLOOKUP(A112,[3]Hoja1!$B$3:$I$1048576,8,FALSE),"")</f>
        <v/>
      </c>
      <c r="E112" s="305" t="str">
        <f>IFERROR(VLOOKUP(A112,[3]Hoja1!$B$3:$K$124,10,FALSE),"")</f>
        <v/>
      </c>
      <c r="F112" s="243" t="s">
        <v>1889</v>
      </c>
      <c r="G112" s="304" t="str">
        <f>IFERROR(VLOOKUP(A112,[3]Hoja1!$B$3:$K$124,3,FALSE),"")</f>
        <v/>
      </c>
      <c r="H112" s="304" t="str">
        <f>IFERROR(VLOOKUP(A112,[3]Hoja1!$B$3:$K$124,2,FALSE),"")</f>
        <v/>
      </c>
      <c r="I112" s="252" t="s">
        <v>287</v>
      </c>
      <c r="J112" s="252" t="s">
        <v>287</v>
      </c>
      <c r="K112" s="260" t="e">
        <f t="shared" si="3"/>
        <v>#VALUE!</v>
      </c>
    </row>
    <row r="113" spans="1:11" x14ac:dyDescent="0.2">
      <c r="A113" s="186" t="s">
        <v>1878</v>
      </c>
      <c r="B113" s="304" t="str">
        <f>IFERROR(VLOOKUP(A113,[3]Hoja1!$B$3:$I$1048576,5,FALSE),"")</f>
        <v/>
      </c>
      <c r="C113" s="305" t="str">
        <f>IFERROR(VLOOKUP(A113,[3]Hoja1!$B$3:$K$124,9,FALSE),"")</f>
        <v/>
      </c>
      <c r="D113" s="305" t="str">
        <f>IFERROR(VLOOKUP(A113,[3]Hoja1!$B$3:$I$1048576,8,FALSE),"")</f>
        <v/>
      </c>
      <c r="E113" s="305" t="str">
        <f>IFERROR(VLOOKUP(A113,[3]Hoja1!$B$3:$K$124,10,FALSE),"")</f>
        <v/>
      </c>
      <c r="F113" s="243" t="s">
        <v>1889</v>
      </c>
      <c r="G113" s="304" t="str">
        <f>IFERROR(VLOOKUP(A113,[3]Hoja1!$B$3:$K$124,3,FALSE),"")</f>
        <v/>
      </c>
      <c r="H113" s="304" t="str">
        <f>IFERROR(VLOOKUP(A113,[3]Hoja1!$B$3:$K$124,2,FALSE),"")</f>
        <v/>
      </c>
      <c r="I113" s="252" t="s">
        <v>287</v>
      </c>
      <c r="J113" s="252" t="s">
        <v>287</v>
      </c>
      <c r="K113" s="260" t="e">
        <f t="shared" si="3"/>
        <v>#VALUE!</v>
      </c>
    </row>
    <row r="114" spans="1:11" x14ac:dyDescent="0.2">
      <c r="A114" s="186" t="s">
        <v>930</v>
      </c>
      <c r="B114" s="304" t="str">
        <f>IFERROR(VLOOKUP(A114,[3]Hoja1!$B$3:$I$1048576,5,FALSE),"")</f>
        <v/>
      </c>
      <c r="C114" s="305" t="str">
        <f>IFERROR(VLOOKUP(A114,[3]Hoja1!$B$3:$K$124,9,FALSE),"")</f>
        <v/>
      </c>
      <c r="D114" s="305" t="str">
        <f>IFERROR(VLOOKUP(A114,[3]Hoja1!$B$3:$I$1048576,8,FALSE),"")</f>
        <v/>
      </c>
      <c r="E114" s="305" t="str">
        <f>IFERROR(VLOOKUP(A114,[3]Hoja1!$B$3:$K$124,10,FALSE),"")</f>
        <v/>
      </c>
      <c r="F114" s="243" t="s">
        <v>1889</v>
      </c>
      <c r="G114" s="304" t="str">
        <f>IFERROR(VLOOKUP(A114,[3]Hoja1!$B$3:$K$124,3,FALSE),"")</f>
        <v/>
      </c>
      <c r="H114" s="304" t="str">
        <f>IFERROR(VLOOKUP(A114,[3]Hoja1!$B$3:$K$124,2,FALSE),"")</f>
        <v/>
      </c>
      <c r="I114" s="252" t="s">
        <v>287</v>
      </c>
      <c r="J114" s="252" t="s">
        <v>287</v>
      </c>
      <c r="K114" s="260" t="e">
        <f t="shared" si="3"/>
        <v>#VALUE!</v>
      </c>
    </row>
    <row r="115" spans="1:11" x14ac:dyDescent="0.2">
      <c r="A115" s="186" t="s">
        <v>931</v>
      </c>
      <c r="B115" s="304" t="str">
        <f>IFERROR(VLOOKUP(A115,[3]Hoja1!$B$3:$I$1048576,5,FALSE),"")</f>
        <v/>
      </c>
      <c r="C115" s="305" t="str">
        <f>IFERROR(VLOOKUP(A115,[3]Hoja1!$B$3:$K$124,9,FALSE),"")</f>
        <v/>
      </c>
      <c r="D115" s="305" t="str">
        <f>IFERROR(VLOOKUP(A115,[3]Hoja1!$B$3:$I$1048576,8,FALSE),"")</f>
        <v/>
      </c>
      <c r="E115" s="305" t="str">
        <f>IFERROR(VLOOKUP(A115,[3]Hoja1!$B$3:$K$124,10,FALSE),"")</f>
        <v/>
      </c>
      <c r="F115" s="243" t="s">
        <v>1889</v>
      </c>
      <c r="G115" s="304" t="str">
        <f>IFERROR(VLOOKUP(A115,[3]Hoja1!$B$3:$K$124,3,FALSE),"")</f>
        <v/>
      </c>
      <c r="H115" s="304" t="str">
        <f>IFERROR(VLOOKUP(A115,[3]Hoja1!$B$3:$K$124,2,FALSE),"")</f>
        <v/>
      </c>
      <c r="I115" s="252" t="s">
        <v>287</v>
      </c>
      <c r="J115" s="252" t="s">
        <v>287</v>
      </c>
      <c r="K115" s="260" t="e">
        <f t="shared" si="3"/>
        <v>#VALUE!</v>
      </c>
    </row>
    <row r="116" spans="1:11" x14ac:dyDescent="0.2">
      <c r="A116" s="186" t="s">
        <v>919</v>
      </c>
      <c r="B116" s="304" t="str">
        <f>IFERROR(VLOOKUP(A116,[3]Hoja1!$B$3:$I$1048576,5,FALSE),"")</f>
        <v/>
      </c>
      <c r="C116" s="305" t="str">
        <f>IFERROR(VLOOKUP(A116,[3]Hoja1!$B$3:$K$124,9,FALSE),"")</f>
        <v/>
      </c>
      <c r="D116" s="305" t="str">
        <f>IFERROR(VLOOKUP(A116,[3]Hoja1!$B$3:$I$1048576,8,FALSE),"")</f>
        <v/>
      </c>
      <c r="E116" s="305" t="str">
        <f>IFERROR(VLOOKUP(A116,[3]Hoja1!$B$3:$K$124,10,FALSE),"")</f>
        <v/>
      </c>
      <c r="F116" s="243" t="s">
        <v>1889</v>
      </c>
      <c r="G116" s="304" t="str">
        <f>IFERROR(VLOOKUP(A116,[3]Hoja1!$B$3:$K$124,3,FALSE),"")</f>
        <v/>
      </c>
      <c r="H116" s="304" t="str">
        <f>IFERROR(VLOOKUP(A116,[3]Hoja1!$B$3:$K$124,2,FALSE),"")</f>
        <v/>
      </c>
      <c r="I116" s="252" t="s">
        <v>287</v>
      </c>
      <c r="J116" s="252" t="s">
        <v>287</v>
      </c>
      <c r="K116" s="260" t="e">
        <f t="shared" si="3"/>
        <v>#VALUE!</v>
      </c>
    </row>
    <row r="117" spans="1:11" x14ac:dyDescent="0.2">
      <c r="A117" s="186" t="s">
        <v>920</v>
      </c>
      <c r="B117" s="304" t="str">
        <f>IFERROR(VLOOKUP(A117,[3]Hoja1!$B$3:$I$1048576,5,FALSE),"")</f>
        <v/>
      </c>
      <c r="C117" s="305" t="str">
        <f>IFERROR(VLOOKUP(A117,[3]Hoja1!$B$3:$K$124,9,FALSE),"")</f>
        <v/>
      </c>
      <c r="D117" s="305" t="str">
        <f>IFERROR(VLOOKUP(A117,[3]Hoja1!$B$3:$I$1048576,8,FALSE),"")</f>
        <v/>
      </c>
      <c r="E117" s="305" t="str">
        <f>IFERROR(VLOOKUP(A117,[3]Hoja1!$B$3:$K$124,10,FALSE),"")</f>
        <v/>
      </c>
      <c r="F117" s="243" t="s">
        <v>1889</v>
      </c>
      <c r="G117" s="304" t="str">
        <f>IFERROR(VLOOKUP(A117,[3]Hoja1!$B$3:$K$124,3,FALSE),"")</f>
        <v/>
      </c>
      <c r="H117" s="304" t="str">
        <f>IFERROR(VLOOKUP(A117,[3]Hoja1!$B$3:$K$124,2,FALSE),"")</f>
        <v/>
      </c>
      <c r="I117" s="252" t="s">
        <v>287</v>
      </c>
      <c r="J117" s="252" t="s">
        <v>287</v>
      </c>
      <c r="K117" s="260" t="e">
        <f t="shared" si="3"/>
        <v>#VALUE!</v>
      </c>
    </row>
    <row r="118" spans="1:11" x14ac:dyDescent="0.2">
      <c r="A118" s="186" t="s">
        <v>1223</v>
      </c>
      <c r="B118" s="304" t="str">
        <f>IFERROR(VLOOKUP(A118,[3]Hoja1!$B$3:$I$1048576,5,FALSE),"")</f>
        <v/>
      </c>
      <c r="C118" s="305" t="str">
        <f>IFERROR(VLOOKUP(A118,[3]Hoja1!$B$3:$K$124,9,FALSE),"")</f>
        <v/>
      </c>
      <c r="D118" s="305" t="str">
        <f>IFERROR(VLOOKUP(A118,[3]Hoja1!$B$3:$I$1048576,8,FALSE),"")</f>
        <v/>
      </c>
      <c r="E118" s="305" t="str">
        <f>IFERROR(VLOOKUP(A118,[3]Hoja1!$B$3:$K$124,10,FALSE),"")</f>
        <v/>
      </c>
      <c r="F118" s="243" t="s">
        <v>286</v>
      </c>
      <c r="G118" s="304" t="str">
        <f>IFERROR(VLOOKUP(A118,[3]Hoja1!$B$3:$K$124,3,FALSE),"")</f>
        <v/>
      </c>
      <c r="H118" s="304" t="str">
        <f>IFERROR(VLOOKUP(A118,[3]Hoja1!$B$3:$K$124,2,FALSE),"")</f>
        <v/>
      </c>
      <c r="I118" s="252" t="s">
        <v>287</v>
      </c>
      <c r="J118" s="252" t="s">
        <v>287</v>
      </c>
      <c r="K118" s="260" t="e">
        <f t="shared" si="3"/>
        <v>#VALUE!</v>
      </c>
    </row>
    <row r="119" spans="1:11" x14ac:dyDescent="0.2">
      <c r="A119" s="186" t="s">
        <v>1224</v>
      </c>
      <c r="B119" s="304" t="str">
        <f>IFERROR(VLOOKUP(A119,[3]Hoja1!$B$3:$I$1048576,5,FALSE),"")</f>
        <v/>
      </c>
      <c r="C119" s="305" t="str">
        <f>IFERROR(VLOOKUP(A119,[3]Hoja1!$B$3:$K$124,9,FALSE),"")</f>
        <v/>
      </c>
      <c r="D119" s="305" t="str">
        <f>IFERROR(VLOOKUP(A119,[3]Hoja1!$B$3:$I$1048576,8,FALSE),"")</f>
        <v/>
      </c>
      <c r="E119" s="305" t="str">
        <f>IFERROR(VLOOKUP(A119,[3]Hoja1!$B$3:$K$124,10,FALSE),"")</f>
        <v/>
      </c>
      <c r="F119" s="243" t="s">
        <v>286</v>
      </c>
      <c r="G119" s="304" t="str">
        <f>IFERROR(VLOOKUP(A119,[3]Hoja1!$B$3:$K$124,3,FALSE),"")</f>
        <v/>
      </c>
      <c r="H119" s="304" t="str">
        <f>IFERROR(VLOOKUP(A119,[3]Hoja1!$B$3:$K$124,2,FALSE),"")</f>
        <v/>
      </c>
      <c r="I119" s="252" t="s">
        <v>287</v>
      </c>
      <c r="J119" s="252" t="s">
        <v>287</v>
      </c>
      <c r="K119" s="260" t="e">
        <f t="shared" si="3"/>
        <v>#VALUE!</v>
      </c>
    </row>
    <row r="120" spans="1:11" x14ac:dyDescent="0.2">
      <c r="A120" s="186" t="s">
        <v>933</v>
      </c>
      <c r="B120" s="304" t="str">
        <f>IFERROR(VLOOKUP(A120,[3]Hoja1!$B$3:$I$1048576,5,FALSE),"")</f>
        <v/>
      </c>
      <c r="C120" s="305" t="str">
        <f>IFERROR(VLOOKUP(A120,[3]Hoja1!$B$3:$K$124,9,FALSE),"")</f>
        <v/>
      </c>
      <c r="D120" s="305" t="str">
        <f>IFERROR(VLOOKUP(A120,[3]Hoja1!$B$3:$I$1048576,8,FALSE),"")</f>
        <v/>
      </c>
      <c r="E120" s="305" t="str">
        <f>IFERROR(VLOOKUP(A120,[3]Hoja1!$B$3:$K$124,10,FALSE),"")</f>
        <v/>
      </c>
      <c r="F120" s="243" t="s">
        <v>1889</v>
      </c>
      <c r="G120" s="304" t="str">
        <f>IFERROR(VLOOKUP(A120,[3]Hoja1!$B$3:$K$124,3,FALSE),"")</f>
        <v/>
      </c>
      <c r="H120" s="304" t="str">
        <f>IFERROR(VLOOKUP(A120,[3]Hoja1!$B$3:$K$124,2,FALSE),"")</f>
        <v/>
      </c>
      <c r="I120" s="252" t="s">
        <v>287</v>
      </c>
      <c r="J120" s="252" t="s">
        <v>287</v>
      </c>
      <c r="K120" s="260" t="e">
        <f t="shared" si="3"/>
        <v>#VALUE!</v>
      </c>
    </row>
    <row r="121" spans="1:11" x14ac:dyDescent="0.2">
      <c r="A121" s="186" t="s">
        <v>932</v>
      </c>
      <c r="B121" s="304" t="str">
        <f>IFERROR(VLOOKUP(A121,[3]Hoja1!$B$3:$I$1048576,5,FALSE),"")</f>
        <v/>
      </c>
      <c r="C121" s="305" t="str">
        <f>IFERROR(VLOOKUP(A121,[3]Hoja1!$B$3:$K$124,9,FALSE),"")</f>
        <v/>
      </c>
      <c r="D121" s="305" t="str">
        <f>IFERROR(VLOOKUP(A121,[3]Hoja1!$B$3:$I$1048576,8,FALSE),"")</f>
        <v/>
      </c>
      <c r="E121" s="305" t="str">
        <f>IFERROR(VLOOKUP(A121,[3]Hoja1!$B$3:$K$124,10,FALSE),"")</f>
        <v/>
      </c>
      <c r="F121" s="243" t="s">
        <v>1889</v>
      </c>
      <c r="G121" s="304" t="str">
        <f>IFERROR(VLOOKUP(A121,[3]Hoja1!$B$3:$K$124,3,FALSE),"")</f>
        <v/>
      </c>
      <c r="H121" s="304" t="str">
        <f>IFERROR(VLOOKUP(A121,[3]Hoja1!$B$3:$K$124,2,FALSE),"")</f>
        <v/>
      </c>
      <c r="I121" s="252"/>
      <c r="J121" s="252"/>
      <c r="K121" s="260" t="e">
        <f t="shared" si="3"/>
        <v>#VALUE!</v>
      </c>
    </row>
    <row r="122" spans="1:11" x14ac:dyDescent="0.2">
      <c r="A122" s="186" t="s">
        <v>1904</v>
      </c>
      <c r="B122" s="306">
        <v>17</v>
      </c>
      <c r="C122" s="307">
        <v>1500</v>
      </c>
      <c r="D122" s="187">
        <v>25500</v>
      </c>
      <c r="E122" s="188">
        <v>713.50243902439047</v>
      </c>
      <c r="F122" s="243" t="str">
        <f t="shared" ref="F122" si="4">IF(EU122="XL","XL",IF(EU122="XLFS","XL",IF(EU122="DNM","XL",IF(EU122="BSS","XL",IF(EU122=6025,"XL",IF(EU122="MS","MS",IF(EU122="AND","MS",IF(EU122="CLO","MS",IF(EU122="CV","CV","")))))))))</f>
        <v/>
      </c>
      <c r="G122" s="308">
        <v>0.95000000000000007</v>
      </c>
      <c r="H122" s="308">
        <v>0.4490243902439025</v>
      </c>
      <c r="I122" s="310" t="s">
        <v>1872</v>
      </c>
      <c r="J122" s="309" t="s">
        <v>1872</v>
      </c>
      <c r="K122" s="260">
        <f t="shared" si="3"/>
        <v>16.150000000000002</v>
      </c>
    </row>
    <row r="123" spans="1:11" x14ac:dyDescent="0.2">
      <c r="A123" s="186" t="s">
        <v>1905</v>
      </c>
      <c r="B123" s="306">
        <v>23.972999999999999</v>
      </c>
      <c r="C123" s="307">
        <v>1500</v>
      </c>
      <c r="D123" s="187">
        <v>35959.5</v>
      </c>
      <c r="E123" s="188">
        <v>1006.1503609756101</v>
      </c>
      <c r="F123" s="243" t="s">
        <v>1889</v>
      </c>
      <c r="G123" s="308">
        <v>0.95000000000000007</v>
      </c>
      <c r="H123" s="308">
        <v>0.4490243902439025</v>
      </c>
      <c r="I123" s="310" t="s">
        <v>1872</v>
      </c>
      <c r="J123" s="309" t="s">
        <v>1872</v>
      </c>
      <c r="K123" s="260">
        <f t="shared" si="3"/>
        <v>22.774350000000002</v>
      </c>
    </row>
    <row r="124" spans="1:11" x14ac:dyDescent="0.2">
      <c r="A124" s="186" t="s">
        <v>934</v>
      </c>
      <c r="B124" s="304" t="str">
        <f>IFERROR(VLOOKUP(A124,[3]Hoja1!$B$3:$I$1048576,5,FALSE),"")</f>
        <v/>
      </c>
      <c r="C124" s="305" t="str">
        <f>IFERROR(VLOOKUP(A124,[3]Hoja1!$B$3:$K$124,9,FALSE),"")</f>
        <v/>
      </c>
      <c r="D124" s="305" t="str">
        <f>IFERROR(VLOOKUP(A124,[3]Hoja1!$B$3:$I$1048576,8,FALSE),"")</f>
        <v/>
      </c>
      <c r="E124" s="305" t="str">
        <f>IFERROR(VLOOKUP(A124,[3]Hoja1!$B$3:$K$124,10,FALSE),"")</f>
        <v/>
      </c>
      <c r="F124" s="243" t="s">
        <v>1872</v>
      </c>
      <c r="G124" s="304" t="str">
        <f>IFERROR(VLOOKUP(A124,[3]Hoja1!$B$3:$K$124,3,FALSE),"")</f>
        <v/>
      </c>
      <c r="H124" s="304" t="str">
        <f>IFERROR(VLOOKUP(A124,[3]Hoja1!$B$3:$K$124,2,FALSE),"")</f>
        <v/>
      </c>
      <c r="I124" s="252" t="s">
        <v>287</v>
      </c>
      <c r="J124" s="254" t="s">
        <v>287</v>
      </c>
      <c r="K124" s="260" t="e">
        <f t="shared" si="3"/>
        <v>#VALUE!</v>
      </c>
    </row>
    <row r="125" spans="1:11" x14ac:dyDescent="0.2">
      <c r="A125" s="186" t="s">
        <v>935</v>
      </c>
      <c r="B125" s="304" t="str">
        <f>IFERROR(VLOOKUP(A125,[3]Hoja1!$B$3:$I$1048576,5,FALSE),"")</f>
        <v/>
      </c>
      <c r="C125" s="305" t="str">
        <f>IFERROR(VLOOKUP(A125,[3]Hoja1!$B$3:$K$124,9,FALSE),"")</f>
        <v/>
      </c>
      <c r="D125" s="305" t="str">
        <f>IFERROR(VLOOKUP(A125,[3]Hoja1!$B$3:$I$1048576,8,FALSE),"")</f>
        <v/>
      </c>
      <c r="E125" s="305" t="str">
        <f>IFERROR(VLOOKUP(A125,[3]Hoja1!$B$3:$K$124,10,FALSE),"")</f>
        <v/>
      </c>
      <c r="F125" s="243" t="s">
        <v>1872</v>
      </c>
      <c r="G125" s="304" t="str">
        <f>IFERROR(VLOOKUP(A125,[3]Hoja1!$B$3:$K$124,3,FALSE),"")</f>
        <v/>
      </c>
      <c r="H125" s="304" t="str">
        <f>IFERROR(VLOOKUP(A125,[3]Hoja1!$B$3:$K$124,2,FALSE),"")</f>
        <v/>
      </c>
      <c r="I125" s="252" t="s">
        <v>287</v>
      </c>
      <c r="J125" s="254" t="s">
        <v>287</v>
      </c>
      <c r="K125" s="260" t="e">
        <f t="shared" si="3"/>
        <v>#VALUE!</v>
      </c>
    </row>
    <row r="126" spans="1:11" x14ac:dyDescent="0.2">
      <c r="A126" s="186" t="s">
        <v>1868</v>
      </c>
      <c r="B126" s="304" t="str">
        <f>IFERROR(VLOOKUP(A126,[3]Hoja1!$B$3:$I$1048576,5,FALSE),"")</f>
        <v/>
      </c>
      <c r="C126" s="305" t="str">
        <f>IFERROR(VLOOKUP(A126,[3]Hoja1!$B$3:$K$124,9,FALSE),"")</f>
        <v/>
      </c>
      <c r="D126" s="305" t="str">
        <f>IFERROR(VLOOKUP(A126,[3]Hoja1!$B$3:$I$1048576,8,FALSE),"")</f>
        <v/>
      </c>
      <c r="E126" s="305" t="str">
        <f>IFERROR(VLOOKUP(A126,[3]Hoja1!$B$3:$K$124,10,FALSE),"")</f>
        <v/>
      </c>
      <c r="F126" s="243" t="s">
        <v>1889</v>
      </c>
      <c r="G126" s="304" t="str">
        <f>IFERROR(VLOOKUP(A126,[3]Hoja1!$B$3:$K$124,3,FALSE),"")</f>
        <v/>
      </c>
      <c r="H126" s="304" t="str">
        <f>IFERROR(VLOOKUP(A126,[3]Hoja1!$B$3:$K$124,2,FALSE),"")</f>
        <v/>
      </c>
      <c r="I126" s="252" t="s">
        <v>287</v>
      </c>
      <c r="J126" s="254" t="s">
        <v>287</v>
      </c>
      <c r="K126" s="260" t="e">
        <f t="shared" si="3"/>
        <v>#VALUE!</v>
      </c>
    </row>
    <row r="127" spans="1:11" x14ac:dyDescent="0.2">
      <c r="A127" s="186" t="s">
        <v>1869</v>
      </c>
      <c r="B127" s="304" t="str">
        <f>IFERROR(VLOOKUP(A127,[3]Hoja1!$B$3:$I$1048576,5,FALSE),"")</f>
        <v/>
      </c>
      <c r="C127" s="305" t="str">
        <f>IFERROR(VLOOKUP(A127,[3]Hoja1!$B$3:$K$124,9,FALSE),"")</f>
        <v/>
      </c>
      <c r="D127" s="305" t="str">
        <f>IFERROR(VLOOKUP(A127,[3]Hoja1!$B$3:$I$1048576,8,FALSE),"")</f>
        <v/>
      </c>
      <c r="E127" s="305" t="str">
        <f>IFERROR(VLOOKUP(A127,[3]Hoja1!$B$3:$K$124,10,FALSE),"")</f>
        <v/>
      </c>
      <c r="F127" s="243" t="s">
        <v>1889</v>
      </c>
      <c r="G127" s="304" t="str">
        <f>IFERROR(VLOOKUP(A127,[3]Hoja1!$B$3:$K$124,3,FALSE),"")</f>
        <v/>
      </c>
      <c r="H127" s="304" t="str">
        <f>IFERROR(VLOOKUP(A127,[3]Hoja1!$B$3:$K$124,2,FALSE),"")</f>
        <v/>
      </c>
      <c r="I127" s="252" t="s">
        <v>287</v>
      </c>
      <c r="J127" s="254" t="s">
        <v>287</v>
      </c>
      <c r="K127" s="260" t="e">
        <f t="shared" si="3"/>
        <v>#VALUE!</v>
      </c>
    </row>
    <row r="128" spans="1:11" x14ac:dyDescent="0.2">
      <c r="A128" s="186" t="s">
        <v>1870</v>
      </c>
      <c r="B128" s="304" t="str">
        <f>IFERROR(VLOOKUP(A128,[3]Hoja1!$B$3:$I$1048576,5,FALSE),"")</f>
        <v/>
      </c>
      <c r="C128" s="305" t="str">
        <f>IFERROR(VLOOKUP(A128,[3]Hoja1!$B$3:$K$124,9,FALSE),"")</f>
        <v/>
      </c>
      <c r="D128" s="305" t="str">
        <f>IFERROR(VLOOKUP(A128,[3]Hoja1!$B$3:$I$1048576,8,FALSE),"")</f>
        <v/>
      </c>
      <c r="E128" s="305" t="str">
        <f>IFERROR(VLOOKUP(A128,[3]Hoja1!$B$3:$K$124,10,FALSE),"")</f>
        <v/>
      </c>
      <c r="F128" s="243" t="s">
        <v>1889</v>
      </c>
      <c r="G128" s="304" t="str">
        <f>IFERROR(VLOOKUP(A128,[3]Hoja1!$B$3:$K$124,3,FALSE),"")</f>
        <v/>
      </c>
      <c r="H128" s="304" t="str">
        <f>IFERROR(VLOOKUP(A128,[3]Hoja1!$B$3:$K$124,2,FALSE),"")</f>
        <v/>
      </c>
      <c r="I128" s="252" t="s">
        <v>287</v>
      </c>
      <c r="J128" s="254" t="s">
        <v>287</v>
      </c>
      <c r="K128" s="260" t="e">
        <f t="shared" si="3"/>
        <v>#VALUE!</v>
      </c>
    </row>
    <row r="129" spans="1:11" x14ac:dyDescent="0.2">
      <c r="A129" s="186" t="s">
        <v>1871</v>
      </c>
      <c r="B129" s="304" t="str">
        <f>IFERROR(VLOOKUP(A129,[3]Hoja1!$B$3:$I$1048576,5,FALSE),"")</f>
        <v/>
      </c>
      <c r="C129" s="305" t="str">
        <f>IFERROR(VLOOKUP(A129,[3]Hoja1!$B$3:$K$124,9,FALSE),"")</f>
        <v/>
      </c>
      <c r="D129" s="305" t="str">
        <f>IFERROR(VLOOKUP(A129,[3]Hoja1!$B$3:$I$1048576,8,FALSE),"")</f>
        <v/>
      </c>
      <c r="E129" s="305" t="str">
        <f>IFERROR(VLOOKUP(A129,[3]Hoja1!$B$3:$K$124,10,FALSE),"")</f>
        <v/>
      </c>
      <c r="F129" s="243" t="s">
        <v>1889</v>
      </c>
      <c r="G129" s="304" t="str">
        <f>IFERROR(VLOOKUP(A129,[3]Hoja1!$B$3:$K$124,3,FALSE),"")</f>
        <v/>
      </c>
      <c r="H129" s="304" t="str">
        <f>IFERROR(VLOOKUP(A129,[3]Hoja1!$B$3:$K$124,2,FALSE),"")</f>
        <v/>
      </c>
      <c r="I129" s="252" t="s">
        <v>287</v>
      </c>
      <c r="J129" s="254" t="s">
        <v>287</v>
      </c>
      <c r="K129" s="260" t="e">
        <f t="shared" si="3"/>
        <v>#VALUE!</v>
      </c>
    </row>
    <row r="130" spans="1:11" x14ac:dyDescent="0.2">
      <c r="A130" s="186" t="s">
        <v>1879</v>
      </c>
      <c r="B130" s="304" t="str">
        <f>IFERROR(VLOOKUP(A130,[3]Hoja1!$B$3:$I$1048576,5,FALSE),"")</f>
        <v/>
      </c>
      <c r="C130" s="305" t="str">
        <f>IFERROR(VLOOKUP(A130,[3]Hoja1!$B$3:$K$124,9,FALSE),"")</f>
        <v/>
      </c>
      <c r="D130" s="305" t="str">
        <f>IFERROR(VLOOKUP(A130,[3]Hoja1!$B$3:$I$1048576,8,FALSE),"")</f>
        <v/>
      </c>
      <c r="E130" s="305" t="str">
        <f>IFERROR(VLOOKUP(A130,[3]Hoja1!$B$3:$K$124,10,FALSE),"")</f>
        <v/>
      </c>
      <c r="F130" s="243" t="s">
        <v>286</v>
      </c>
      <c r="G130" s="304" t="str">
        <f>IFERROR(VLOOKUP(A130,[3]Hoja1!$B$3:$K$124,3,FALSE),"")</f>
        <v/>
      </c>
      <c r="H130" s="304" t="str">
        <f>IFERROR(VLOOKUP(A130,[3]Hoja1!$B$3:$K$124,2,FALSE),"")</f>
        <v/>
      </c>
      <c r="I130" s="252" t="s">
        <v>287</v>
      </c>
      <c r="J130" s="254" t="s">
        <v>287</v>
      </c>
      <c r="K130" s="260" t="e">
        <f t="shared" si="3"/>
        <v>#VALUE!</v>
      </c>
    </row>
    <row r="131" spans="1:11" x14ac:dyDescent="0.2">
      <c r="A131" s="186" t="s">
        <v>1880</v>
      </c>
      <c r="B131" s="304" t="str">
        <f>IFERROR(VLOOKUP(A131,[3]Hoja1!$B$3:$I$1048576,5,FALSE),"")</f>
        <v/>
      </c>
      <c r="C131" s="305" t="str">
        <f>IFERROR(VLOOKUP(A131,[3]Hoja1!$B$3:$K$124,9,FALSE),"")</f>
        <v/>
      </c>
      <c r="D131" s="305" t="str">
        <f>IFERROR(VLOOKUP(A131,[3]Hoja1!$B$3:$I$1048576,8,FALSE),"")</f>
        <v/>
      </c>
      <c r="E131" s="305" t="str">
        <f>IFERROR(VLOOKUP(A131,[3]Hoja1!$B$3:$K$124,10,FALSE),"")</f>
        <v/>
      </c>
      <c r="F131" s="243" t="s">
        <v>286</v>
      </c>
      <c r="G131" s="304" t="str">
        <f>IFERROR(VLOOKUP(A131,[3]Hoja1!$B$3:$K$124,3,FALSE),"")</f>
        <v/>
      </c>
      <c r="H131" s="304" t="str">
        <f>IFERROR(VLOOKUP(A131,[3]Hoja1!$B$3:$K$124,2,FALSE),"")</f>
        <v/>
      </c>
      <c r="I131" s="252" t="s">
        <v>287</v>
      </c>
      <c r="J131" s="254" t="s">
        <v>287</v>
      </c>
      <c r="K131" s="260" t="e">
        <f t="shared" si="3"/>
        <v>#VALUE!</v>
      </c>
    </row>
    <row r="132" spans="1:11" x14ac:dyDescent="0.2">
      <c r="A132" s="186" t="s">
        <v>924</v>
      </c>
      <c r="B132" s="304" t="str">
        <f>IFERROR(VLOOKUP(A132,[3]Hoja1!$B$3:$I$1048576,5,FALSE),"")</f>
        <v/>
      </c>
      <c r="C132" s="305" t="str">
        <f>IFERROR(VLOOKUP(A132,[3]Hoja1!$B$3:$K$124,9,FALSE),"")</f>
        <v/>
      </c>
      <c r="D132" s="305" t="str">
        <f>IFERROR(VLOOKUP(A132,[3]Hoja1!$B$3:$I$1048576,8,FALSE),"")</f>
        <v/>
      </c>
      <c r="E132" s="305" t="str">
        <f>IFERROR(VLOOKUP(A132,[3]Hoja1!$B$3:$K$124,10,FALSE),"")</f>
        <v/>
      </c>
      <c r="F132" s="243" t="s">
        <v>1872</v>
      </c>
      <c r="G132" s="304" t="str">
        <f>IFERROR(VLOOKUP(A132,[3]Hoja1!$B$3:$K$124,3,FALSE),"")</f>
        <v/>
      </c>
      <c r="H132" s="304" t="str">
        <f>IFERROR(VLOOKUP(A132,[3]Hoja1!$B$3:$K$124,2,FALSE),"")</f>
        <v/>
      </c>
      <c r="I132" s="252" t="s">
        <v>287</v>
      </c>
      <c r="J132" s="254" t="s">
        <v>287</v>
      </c>
      <c r="K132" s="260" t="e">
        <f t="shared" si="3"/>
        <v>#VALUE!</v>
      </c>
    </row>
    <row r="133" spans="1:11" x14ac:dyDescent="0.2">
      <c r="A133" s="186" t="s">
        <v>925</v>
      </c>
      <c r="B133" s="304" t="str">
        <f>IFERROR(VLOOKUP(A133,[3]Hoja1!$B$3:$I$1048576,5,FALSE),"")</f>
        <v/>
      </c>
      <c r="C133" s="305" t="str">
        <f>IFERROR(VLOOKUP(A133,[3]Hoja1!$B$3:$K$124,9,FALSE),"")</f>
        <v/>
      </c>
      <c r="D133" s="305" t="str">
        <f>IFERROR(VLOOKUP(A133,[3]Hoja1!$B$3:$I$1048576,8,FALSE),"")</f>
        <v/>
      </c>
      <c r="E133" s="305" t="str">
        <f>IFERROR(VLOOKUP(A133,[3]Hoja1!$B$3:$K$124,10,FALSE),"")</f>
        <v/>
      </c>
      <c r="F133" s="243" t="s">
        <v>1872</v>
      </c>
      <c r="G133" s="304" t="str">
        <f>IFERROR(VLOOKUP(A133,[3]Hoja1!$B$3:$K$124,3,FALSE),"")</f>
        <v/>
      </c>
      <c r="H133" s="304" t="str">
        <f>IFERROR(VLOOKUP(A133,[3]Hoja1!$B$3:$K$124,2,FALSE),"")</f>
        <v/>
      </c>
      <c r="I133" s="252" t="s">
        <v>287</v>
      </c>
      <c r="J133" s="254" t="s">
        <v>287</v>
      </c>
      <c r="K133" s="260" t="e">
        <f t="shared" si="3"/>
        <v>#VALUE!</v>
      </c>
    </row>
    <row r="134" spans="1:11" x14ac:dyDescent="0.2">
      <c r="A134" s="186" t="s">
        <v>1873</v>
      </c>
      <c r="B134" s="304" t="str">
        <f>IFERROR(VLOOKUP(A134,[3]Hoja1!$B$3:$I$1048576,5,FALSE),"")</f>
        <v/>
      </c>
      <c r="C134" s="305" t="str">
        <f>IFERROR(VLOOKUP(A134,[3]Hoja1!$B$3:$K$124,9,FALSE),"")</f>
        <v/>
      </c>
      <c r="D134" s="305" t="str">
        <f>IFERROR(VLOOKUP(A134,[3]Hoja1!$B$3:$I$1048576,8,FALSE),"")</f>
        <v/>
      </c>
      <c r="E134" s="305" t="str">
        <f>IFERROR(VLOOKUP(A134,[3]Hoja1!$B$3:$K$124,10,FALSE),"")</f>
        <v/>
      </c>
      <c r="F134" s="243" t="s">
        <v>1872</v>
      </c>
      <c r="G134" s="304" t="str">
        <f>IFERROR(VLOOKUP(A134,[3]Hoja1!$B$3:$K$124,3,FALSE),"")</f>
        <v/>
      </c>
      <c r="H134" s="304" t="str">
        <f>IFERROR(VLOOKUP(A134,[3]Hoja1!$B$3:$K$124,2,FALSE),"")</f>
        <v/>
      </c>
      <c r="I134" s="252" t="s">
        <v>287</v>
      </c>
      <c r="J134" s="254" t="s">
        <v>287</v>
      </c>
      <c r="K134" s="260" t="e">
        <f t="shared" si="3"/>
        <v>#VALUE!</v>
      </c>
    </row>
    <row r="135" spans="1:11" x14ac:dyDescent="0.2">
      <c r="A135" s="186" t="s">
        <v>936</v>
      </c>
      <c r="B135" s="304" t="str">
        <f>IFERROR(VLOOKUP(A135,[3]Hoja1!$B$3:$I$1048576,5,FALSE),"")</f>
        <v/>
      </c>
      <c r="C135" s="305" t="str">
        <f>IFERROR(VLOOKUP(A135,[3]Hoja1!$B$3:$K$124,9,FALSE),"")</f>
        <v/>
      </c>
      <c r="D135" s="305" t="str">
        <f>IFERROR(VLOOKUP(A135,[3]Hoja1!$B$3:$I$1048576,8,FALSE),"")</f>
        <v/>
      </c>
      <c r="E135" s="305" t="str">
        <f>IFERROR(VLOOKUP(A135,[3]Hoja1!$B$3:$K$124,10,FALSE),"")</f>
        <v/>
      </c>
      <c r="F135" s="243" t="s">
        <v>286</v>
      </c>
      <c r="G135" s="304" t="str">
        <f>IFERROR(VLOOKUP(A135,[3]Hoja1!$B$3:$K$124,3,FALSE),"")</f>
        <v/>
      </c>
      <c r="H135" s="304" t="str">
        <f>IFERROR(VLOOKUP(A135,[3]Hoja1!$B$3:$K$124,2,FALSE),"")</f>
        <v/>
      </c>
      <c r="I135" s="252" t="s">
        <v>287</v>
      </c>
      <c r="J135" s="254" t="s">
        <v>287</v>
      </c>
      <c r="K135" s="260" t="e">
        <f t="shared" si="3"/>
        <v>#VALUE!</v>
      </c>
    </row>
    <row r="136" spans="1:11" ht="12.75" customHeight="1" x14ac:dyDescent="0.2">
      <c r="A136" s="186" t="s">
        <v>289</v>
      </c>
      <c r="B136" s="304" t="str">
        <f>IFERROR(VLOOKUP(A136,[3]Hoja1!$B$3:$I$1048576,5,FALSE),"")</f>
        <v/>
      </c>
      <c r="C136" s="305" t="str">
        <f>IFERROR(VLOOKUP(A136,[3]Hoja1!$B$3:$K$124,9,FALSE),"")</f>
        <v/>
      </c>
      <c r="D136" s="305" t="str">
        <f>IFERROR(VLOOKUP(A136,[3]Hoja1!$B$3:$I$1048576,8,FALSE),"")</f>
        <v/>
      </c>
      <c r="E136" s="305" t="str">
        <f>IFERROR(VLOOKUP(A136,[3]Hoja1!$B$3:$K$124,10,FALSE),"")</f>
        <v/>
      </c>
      <c r="F136" s="243" t="s">
        <v>286</v>
      </c>
      <c r="G136" s="304" t="str">
        <f>IFERROR(VLOOKUP(A136,[3]Hoja1!$B$3:$K$124,3,FALSE),"")</f>
        <v/>
      </c>
      <c r="H136" s="304" t="str">
        <f>IFERROR(VLOOKUP(A136,[3]Hoja1!$B$3:$K$124,2,FALSE),"")</f>
        <v/>
      </c>
      <c r="I136" s="252" t="s">
        <v>287</v>
      </c>
      <c r="J136" s="254" t="s">
        <v>287</v>
      </c>
      <c r="K136" s="260" t="e">
        <f t="shared" si="3"/>
        <v>#VALUE!</v>
      </c>
    </row>
    <row r="137" spans="1:11" x14ac:dyDescent="0.2">
      <c r="A137" s="186"/>
      <c r="B137" s="304" t="str">
        <f>IFERROR(VLOOKUP(A137,[3]Hoja1!$B$3:$I$1048576,5,FALSE),"")</f>
        <v/>
      </c>
      <c r="C137" s="305" t="str">
        <f>IFERROR(VLOOKUP(A137,[3]Hoja1!$B$3:$K$124,9,FALSE),"")</f>
        <v/>
      </c>
      <c r="D137" s="305" t="str">
        <f>IFERROR(VLOOKUP(A137,[3]Hoja1!$B$3:$I$1048576,8,FALSE),"")</f>
        <v/>
      </c>
      <c r="E137" s="305" t="str">
        <f>IFERROR(VLOOKUP(A137,[3]Hoja1!$B$3:$K$124,10,FALSE),"")</f>
        <v/>
      </c>
      <c r="F137" s="243"/>
      <c r="G137" s="304" t="str">
        <f>IFERROR(VLOOKUP(A137,[3]Hoja1!$B$3:$K$124,3,FALSE),"")</f>
        <v/>
      </c>
      <c r="H137" s="304" t="str">
        <f>IFERROR(VLOOKUP(A137,[3]Hoja1!$B$3:$K$124,2,FALSE),"")</f>
        <v/>
      </c>
      <c r="I137" s="255"/>
      <c r="J137" s="255"/>
      <c r="K137" s="260" t="e">
        <f t="shared" si="3"/>
        <v>#VALUE!</v>
      </c>
    </row>
    <row r="138" spans="1:11" x14ac:dyDescent="0.2">
      <c r="A138" s="186"/>
      <c r="B138" s="304" t="str">
        <f>IFERROR(VLOOKUP(A138,[3]Hoja1!$B$3:$I$1048576,5,FALSE),"")</f>
        <v/>
      </c>
      <c r="C138" s="305" t="str">
        <f>IFERROR(VLOOKUP(A138,[3]Hoja1!$B$3:$K$124,9,FALSE),"")</f>
        <v/>
      </c>
      <c r="D138" s="305" t="str">
        <f>IFERROR(VLOOKUP(A138,[3]Hoja1!$B$3:$I$1048576,8,FALSE),"")</f>
        <v/>
      </c>
      <c r="E138" s="305" t="str">
        <f>IFERROR(VLOOKUP(A138,[3]Hoja1!$B$3:$K$124,10,FALSE),"")</f>
        <v/>
      </c>
      <c r="F138" s="243"/>
      <c r="G138" s="304" t="str">
        <f>IFERROR(VLOOKUP(A138,[3]Hoja1!$B$3:$K$124,3,FALSE),"")</f>
        <v/>
      </c>
      <c r="H138" s="304" t="str">
        <f>IFERROR(VLOOKUP(A138,[3]Hoja1!$B$3:$K$124,2,FALSE),"")</f>
        <v/>
      </c>
      <c r="I138" s="255"/>
      <c r="J138" s="255"/>
      <c r="K138" s="260" t="e">
        <f t="shared" si="3"/>
        <v>#VALUE!</v>
      </c>
    </row>
    <row r="139" spans="1:11" x14ac:dyDescent="0.2">
      <c r="A139" s="186">
        <v>101</v>
      </c>
      <c r="B139" s="304">
        <f>IFERROR(VLOOKUP(A139,[3]Hoja1!$B$3:$I$1048576,5,FALSE),"")</f>
        <v>41.754666666666687</v>
      </c>
      <c r="C139" s="305">
        <f>IFERROR(VLOOKUP(A139,[3]Hoja1!$B$3:$K$124,9,FALSE),"")</f>
        <v>1460.9375</v>
      </c>
      <c r="D139" s="305">
        <f>IFERROR(VLOOKUP(A139,[3]Hoja1!$B$3:$I$1048576,8,FALSE),"")</f>
        <v>61000.958333333336</v>
      </c>
      <c r="E139" s="305">
        <f>IFERROR(VLOOKUP(A139,[3]Hoja1!$B$3:$K$124,10,FALSE),"")</f>
        <v>1868.547430000001</v>
      </c>
      <c r="F139" s="243" t="s">
        <v>286</v>
      </c>
      <c r="G139" s="304">
        <f>IFERROR(VLOOKUP(A139,[3]Hoja1!$B$3:$K$124,3,FALSE),"")</f>
        <v>0.96875000000000011</v>
      </c>
      <c r="H139" s="304">
        <f>IFERROR(VLOOKUP(A139,[3]Hoja1!$B$3:$K$124,2,FALSE),"")</f>
        <v>0.52293749999999983</v>
      </c>
      <c r="I139" s="255" t="s">
        <v>225</v>
      </c>
      <c r="J139" s="255" t="s">
        <v>225</v>
      </c>
      <c r="K139" s="260">
        <f t="shared" si="3"/>
        <v>40.449833333333359</v>
      </c>
    </row>
    <row r="140" spans="1:11" x14ac:dyDescent="0.2">
      <c r="A140" s="186">
        <v>102</v>
      </c>
      <c r="B140" s="304">
        <f>IFERROR(VLOOKUP(A140,[3]Hoja1!$B$3:$I$1048576,5,FALSE),"")</f>
        <v>38.866336666666669</v>
      </c>
      <c r="C140" s="305">
        <f>IFERROR(VLOOKUP(A140,[3]Hoja1!$B$3:$K$124,9,FALSE),"")</f>
        <v>1460.9375</v>
      </c>
      <c r="D140" s="305">
        <f>IFERROR(VLOOKUP(A140,[3]Hoja1!$B$3:$I$1048576,8,FALSE),"")</f>
        <v>56777.275833333326</v>
      </c>
      <c r="E140" s="305">
        <f>IFERROR(VLOOKUP(A140,[3]Hoja1!$B$3:$K$124,10,FALSE),"")</f>
        <v>1731.76336103125</v>
      </c>
      <c r="F140" s="243" t="s">
        <v>286</v>
      </c>
      <c r="G140" s="304">
        <f>IFERROR(VLOOKUP(A140,[3]Hoja1!$B$3:$K$124,3,FALSE),"")</f>
        <v>0.96875000000000011</v>
      </c>
      <c r="H140" s="304">
        <f>IFERROR(VLOOKUP(A140,[3]Hoja1!$B$3:$K$124,2,FALSE),"")</f>
        <v>0.51656249999999959</v>
      </c>
      <c r="I140" s="255" t="s">
        <v>225</v>
      </c>
      <c r="J140" s="255" t="s">
        <v>225</v>
      </c>
      <c r="K140" s="260">
        <f t="shared" si="3"/>
        <v>37.651763645833341</v>
      </c>
    </row>
    <row r="141" spans="1:11" ht="12.75" customHeight="1" x14ac:dyDescent="0.2">
      <c r="A141" s="186">
        <v>103</v>
      </c>
      <c r="B141" s="304">
        <f>IFERROR(VLOOKUP(A141,[3]Hoja1!$B$3:$I$1048576,5,FALSE),"")</f>
        <v>44.186333333333337</v>
      </c>
      <c r="C141" s="305">
        <f>IFERROR(VLOOKUP(A141,[3]Hoja1!$B$3:$K$124,9,FALSE),"")</f>
        <v>1463.4146341463415</v>
      </c>
      <c r="D141" s="305">
        <f>IFERROR(VLOOKUP(A141,[3]Hoja1!$B$3:$I$1048576,8,FALSE),"")</f>
        <v>64655.75</v>
      </c>
      <c r="E141" s="305">
        <f>IFERROR(VLOOKUP(A141,[3]Hoja1!$B$3:$K$124,10,FALSE),"")</f>
        <v>1971.7657406585363</v>
      </c>
      <c r="F141" s="243" t="s">
        <v>286</v>
      </c>
      <c r="G141" s="304">
        <f>IFERROR(VLOOKUP(A141,[3]Hoja1!$B$3:$K$124,3,FALSE),"")</f>
        <v>0.97073170731707314</v>
      </c>
      <c r="H141" s="304">
        <f>IFERROR(VLOOKUP(A141,[3]Hoja1!$B$3:$K$124,2,FALSE),"")</f>
        <v>0.51686097560975608</v>
      </c>
      <c r="I141" s="255" t="s">
        <v>225</v>
      </c>
      <c r="J141" s="255" t="s">
        <v>225</v>
      </c>
      <c r="K141" s="260">
        <f t="shared" si="3"/>
        <v>42.893074796747968</v>
      </c>
    </row>
    <row r="142" spans="1:11" x14ac:dyDescent="0.2">
      <c r="A142" s="186">
        <v>104</v>
      </c>
      <c r="B142" s="304">
        <f>IFERROR(VLOOKUP(A142,[3]Hoja1!$B$3:$I$1048576,5,FALSE),"")</f>
        <v>55.110833333333325</v>
      </c>
      <c r="C142" s="305">
        <f>IFERROR(VLOOKUP(A142,[3]Hoja1!$B$3:$K$124,9,FALSE),"")</f>
        <v>1463.4146341463415</v>
      </c>
      <c r="D142" s="305">
        <f>IFERROR(VLOOKUP(A142,[3]Hoja1!$B$3:$I$1048576,8,FALSE),"")</f>
        <v>80650.000000000015</v>
      </c>
      <c r="E142" s="305">
        <f>IFERROR(VLOOKUP(A142,[3]Hoja1!$B$3:$K$124,10,FALSE),"")</f>
        <v>2461.0871725000011</v>
      </c>
      <c r="F142" s="243" t="s">
        <v>286</v>
      </c>
      <c r="G142" s="304">
        <f>IFERROR(VLOOKUP(A142,[3]Hoja1!$B$3:$K$124,3,FALSE),"")</f>
        <v>0.97073170731707314</v>
      </c>
      <c r="H142" s="304">
        <f>IFERROR(VLOOKUP(A142,[3]Hoja1!$B$3:$K$124,2,FALSE),"")</f>
        <v>0.51783658536585364</v>
      </c>
      <c r="I142" s="255" t="s">
        <v>225</v>
      </c>
      <c r="J142" s="255" t="s">
        <v>225</v>
      </c>
      <c r="K142" s="260">
        <f t="shared" si="3"/>
        <v>53.497833333333325</v>
      </c>
    </row>
    <row r="143" spans="1:11" x14ac:dyDescent="0.2">
      <c r="A143" s="186">
        <v>105</v>
      </c>
      <c r="B143" s="304">
        <f>IFERROR(VLOOKUP(A143,[3]Hoja1!$B$3:$I$1048576,5,FALSE),"")</f>
        <v>53.081333333333319</v>
      </c>
      <c r="C143" s="305">
        <f>IFERROR(VLOOKUP(A143,[3]Hoja1!$B$3:$K$124,9,FALSE),"")</f>
        <v>1463.4146341463415</v>
      </c>
      <c r="D143" s="305">
        <f>IFERROR(VLOOKUP(A143,[3]Hoja1!$B$3:$I$1048576,8,FALSE),"")</f>
        <v>77682.916666666672</v>
      </c>
      <c r="E143" s="305">
        <f>IFERROR(VLOOKUP(A143,[3]Hoja1!$B$3:$K$124,10,FALSE),"")</f>
        <v>2374.798092</v>
      </c>
      <c r="F143" s="243" t="s">
        <v>286</v>
      </c>
      <c r="G143" s="304">
        <f>IFERROR(VLOOKUP(A143,[3]Hoja1!$B$3:$K$124,3,FALSE),"")</f>
        <v>0.97073170731707314</v>
      </c>
      <c r="H143" s="304">
        <f>IFERROR(VLOOKUP(A143,[3]Hoja1!$B$3:$K$124,2,FALSE),"")</f>
        <v>0.52051951219512194</v>
      </c>
      <c r="I143" s="255" t="s">
        <v>225</v>
      </c>
      <c r="J143" s="255" t="s">
        <v>225</v>
      </c>
      <c r="K143" s="260">
        <f t="shared" si="3"/>
        <v>51.527733333333316</v>
      </c>
    </row>
    <row r="144" spans="1:11" x14ac:dyDescent="0.2">
      <c r="A144" s="186">
        <v>106</v>
      </c>
      <c r="B144" s="304">
        <f>IFERROR(VLOOKUP(A144,[3]Hoja1!$B$3:$I$1048576,5,FALSE),"")</f>
        <v>36.503</v>
      </c>
      <c r="C144" s="305">
        <f>IFERROR(VLOOKUP(A144,[3]Hoja1!$B$3:$K$124,9,FALSE),"")</f>
        <v>1460.9375</v>
      </c>
      <c r="D144" s="305">
        <f>IFERROR(VLOOKUP(A144,[3]Hoja1!$B$3:$I$1048576,8,FALSE),"")</f>
        <v>53323.458333333328</v>
      </c>
      <c r="E144" s="305">
        <f>IFERROR(VLOOKUP(A144,[3]Hoja1!$B$3:$K$124,10,FALSE),"")</f>
        <v>1628.9598237500002</v>
      </c>
      <c r="F144" s="243" t="s">
        <v>286</v>
      </c>
      <c r="G144" s="304">
        <f>IFERROR(VLOOKUP(A144,[3]Hoja1!$B$3:$K$124,3,FALSE),"")</f>
        <v>0.96875000000000011</v>
      </c>
      <c r="H144" s="304">
        <f>IFERROR(VLOOKUP(A144,[3]Hoja1!$B$3:$K$124,2,FALSE),"")</f>
        <v>0.51887499999999975</v>
      </c>
      <c r="I144" s="255" t="s">
        <v>225</v>
      </c>
      <c r="J144" s="255" t="s">
        <v>225</v>
      </c>
      <c r="K144" s="260">
        <f t="shared" si="3"/>
        <v>35.362281250000002</v>
      </c>
    </row>
    <row r="145" spans="1:11" x14ac:dyDescent="0.2">
      <c r="A145" s="186">
        <v>107</v>
      </c>
      <c r="B145" s="304">
        <f>IFERROR(VLOOKUP(A145,[3]Hoja1!$B$3:$I$1048576,5,FALSE),"")</f>
        <v>43.290666666666688</v>
      </c>
      <c r="C145" s="305">
        <f>IFERROR(VLOOKUP(A145,[3]Hoja1!$B$3:$K$124,9,FALSE),"")</f>
        <v>1460.9375</v>
      </c>
      <c r="D145" s="305">
        <f>IFERROR(VLOOKUP(A145,[3]Hoja1!$B$3:$I$1048576,8,FALSE),"")</f>
        <v>63244.958333333328</v>
      </c>
      <c r="E145" s="305">
        <f>IFERROR(VLOOKUP(A145,[3]Hoja1!$B$3:$K$124,10,FALSE),"")</f>
        <v>1929.573239999999</v>
      </c>
      <c r="F145" s="243" t="s">
        <v>286</v>
      </c>
      <c r="G145" s="304">
        <f>IFERROR(VLOOKUP(A145,[3]Hoja1!$B$3:$K$124,3,FALSE),"")</f>
        <v>0.96875000000000011</v>
      </c>
      <c r="H145" s="304">
        <f>IFERROR(VLOOKUP(A145,[3]Hoja1!$B$3:$K$124,2,FALSE),"")</f>
        <v>0.5169999999999999</v>
      </c>
      <c r="I145" s="255" t="s">
        <v>225</v>
      </c>
      <c r="J145" s="255" t="s">
        <v>225</v>
      </c>
      <c r="K145" s="260">
        <f t="shared" si="3"/>
        <v>41.937833333333359</v>
      </c>
    </row>
    <row r="146" spans="1:11" x14ac:dyDescent="0.2">
      <c r="A146" s="186">
        <v>108</v>
      </c>
      <c r="B146" s="304">
        <f>IFERROR(VLOOKUP(A146,[3]Hoja1!$B$3:$I$1048576,5,FALSE),"")</f>
        <v>41.590999999999994</v>
      </c>
      <c r="C146" s="305">
        <f>IFERROR(VLOOKUP(A146,[3]Hoja1!$B$3:$K$124,9,FALSE),"")</f>
        <v>1460.9375</v>
      </c>
      <c r="D146" s="305">
        <f>IFERROR(VLOOKUP(A146,[3]Hoja1!$B$3:$I$1048576,8,FALSE),"")</f>
        <v>60763.416666666657</v>
      </c>
      <c r="E146" s="305">
        <f>IFERROR(VLOOKUP(A146,[3]Hoja1!$B$3:$K$124,10,FALSE),"")</f>
        <v>1855.6460218750005</v>
      </c>
      <c r="F146" s="243" t="s">
        <v>286</v>
      </c>
      <c r="G146" s="304">
        <f>IFERROR(VLOOKUP(A146,[3]Hoja1!$B$3:$K$124,3,FALSE),"")</f>
        <v>0.99218749999999989</v>
      </c>
      <c r="H146" s="304">
        <f>IFERROR(VLOOKUP(A146,[3]Hoja1!$B$3:$K$124,2,FALSE),"")</f>
        <v>0.49500000000000033</v>
      </c>
      <c r="I146" s="255" t="s">
        <v>225</v>
      </c>
      <c r="J146" s="255" t="s">
        <v>225</v>
      </c>
      <c r="K146" s="260">
        <f t="shared" si="3"/>
        <v>41.266070312499991</v>
      </c>
    </row>
    <row r="147" spans="1:11" x14ac:dyDescent="0.2">
      <c r="A147" s="186" t="s">
        <v>1906</v>
      </c>
      <c r="B147" s="304">
        <v>21.743333333333332</v>
      </c>
      <c r="C147" s="305">
        <v>1500</v>
      </c>
      <c r="D147" s="305">
        <v>32615</v>
      </c>
      <c r="E147" s="305">
        <v>913.36824999999953</v>
      </c>
      <c r="F147" s="243" t="s">
        <v>1889</v>
      </c>
      <c r="G147" s="304">
        <v>0.95</v>
      </c>
      <c r="H147" s="304">
        <v>0.4502272727272727</v>
      </c>
      <c r="I147" s="252" t="s">
        <v>1872</v>
      </c>
      <c r="J147" s="254" t="s">
        <v>1872</v>
      </c>
      <c r="K147" s="260">
        <v>20.656166666666664</v>
      </c>
    </row>
    <row r="148" spans="1:11" ht="12.75" customHeight="1" x14ac:dyDescent="0.2">
      <c r="A148" s="186" t="s">
        <v>1907</v>
      </c>
      <c r="B148" s="191">
        <v>21.743333333333332</v>
      </c>
      <c r="C148" s="192">
        <v>1500</v>
      </c>
      <c r="D148" s="187">
        <v>32615</v>
      </c>
      <c r="E148" s="188">
        <v>913.36824999999953</v>
      </c>
      <c r="F148" s="243" t="s">
        <v>1889</v>
      </c>
      <c r="G148" s="304">
        <v>0.95</v>
      </c>
      <c r="H148" s="304">
        <v>0.4502272727272727</v>
      </c>
      <c r="I148" s="252" t="s">
        <v>1872</v>
      </c>
      <c r="J148" s="254" t="s">
        <v>1872</v>
      </c>
      <c r="K148" s="260">
        <v>20.656166666666664</v>
      </c>
    </row>
    <row r="149" spans="1:11" x14ac:dyDescent="0.2">
      <c r="A149" s="186" t="s">
        <v>1908</v>
      </c>
      <c r="B149" s="191">
        <v>18.499666666666666</v>
      </c>
      <c r="C149" s="192">
        <v>1650</v>
      </c>
      <c r="D149" s="187">
        <v>30524.45</v>
      </c>
      <c r="E149" s="188">
        <v>881.68411351351392</v>
      </c>
      <c r="F149" s="243" t="s">
        <v>1889</v>
      </c>
      <c r="G149" s="304">
        <v>1.0999999999999999</v>
      </c>
      <c r="H149" s="304">
        <v>0.48864864864864876</v>
      </c>
      <c r="I149" s="255" t="s">
        <v>1872</v>
      </c>
      <c r="J149" s="255" t="s">
        <v>1872</v>
      </c>
      <c r="K149" s="260">
        <f t="shared" ref="K149:K210" si="5">+B149*G149</f>
        <v>20.34963333333333</v>
      </c>
    </row>
    <row r="150" spans="1:11" ht="12.75" customHeight="1" x14ac:dyDescent="0.2">
      <c r="A150" s="186" t="s">
        <v>1909</v>
      </c>
      <c r="B150" s="191">
        <v>17.526</v>
      </c>
      <c r="C150" s="192">
        <v>1650</v>
      </c>
      <c r="D150" s="187">
        <v>28917.9</v>
      </c>
      <c r="E150" s="188">
        <v>835.27968648648687</v>
      </c>
      <c r="F150" s="243" t="s">
        <v>1889</v>
      </c>
      <c r="G150" s="304">
        <v>1.0999999999999999</v>
      </c>
      <c r="H150" s="304">
        <v>0.48864864864864876</v>
      </c>
      <c r="I150" s="255" t="s">
        <v>1872</v>
      </c>
      <c r="J150" s="255" t="s">
        <v>1872</v>
      </c>
      <c r="K150" s="260">
        <f t="shared" si="5"/>
        <v>19.278599999999997</v>
      </c>
    </row>
    <row r="151" spans="1:11" ht="12.75" customHeight="1" x14ac:dyDescent="0.2">
      <c r="A151" s="186"/>
      <c r="B151" s="191"/>
      <c r="C151" s="192"/>
      <c r="D151" s="187"/>
      <c r="E151" s="188"/>
      <c r="F151" s="243"/>
      <c r="G151" s="304" t="str">
        <f>IFERROR(VLOOKUP(A151,[3]Hoja1!$B$3:$K$124,3,FALSE),"")</f>
        <v/>
      </c>
      <c r="H151" s="304" t="str">
        <f>IFERROR(VLOOKUP(A151,[3]Hoja1!$B$3:$K$124,2,FALSE),"")</f>
        <v/>
      </c>
      <c r="I151" s="255"/>
      <c r="J151" s="255"/>
      <c r="K151" s="260" t="e">
        <f t="shared" si="5"/>
        <v>#VALUE!</v>
      </c>
    </row>
    <row r="152" spans="1:11" x14ac:dyDescent="0.2">
      <c r="A152" s="328" t="s">
        <v>1885</v>
      </c>
      <c r="B152" s="329"/>
      <c r="C152" s="192"/>
      <c r="D152" s="187"/>
      <c r="E152" s="188"/>
      <c r="F152" s="243"/>
      <c r="G152" s="304" t="str">
        <f>IFERROR(VLOOKUP(A152,[3]Hoja1!$B$3:$K$124,3,FALSE),"")</f>
        <v/>
      </c>
      <c r="H152" s="304" t="str">
        <f>IFERROR(VLOOKUP(A152,[3]Hoja1!$B$3:$K$124,2,FALSE),"")</f>
        <v/>
      </c>
      <c r="I152" s="255"/>
      <c r="J152" s="255"/>
      <c r="K152" s="260" t="e">
        <f t="shared" si="5"/>
        <v>#VALUE!</v>
      </c>
    </row>
    <row r="153" spans="1:11" x14ac:dyDescent="0.2">
      <c r="A153" s="186">
        <v>201</v>
      </c>
      <c r="B153" s="304">
        <f>IFERROR(VLOOKUP(A153,[3]Hoja1!$B$3:$I$1048576,5,FALSE),"")</f>
        <v>48.896000000000043</v>
      </c>
      <c r="C153" s="305">
        <f>IFERROR(VLOOKUP(A153,[3]Hoja1!$B$3:$K$124,9,FALSE),"")</f>
        <v>1650</v>
      </c>
      <c r="D153" s="305">
        <f>IFERROR(VLOOKUP(A153,[3]Hoja1!$B$3:$I$1048576,8,FALSE),"")</f>
        <v>80678.400000000067</v>
      </c>
      <c r="E153" s="305">
        <f>IFERROR(VLOOKUP(A153,[3]Hoja1!$B$3:$K$124,10,FALSE),"")</f>
        <v>2317.6703999999977</v>
      </c>
      <c r="F153" s="243" t="s">
        <v>286</v>
      </c>
      <c r="G153" s="304">
        <f>IFERROR(VLOOKUP(A153,[3]Hoja1!$B$3:$K$124,3,FALSE),"")</f>
        <v>1.1000000000000008</v>
      </c>
      <c r="H153" s="304">
        <f>IFERROR(VLOOKUP(A153,[3]Hoja1!$B$3:$K$124,2,FALSE),"")</f>
        <v>0.48000000000000037</v>
      </c>
      <c r="I153" s="256" t="s">
        <v>288</v>
      </c>
      <c r="J153" s="256" t="s">
        <v>288</v>
      </c>
      <c r="K153" s="260">
        <f t="shared" si="5"/>
        <v>53.785600000000088</v>
      </c>
    </row>
    <row r="154" spans="1:11" x14ac:dyDescent="0.2">
      <c r="A154" s="186">
        <v>202</v>
      </c>
      <c r="B154" s="304">
        <f>IFERROR(VLOOKUP(A154,[3]Hoja1!$B$3:$I$1048576,5,FALSE),"")</f>
        <v>48.691200000000009</v>
      </c>
      <c r="C154" s="305">
        <f>IFERROR(VLOOKUP(A154,[3]Hoja1!$B$3:$K$124,9,FALSE),"")</f>
        <v>1650</v>
      </c>
      <c r="D154" s="305">
        <f>IFERROR(VLOOKUP(A154,[3]Hoja1!$B$3:$I$1048576,8,FALSE),"")</f>
        <v>80340.479999999981</v>
      </c>
      <c r="E154" s="305">
        <f>IFERROR(VLOOKUP(A154,[3]Hoja1!$B$3:$K$124,10,FALSE),"")</f>
        <v>2315.8751999999999</v>
      </c>
      <c r="F154" s="243" t="s">
        <v>286</v>
      </c>
      <c r="G154" s="304">
        <f>IFERROR(VLOOKUP(A154,[3]Hoja1!$B$3:$K$124,3,FALSE),"")</f>
        <v>1.1000000000000008</v>
      </c>
      <c r="H154" s="304">
        <f>IFERROR(VLOOKUP(A154,[3]Hoja1!$B$3:$K$124,2,FALSE),"")</f>
        <v>0.485416666666666</v>
      </c>
      <c r="I154" s="256" t="s">
        <v>288</v>
      </c>
      <c r="J154" s="256" t="s">
        <v>288</v>
      </c>
      <c r="K154" s="260">
        <f t="shared" si="5"/>
        <v>53.560320000000047</v>
      </c>
    </row>
    <row r="155" spans="1:11" x14ac:dyDescent="0.2">
      <c r="A155" s="186">
        <v>203</v>
      </c>
      <c r="B155" s="304">
        <f>IFERROR(VLOOKUP(A155,[3]Hoja1!$B$3:$I$1048576,5,FALSE),"")</f>
        <v>47.141000000000027</v>
      </c>
      <c r="C155" s="305">
        <f>IFERROR(VLOOKUP(A155,[3]Hoja1!$B$3:$K$124,9,FALSE),"")</f>
        <v>1650</v>
      </c>
      <c r="D155" s="305">
        <f>IFERROR(VLOOKUP(A155,[3]Hoja1!$B$3:$I$1048576,8,FALSE),"")</f>
        <v>77782.649999999936</v>
      </c>
      <c r="E155" s="305">
        <f>IFERROR(VLOOKUP(A155,[3]Hoja1!$B$3:$K$124,10,FALSE),"")</f>
        <v>2248.6256999999991</v>
      </c>
      <c r="F155" s="243" t="s">
        <v>286</v>
      </c>
      <c r="G155" s="304">
        <f>IFERROR(VLOOKUP(A155,[3]Hoja1!$B$3:$K$124,3,FALSE),"")</f>
        <v>1.1000000000000008</v>
      </c>
      <c r="H155" s="304">
        <f>IFERROR(VLOOKUP(A155,[3]Hoja1!$B$3:$K$124,2,FALSE),"")</f>
        <v>0.4899999999999996</v>
      </c>
      <c r="I155" s="256" t="s">
        <v>288</v>
      </c>
      <c r="J155" s="256" t="s">
        <v>288</v>
      </c>
      <c r="K155" s="260">
        <f t="shared" si="5"/>
        <v>51.855100000000064</v>
      </c>
    </row>
    <row r="156" spans="1:11" x14ac:dyDescent="0.2">
      <c r="A156" s="186">
        <v>204</v>
      </c>
      <c r="B156" s="304">
        <f>IFERROR(VLOOKUP(A156,[3]Hoja1!$B$3:$I$1048576,5,FALSE),"")</f>
        <v>48.468666666666699</v>
      </c>
      <c r="C156" s="305">
        <f>IFERROR(VLOOKUP(A156,[3]Hoja1!$B$3:$K$124,9,FALSE),"")</f>
        <v>1650</v>
      </c>
      <c r="D156" s="305">
        <f>IFERROR(VLOOKUP(A156,[3]Hoja1!$B$3:$I$1048576,8,FALSE),"")</f>
        <v>79973.3</v>
      </c>
      <c r="E156" s="305">
        <f>IFERROR(VLOOKUP(A156,[3]Hoja1!$B$3:$K$124,10,FALSE),"")</f>
        <v>2311.9553999999998</v>
      </c>
      <c r="F156" s="243" t="s">
        <v>286</v>
      </c>
      <c r="G156" s="304">
        <f>IFERROR(VLOOKUP(A156,[3]Hoja1!$B$3:$K$124,3,FALSE),"")</f>
        <v>1.1000000000000008</v>
      </c>
      <c r="H156" s="304">
        <f>IFERROR(VLOOKUP(A156,[3]Hoja1!$B$3:$K$124,2,FALSE),"")</f>
        <v>0.4899999999999996</v>
      </c>
      <c r="I156" s="256" t="s">
        <v>288</v>
      </c>
      <c r="J156" s="256" t="s">
        <v>288</v>
      </c>
      <c r="K156" s="260">
        <f t="shared" si="5"/>
        <v>53.315533333333406</v>
      </c>
    </row>
    <row r="157" spans="1:11" x14ac:dyDescent="0.2">
      <c r="A157" s="186">
        <v>205</v>
      </c>
      <c r="B157" s="304">
        <f>IFERROR(VLOOKUP(A157,[3]Hoja1!$B$3:$I$1048576,5,FALSE),"")</f>
        <v>48.288000000000004</v>
      </c>
      <c r="C157" s="305">
        <f>IFERROR(VLOOKUP(A157,[3]Hoja1!$B$3:$K$124,9,FALSE),"")</f>
        <v>1650</v>
      </c>
      <c r="D157" s="305">
        <f>IFERROR(VLOOKUP(A157,[3]Hoja1!$B$3:$I$1048576,8,FALSE),"")</f>
        <v>79675.199999999997</v>
      </c>
      <c r="E157" s="305">
        <f>IFERROR(VLOOKUP(A157,[3]Hoja1!$B$3:$K$124,10,FALSE),"")</f>
        <v>2303.3376000000007</v>
      </c>
      <c r="F157" s="243" t="s">
        <v>286</v>
      </c>
      <c r="G157" s="304">
        <f>IFERROR(VLOOKUP(A157,[3]Hoja1!$B$3:$K$124,3,FALSE),"")</f>
        <v>1.1000000000000008</v>
      </c>
      <c r="H157" s="304">
        <f>IFERROR(VLOOKUP(A157,[3]Hoja1!$B$3:$K$124,2,FALSE),"")</f>
        <v>0.4899999999999996</v>
      </c>
      <c r="I157" s="256" t="s">
        <v>288</v>
      </c>
      <c r="J157" s="256" t="s">
        <v>288</v>
      </c>
      <c r="K157" s="260">
        <f t="shared" si="5"/>
        <v>53.11680000000004</v>
      </c>
    </row>
    <row r="158" spans="1:11" x14ac:dyDescent="0.2">
      <c r="A158" s="186">
        <v>206</v>
      </c>
      <c r="B158" s="304">
        <f>IFERROR(VLOOKUP(A158,[3]Hoja1!$B$3:$I$1048576,5,FALSE),"")</f>
        <v>47.967999999999968</v>
      </c>
      <c r="C158" s="305">
        <f>IFERROR(VLOOKUP(A158,[3]Hoja1!$B$3:$K$124,9,FALSE),"")</f>
        <v>1650</v>
      </c>
      <c r="D158" s="305">
        <f>IFERROR(VLOOKUP(A158,[3]Hoja1!$B$3:$I$1048576,8,FALSE),"")</f>
        <v>79147.199999999997</v>
      </c>
      <c r="E158" s="305">
        <f>IFERROR(VLOOKUP(A158,[3]Hoja1!$B$3:$K$124,10,FALSE),"")</f>
        <v>2278.7797999999993</v>
      </c>
      <c r="F158" s="243" t="s">
        <v>286</v>
      </c>
      <c r="G158" s="304">
        <f>IFERROR(VLOOKUP(A158,[3]Hoja1!$B$3:$K$124,3,FALSE),"")</f>
        <v>1.1000000000000008</v>
      </c>
      <c r="H158" s="304">
        <f>IFERROR(VLOOKUP(A158,[3]Hoja1!$B$3:$K$124,2,FALSE),"")</f>
        <v>0.48354166666666715</v>
      </c>
      <c r="I158" s="256" t="s">
        <v>288</v>
      </c>
      <c r="J158" s="256" t="s">
        <v>288</v>
      </c>
      <c r="K158" s="260">
        <f t="shared" si="5"/>
        <v>52.764800000000001</v>
      </c>
    </row>
    <row r="159" spans="1:11" x14ac:dyDescent="0.2">
      <c r="A159" s="186">
        <v>207</v>
      </c>
      <c r="B159" s="304">
        <f>IFERROR(VLOOKUP(A159,[3]Hoja1!$B$3:$I$1048576,5,FALSE),"")</f>
        <v>49.392000000000024</v>
      </c>
      <c r="C159" s="305">
        <f>IFERROR(VLOOKUP(A159,[3]Hoja1!$B$3:$K$124,9,FALSE),"")</f>
        <v>1650</v>
      </c>
      <c r="D159" s="305">
        <f>IFERROR(VLOOKUP(A159,[3]Hoja1!$B$3:$I$1048576,8,FALSE),"")</f>
        <v>81496.79999999993</v>
      </c>
      <c r="E159" s="305">
        <f>IFERROR(VLOOKUP(A159,[3]Hoja1!$B$3:$K$124,10,FALSE),"")</f>
        <v>2355.9983999999995</v>
      </c>
      <c r="F159" s="243" t="s">
        <v>286</v>
      </c>
      <c r="G159" s="304">
        <f>IFERROR(VLOOKUP(A159,[3]Hoja1!$B$3:$K$124,3,FALSE),"")</f>
        <v>1.1000000000000008</v>
      </c>
      <c r="H159" s="304">
        <f>IFERROR(VLOOKUP(A159,[3]Hoja1!$B$3:$K$124,2,FALSE),"")</f>
        <v>0.4899999999999996</v>
      </c>
      <c r="I159" s="256" t="s">
        <v>288</v>
      </c>
      <c r="J159" s="256" t="s">
        <v>288</v>
      </c>
      <c r="K159" s="260">
        <f t="shared" si="5"/>
        <v>54.331200000000067</v>
      </c>
    </row>
    <row r="160" spans="1:11" x14ac:dyDescent="0.2">
      <c r="A160" s="186">
        <v>208</v>
      </c>
      <c r="B160" s="304">
        <f>IFERROR(VLOOKUP(A160,[3]Hoja1!$B$3:$I$1048576,5,FALSE),"")</f>
        <v>47.744000000000021</v>
      </c>
      <c r="C160" s="305">
        <f>IFERROR(VLOOKUP(A160,[3]Hoja1!$B$3:$K$124,9,FALSE),"")</f>
        <v>1650</v>
      </c>
      <c r="D160" s="305">
        <f>IFERROR(VLOOKUP(A160,[3]Hoja1!$B$3:$I$1048576,8,FALSE),"")</f>
        <v>78777.599999999933</v>
      </c>
      <c r="E160" s="305">
        <f>IFERROR(VLOOKUP(A160,[3]Hoja1!$B$3:$K$124,10,FALSE),"")</f>
        <v>2277.3888000000002</v>
      </c>
      <c r="F160" s="243" t="s">
        <v>286</v>
      </c>
      <c r="G160" s="304">
        <f>IFERROR(VLOOKUP(A160,[3]Hoja1!$B$3:$K$124,3,FALSE),"")</f>
        <v>1.1000000000000008</v>
      </c>
      <c r="H160" s="304">
        <f>IFERROR(VLOOKUP(A160,[3]Hoja1!$B$3:$K$124,2,FALSE),"")</f>
        <v>0.4899999999999996</v>
      </c>
      <c r="I160" s="256" t="s">
        <v>288</v>
      </c>
      <c r="J160" s="256" t="s">
        <v>288</v>
      </c>
      <c r="K160" s="260">
        <f t="shared" si="5"/>
        <v>52.518400000000057</v>
      </c>
    </row>
    <row r="161" spans="1:11" x14ac:dyDescent="0.2">
      <c r="A161" s="186">
        <v>209</v>
      </c>
      <c r="B161" s="304" t="str">
        <f>IFERROR(VLOOKUP(A161,[3]Hoja1!$B$3:$I$1048576,5,FALSE),"")</f>
        <v/>
      </c>
      <c r="C161" s="305" t="str">
        <f>IFERROR(VLOOKUP(A161,[3]Hoja1!$B$3:$K$124,9,FALSE),"")</f>
        <v/>
      </c>
      <c r="D161" s="305" t="str">
        <f>IFERROR(VLOOKUP(A161,[3]Hoja1!$B$3:$I$1048576,8,FALSE),"")</f>
        <v/>
      </c>
      <c r="E161" s="305" t="str">
        <f>IFERROR(VLOOKUP(A161,[3]Hoja1!$B$3:$K$124,10,FALSE),"")</f>
        <v/>
      </c>
      <c r="F161" s="243" t="s">
        <v>286</v>
      </c>
      <c r="G161" s="304" t="str">
        <f>IFERROR(VLOOKUP(A161,[3]Hoja1!$B$3:$K$124,3,FALSE),"")</f>
        <v/>
      </c>
      <c r="H161" s="304" t="str">
        <f>IFERROR(VLOOKUP(A161,[3]Hoja1!$B$3:$K$124,2,FALSE),"")</f>
        <v/>
      </c>
      <c r="I161" s="256" t="s">
        <v>288</v>
      </c>
      <c r="J161" s="256" t="s">
        <v>288</v>
      </c>
      <c r="K161" s="260" t="e">
        <f t="shared" si="5"/>
        <v>#VALUE!</v>
      </c>
    </row>
    <row r="162" spans="1:11" x14ac:dyDescent="0.2">
      <c r="A162" s="186">
        <v>210</v>
      </c>
      <c r="B162" s="304">
        <f>IFERROR(VLOOKUP(A162,[3]Hoja1!$B$3:$I$1048576,5,FALSE),"")</f>
        <v>45.082499999999968</v>
      </c>
      <c r="C162" s="305">
        <f>IFERROR(VLOOKUP(A162,[3]Hoja1!$B$3:$K$124,9,FALSE),"")</f>
        <v>1650</v>
      </c>
      <c r="D162" s="305">
        <f>IFERROR(VLOOKUP(A162,[3]Hoja1!$B$3:$I$1048576,8,FALSE),"")</f>
        <v>74386.125000000015</v>
      </c>
      <c r="E162" s="305">
        <f>IFERROR(VLOOKUP(A162,[3]Hoja1!$B$3:$K$124,10,FALSE),"")</f>
        <v>2136.9105000000022</v>
      </c>
      <c r="F162" s="243" t="s">
        <v>286</v>
      </c>
      <c r="G162" s="304">
        <f>IFERROR(VLOOKUP(A162,[3]Hoja1!$B$3:$K$124,3,FALSE),"")</f>
        <v>1.1000000000000008</v>
      </c>
      <c r="H162" s="304">
        <f>IFERROR(VLOOKUP(A162,[3]Hoja1!$B$3:$K$124,2,FALSE),"")</f>
        <v>0.48000000000000037</v>
      </c>
      <c r="I162" s="256" t="s">
        <v>288</v>
      </c>
      <c r="J162" s="256" t="s">
        <v>288</v>
      </c>
      <c r="K162" s="260">
        <f t="shared" si="5"/>
        <v>49.59075</v>
      </c>
    </row>
    <row r="163" spans="1:11" x14ac:dyDescent="0.2">
      <c r="A163" s="186">
        <v>211</v>
      </c>
      <c r="B163" s="304">
        <f>IFERROR(VLOOKUP(A163,[3]Hoja1!$B$3:$I$1048576,5,FALSE),"")</f>
        <v>45.337500000000006</v>
      </c>
      <c r="C163" s="305">
        <f>IFERROR(VLOOKUP(A163,[3]Hoja1!$B$3:$K$124,9,FALSE),"")</f>
        <v>1650</v>
      </c>
      <c r="D163" s="305">
        <f>IFERROR(VLOOKUP(A163,[3]Hoja1!$B$3:$I$1048576,8,FALSE),"")</f>
        <v>74806.875</v>
      </c>
      <c r="E163" s="305">
        <f>IFERROR(VLOOKUP(A163,[3]Hoja1!$B$3:$K$124,10,FALSE),"")</f>
        <v>2135.3962500000007</v>
      </c>
      <c r="F163" s="243" t="s">
        <v>286</v>
      </c>
      <c r="G163" s="304">
        <f>IFERROR(VLOOKUP(A163,[3]Hoja1!$B$3:$K$124,3,FALSE),"")</f>
        <v>1.1000000000000008</v>
      </c>
      <c r="H163" s="304">
        <f>IFERROR(VLOOKUP(A163,[3]Hoja1!$B$3:$K$124,2,FALSE),"")</f>
        <v>0.46999999999999986</v>
      </c>
      <c r="I163" s="256" t="s">
        <v>288</v>
      </c>
      <c r="J163" s="256" t="s">
        <v>288</v>
      </c>
      <c r="K163" s="260">
        <f t="shared" si="5"/>
        <v>49.871250000000039</v>
      </c>
    </row>
    <row r="164" spans="1:11" x14ac:dyDescent="0.2">
      <c r="A164" s="186">
        <v>212</v>
      </c>
      <c r="B164" s="304">
        <f>IFERROR(VLOOKUP(A164,[3]Hoja1!$B$3:$I$1048576,5,FALSE),"")</f>
        <v>43.418833333333318</v>
      </c>
      <c r="C164" s="305">
        <f>IFERROR(VLOOKUP(A164,[3]Hoja1!$B$3:$K$124,9,FALSE),"")</f>
        <v>1650</v>
      </c>
      <c r="D164" s="305">
        <f>IFERROR(VLOOKUP(A164,[3]Hoja1!$B$3:$I$1048576,8,FALSE),"")</f>
        <v>71641.074999999968</v>
      </c>
      <c r="E164" s="305">
        <f>IFERROR(VLOOKUP(A164,[3]Hoja1!$B$3:$K$124,10,FALSE),"")</f>
        <v>2058.0527000000016</v>
      </c>
      <c r="F164" s="243" t="s">
        <v>286</v>
      </c>
      <c r="G164" s="304">
        <f>IFERROR(VLOOKUP(A164,[3]Hoja1!$B$3:$K$124,3,FALSE),"")</f>
        <v>1.1000000000000008</v>
      </c>
      <c r="H164" s="304">
        <f>IFERROR(VLOOKUP(A164,[3]Hoja1!$B$3:$K$124,2,FALSE),"")</f>
        <v>0.48000000000000037</v>
      </c>
      <c r="I164" s="256" t="s">
        <v>288</v>
      </c>
      <c r="J164" s="256" t="s">
        <v>288</v>
      </c>
      <c r="K164" s="260">
        <f t="shared" si="5"/>
        <v>47.760716666666681</v>
      </c>
    </row>
    <row r="165" spans="1:11" x14ac:dyDescent="0.2">
      <c r="A165" s="186">
        <v>213</v>
      </c>
      <c r="B165" s="304">
        <f>IFERROR(VLOOKUP(A165,[3]Hoja1!$B$3:$I$1048576,5,FALSE),"")</f>
        <v>47.717666666666666</v>
      </c>
      <c r="C165" s="305">
        <f>IFERROR(VLOOKUP(A165,[3]Hoja1!$B$3:$K$124,9,FALSE),"")</f>
        <v>1650</v>
      </c>
      <c r="D165" s="305">
        <f>IFERROR(VLOOKUP(A165,[3]Hoja1!$B$3:$I$1048576,8,FALSE),"")</f>
        <v>78734.149999999965</v>
      </c>
      <c r="E165" s="305">
        <f>IFERROR(VLOOKUP(A165,[3]Hoja1!$B$3:$K$124,10,FALSE),"")</f>
        <v>2290.4479999999985</v>
      </c>
      <c r="F165" s="243" t="s">
        <v>286</v>
      </c>
      <c r="G165" s="304">
        <f>IFERROR(VLOOKUP(A165,[3]Hoja1!$B$3:$K$124,3,FALSE),"")</f>
        <v>1.1000000000000008</v>
      </c>
      <c r="H165" s="304">
        <f>IFERROR(VLOOKUP(A165,[3]Hoja1!$B$3:$K$124,2,FALSE),"")</f>
        <v>0.5</v>
      </c>
      <c r="I165" s="256" t="s">
        <v>288</v>
      </c>
      <c r="J165" s="256" t="s">
        <v>288</v>
      </c>
      <c r="K165" s="260">
        <f t="shared" si="5"/>
        <v>52.489433333333366</v>
      </c>
    </row>
    <row r="166" spans="1:11" x14ac:dyDescent="0.2">
      <c r="A166" s="186">
        <v>214</v>
      </c>
      <c r="B166" s="304">
        <f>IFERROR(VLOOKUP(A166,[3]Hoja1!$B$3:$I$1048576,5,FALSE),"")</f>
        <v>53.887666666666718</v>
      </c>
      <c r="C166" s="305">
        <f>IFERROR(VLOOKUP(A166,[3]Hoja1!$B$3:$K$124,9,FALSE),"")</f>
        <v>1650</v>
      </c>
      <c r="D166" s="305">
        <f>IFERROR(VLOOKUP(A166,[3]Hoja1!$B$3:$I$1048576,8,FALSE),"")</f>
        <v>88914.650000000081</v>
      </c>
      <c r="E166" s="305">
        <f>IFERROR(VLOOKUP(A166,[3]Hoja1!$B$3:$K$124,10,FALSE),"")</f>
        <v>2570.4416999999989</v>
      </c>
      <c r="F166" s="243" t="s">
        <v>286</v>
      </c>
      <c r="G166" s="304">
        <f>IFERROR(VLOOKUP(A166,[3]Hoja1!$B$3:$K$124,3,FALSE),"")</f>
        <v>1.100000000000001</v>
      </c>
      <c r="H166" s="304">
        <f>IFERROR(VLOOKUP(A166,[3]Hoja1!$B$3:$K$124,2,FALSE),"")</f>
        <v>0.48999999999999949</v>
      </c>
      <c r="I166" s="256" t="s">
        <v>288</v>
      </c>
      <c r="J166" s="256" t="s">
        <v>288</v>
      </c>
      <c r="K166" s="260">
        <f t="shared" si="5"/>
        <v>59.276433333333443</v>
      </c>
    </row>
    <row r="167" spans="1:11" x14ac:dyDescent="0.2">
      <c r="A167" s="186">
        <v>215</v>
      </c>
      <c r="B167" s="304">
        <f>IFERROR(VLOOKUP(A167,[3]Hoja1!$B$3:$I$1048576,5,FALSE),"")</f>
        <v>47.672000000000018</v>
      </c>
      <c r="C167" s="305">
        <f>IFERROR(VLOOKUP(A167,[3]Hoja1!$B$3:$K$124,9,FALSE),"")</f>
        <v>1650</v>
      </c>
      <c r="D167" s="305">
        <f>IFERROR(VLOOKUP(A167,[3]Hoja1!$B$3:$I$1048576,8,FALSE),"")</f>
        <v>78658.8</v>
      </c>
      <c r="E167" s="305">
        <f>IFERROR(VLOOKUP(A167,[3]Hoja1!$B$3:$K$124,10,FALSE),"")</f>
        <v>2273.9543999999973</v>
      </c>
      <c r="F167" s="243" t="s">
        <v>286</v>
      </c>
      <c r="G167" s="304">
        <f>IFERROR(VLOOKUP(A167,[3]Hoja1!$B$3:$K$124,3,FALSE),"")</f>
        <v>1.1000000000000008</v>
      </c>
      <c r="H167" s="304">
        <f>IFERROR(VLOOKUP(A167,[3]Hoja1!$B$3:$K$124,2,FALSE),"")</f>
        <v>0.4899999999999996</v>
      </c>
      <c r="I167" s="256" t="s">
        <v>288</v>
      </c>
      <c r="J167" s="256" t="s">
        <v>288</v>
      </c>
      <c r="K167" s="260">
        <f t="shared" si="5"/>
        <v>52.439200000000056</v>
      </c>
    </row>
    <row r="168" spans="1:11" x14ac:dyDescent="0.2">
      <c r="A168" s="186">
        <v>216</v>
      </c>
      <c r="B168" s="304">
        <f>IFERROR(VLOOKUP(A168,[3]Hoja1!$B$3:$I$1048576,5,FALSE),"")</f>
        <v>45.127666666666705</v>
      </c>
      <c r="C168" s="305">
        <f>IFERROR(VLOOKUP(A168,[3]Hoja1!$B$3:$K$124,9,FALSE),"")</f>
        <v>1650</v>
      </c>
      <c r="D168" s="305">
        <f>IFERROR(VLOOKUP(A168,[3]Hoja1!$B$3:$I$1048576,8,FALSE),"")</f>
        <v>74460.650000000009</v>
      </c>
      <c r="E168" s="305">
        <f>IFERROR(VLOOKUP(A168,[3]Hoja1!$B$3:$K$124,10,FALSE),"")</f>
        <v>2139.0513999999994</v>
      </c>
      <c r="F168" s="243" t="s">
        <v>286</v>
      </c>
      <c r="G168" s="304">
        <f>IFERROR(VLOOKUP(A168,[3]Hoja1!$B$3:$K$124,3,FALSE),"")</f>
        <v>1.1000000000000008</v>
      </c>
      <c r="H168" s="304">
        <f>IFERROR(VLOOKUP(A168,[3]Hoja1!$B$3:$K$124,2,FALSE),"")</f>
        <v>0.48000000000000037</v>
      </c>
      <c r="I168" s="256" t="s">
        <v>288</v>
      </c>
      <c r="J168" s="256" t="s">
        <v>288</v>
      </c>
      <c r="K168" s="260">
        <f t="shared" si="5"/>
        <v>49.640433333333412</v>
      </c>
    </row>
    <row r="169" spans="1:11" x14ac:dyDescent="0.2">
      <c r="A169" s="186">
        <v>217</v>
      </c>
      <c r="B169" s="304">
        <f>IFERROR(VLOOKUP(A169,[3]Hoja1!$B$3:$I$1048576,5,FALSE),"")</f>
        <v>46.490833333333356</v>
      </c>
      <c r="C169" s="305">
        <f>IFERROR(VLOOKUP(A169,[3]Hoja1!$B$3:$K$124,9,FALSE),"")</f>
        <v>1650</v>
      </c>
      <c r="D169" s="305">
        <f>IFERROR(VLOOKUP(A169,[3]Hoja1!$B$3:$I$1048576,8,FALSE),"")</f>
        <v>76709.875</v>
      </c>
      <c r="E169" s="305">
        <f>IFERROR(VLOOKUP(A169,[3]Hoja1!$B$3:$K$124,10,FALSE),"")</f>
        <v>2217.6127500000011</v>
      </c>
      <c r="F169" s="243" t="s">
        <v>286</v>
      </c>
      <c r="G169" s="304">
        <f>IFERROR(VLOOKUP(A169,[3]Hoja1!$B$3:$K$124,3,FALSE),"")</f>
        <v>1.1000000000000008</v>
      </c>
      <c r="H169" s="304">
        <f>IFERROR(VLOOKUP(A169,[3]Hoja1!$B$3:$K$124,2,FALSE),"")</f>
        <v>0.48999999999999966</v>
      </c>
      <c r="I169" s="256" t="s">
        <v>288</v>
      </c>
      <c r="J169" s="256" t="s">
        <v>288</v>
      </c>
      <c r="K169" s="260">
        <f t="shared" si="5"/>
        <v>51.139916666666728</v>
      </c>
    </row>
    <row r="170" spans="1:11" x14ac:dyDescent="0.2">
      <c r="A170" s="186">
        <v>218</v>
      </c>
      <c r="B170" s="304">
        <f>IFERROR(VLOOKUP(A170,[3]Hoja1!$B$3:$I$1048576,5,FALSE),"")</f>
        <v>46.968666666666635</v>
      </c>
      <c r="C170" s="305">
        <f>IFERROR(VLOOKUP(A170,[3]Hoja1!$B$3:$K$124,9,FALSE),"")</f>
        <v>1650</v>
      </c>
      <c r="D170" s="305">
        <f>IFERROR(VLOOKUP(A170,[3]Hoja1!$B$3:$I$1048576,8,FALSE),"")</f>
        <v>77498.3</v>
      </c>
      <c r="E170" s="305">
        <f>IFERROR(VLOOKUP(A170,[3]Hoja1!$B$3:$K$124,10,FALSE),"")</f>
        <v>2240.4054000000015</v>
      </c>
      <c r="F170" s="243" t="s">
        <v>286</v>
      </c>
      <c r="G170" s="304">
        <f>IFERROR(VLOOKUP(A170,[3]Hoja1!$B$3:$K$124,3,FALSE),"")</f>
        <v>1.1000000000000008</v>
      </c>
      <c r="H170" s="304">
        <f>IFERROR(VLOOKUP(A170,[3]Hoja1!$B$3:$K$124,2,FALSE),"")</f>
        <v>0.48999999999999966</v>
      </c>
      <c r="I170" s="256" t="s">
        <v>288</v>
      </c>
      <c r="J170" s="256" t="s">
        <v>288</v>
      </c>
      <c r="K170" s="260">
        <f t="shared" si="5"/>
        <v>51.665533333333336</v>
      </c>
    </row>
    <row r="171" spans="1:11" x14ac:dyDescent="0.2">
      <c r="A171" s="186">
        <v>219</v>
      </c>
      <c r="B171" s="304">
        <f>IFERROR(VLOOKUP(A171,[3]Hoja1!$B$3:$I$1048576,5,FALSE),"")</f>
        <v>58.486666666666615</v>
      </c>
      <c r="C171" s="305">
        <f>IFERROR(VLOOKUP(A171,[3]Hoja1!$B$3:$K$124,9,FALSE),"")</f>
        <v>1650</v>
      </c>
      <c r="D171" s="305">
        <f>IFERROR(VLOOKUP(A171,[3]Hoja1!$B$3:$I$1048576,8,FALSE),"")</f>
        <v>96503.000000000015</v>
      </c>
      <c r="E171" s="305">
        <f>IFERROR(VLOOKUP(A171,[3]Hoja1!$B$3:$K$124,10,FALSE),"")</f>
        <v>2783.9653333333317</v>
      </c>
      <c r="F171" s="243" t="s">
        <v>286</v>
      </c>
      <c r="G171" s="304">
        <f>IFERROR(VLOOKUP(A171,[3]Hoja1!$B$3:$K$124,3,FALSE),"")</f>
        <v>1.1000000000000008</v>
      </c>
      <c r="H171" s="304">
        <f>IFERROR(VLOOKUP(A171,[3]Hoja1!$B$3:$K$124,2,FALSE),"")</f>
        <v>0.48666666666666719</v>
      </c>
      <c r="I171" s="256" t="s">
        <v>288</v>
      </c>
      <c r="J171" s="256" t="s">
        <v>288</v>
      </c>
      <c r="K171" s="260">
        <f t="shared" si="5"/>
        <v>64.335333333333324</v>
      </c>
    </row>
    <row r="172" spans="1:11" x14ac:dyDescent="0.2">
      <c r="A172" s="186">
        <v>220</v>
      </c>
      <c r="B172" s="304">
        <f>IFERROR(VLOOKUP(A172,[3]Hoja1!$B$3:$I$1048576,5,FALSE),"")</f>
        <v>46.623999999999981</v>
      </c>
      <c r="C172" s="305">
        <f>IFERROR(VLOOKUP(A172,[3]Hoja1!$B$3:$K$124,9,FALSE),"")</f>
        <v>1650</v>
      </c>
      <c r="D172" s="305">
        <f>IFERROR(VLOOKUP(A172,[3]Hoja1!$B$3:$I$1048576,8,FALSE),"")</f>
        <v>76929.600000000064</v>
      </c>
      <c r="E172" s="305">
        <f>IFERROR(VLOOKUP(A172,[3]Hoja1!$B$3:$K$124,10,FALSE),"")</f>
        <v>2223.9648000000025</v>
      </c>
      <c r="F172" s="243" t="s">
        <v>286</v>
      </c>
      <c r="G172" s="304">
        <f>IFERROR(VLOOKUP(A172,[3]Hoja1!$B$3:$K$124,3,FALSE),"")</f>
        <v>1.1000000000000008</v>
      </c>
      <c r="H172" s="304">
        <f>IFERROR(VLOOKUP(A172,[3]Hoja1!$B$3:$K$124,2,FALSE),"")</f>
        <v>0.48999999999999966</v>
      </c>
      <c r="I172" s="256" t="s">
        <v>288</v>
      </c>
      <c r="J172" s="256" t="s">
        <v>288</v>
      </c>
      <c r="K172" s="260">
        <f t="shared" si="5"/>
        <v>51.286400000000015</v>
      </c>
    </row>
    <row r="173" spans="1:11" x14ac:dyDescent="0.2">
      <c r="A173" s="186">
        <v>221</v>
      </c>
      <c r="B173" s="304">
        <f>IFERROR(VLOOKUP(A173,[3]Hoja1!$B$3:$I$1048576,5,FALSE),"")</f>
        <v>47.088166666666645</v>
      </c>
      <c r="C173" s="305">
        <f>IFERROR(VLOOKUP(A173,[3]Hoja1!$B$3:$K$124,9,FALSE),"")</f>
        <v>1650</v>
      </c>
      <c r="D173" s="305">
        <f>IFERROR(VLOOKUP(A173,[3]Hoja1!$B$3:$I$1048576,8,FALSE),"")</f>
        <v>77695.474999999948</v>
      </c>
      <c r="E173" s="305">
        <f>IFERROR(VLOOKUP(A173,[3]Hoja1!$B$3:$K$124,10,FALSE),"")</f>
        <v>2246.1055499999989</v>
      </c>
      <c r="F173" s="243" t="s">
        <v>286</v>
      </c>
      <c r="G173" s="304">
        <f>IFERROR(VLOOKUP(A173,[3]Hoja1!$B$3:$K$124,3,FALSE),"")</f>
        <v>1.1000000000000008</v>
      </c>
      <c r="H173" s="304">
        <f>IFERROR(VLOOKUP(A173,[3]Hoja1!$B$3:$K$124,2,FALSE),"")</f>
        <v>0.48999999999999966</v>
      </c>
      <c r="I173" s="256" t="s">
        <v>288</v>
      </c>
      <c r="J173" s="256" t="s">
        <v>288</v>
      </c>
      <c r="K173" s="260">
        <f t="shared" si="5"/>
        <v>51.796983333333344</v>
      </c>
    </row>
    <row r="174" spans="1:11" x14ac:dyDescent="0.2">
      <c r="A174" s="186">
        <v>222</v>
      </c>
      <c r="B174" s="304">
        <f>IFERROR(VLOOKUP(A174,[3]Hoja1!$B$3:$I$1048576,5,FALSE),"")</f>
        <v>43.471999999999987</v>
      </c>
      <c r="C174" s="305">
        <f>IFERROR(VLOOKUP(A174,[3]Hoja1!$B$3:$K$124,9,FALSE),"")</f>
        <v>1650</v>
      </c>
      <c r="D174" s="305">
        <f>IFERROR(VLOOKUP(A174,[3]Hoja1!$B$3:$I$1048576,8,FALSE),"")</f>
        <v>71728.799999999945</v>
      </c>
      <c r="E174" s="305">
        <f>IFERROR(VLOOKUP(A174,[3]Hoja1!$B$3:$K$124,10,FALSE),"")</f>
        <v>2073.6144000000008</v>
      </c>
      <c r="F174" s="243" t="s">
        <v>286</v>
      </c>
      <c r="G174" s="304">
        <f>IFERROR(VLOOKUP(A174,[3]Hoja1!$B$3:$K$124,3,FALSE),"")</f>
        <v>1.1000000000000008</v>
      </c>
      <c r="H174" s="304">
        <f>IFERROR(VLOOKUP(A174,[3]Hoja1!$B$3:$K$124,2,FALSE),"")</f>
        <v>0.48999999999999971</v>
      </c>
      <c r="I174" s="256" t="s">
        <v>288</v>
      </c>
      <c r="J174" s="256" t="s">
        <v>288</v>
      </c>
      <c r="K174" s="260">
        <f t="shared" si="5"/>
        <v>47.819200000000016</v>
      </c>
    </row>
    <row r="175" spans="1:11" x14ac:dyDescent="0.2">
      <c r="A175" s="186">
        <v>223</v>
      </c>
      <c r="B175" s="304">
        <f>IFERROR(VLOOKUP(A175,[3]Hoja1!$B$3:$I$1048576,5,FALSE),"")</f>
        <v>44.154000000000018</v>
      </c>
      <c r="C175" s="305">
        <f>IFERROR(VLOOKUP(A175,[3]Hoja1!$B$3:$K$124,9,FALSE),"")</f>
        <v>1650</v>
      </c>
      <c r="D175" s="305">
        <f>IFERROR(VLOOKUP(A175,[3]Hoja1!$B$3:$I$1048576,8,FALSE),"")</f>
        <v>72854.10000000002</v>
      </c>
      <c r="E175" s="305">
        <f>IFERROR(VLOOKUP(A175,[3]Hoja1!$B$3:$K$124,10,FALSE),"")</f>
        <v>2106.1458000000016</v>
      </c>
      <c r="F175" s="243" t="s">
        <v>286</v>
      </c>
      <c r="G175" s="304">
        <f>IFERROR(VLOOKUP(A175,[3]Hoja1!$B$3:$K$124,3,FALSE),"")</f>
        <v>1.1000000000000008</v>
      </c>
      <c r="H175" s="304">
        <f>IFERROR(VLOOKUP(A175,[3]Hoja1!$B$3:$K$124,2,FALSE),"")</f>
        <v>0.48999999999999971</v>
      </c>
      <c r="I175" s="256" t="s">
        <v>288</v>
      </c>
      <c r="J175" s="256" t="s">
        <v>288</v>
      </c>
      <c r="K175" s="260">
        <f t="shared" si="5"/>
        <v>48.569400000000051</v>
      </c>
    </row>
    <row r="176" spans="1:11" x14ac:dyDescent="0.2">
      <c r="A176" s="186">
        <v>224</v>
      </c>
      <c r="B176" s="304">
        <f>IFERROR(VLOOKUP(A176,[3]Hoja1!$B$3:$I$1048576,5,FALSE),"")</f>
        <v>44.396000000000008</v>
      </c>
      <c r="C176" s="305">
        <f>IFERROR(VLOOKUP(A176,[3]Hoja1!$B$3:$K$124,9,FALSE),"")</f>
        <v>1650</v>
      </c>
      <c r="D176" s="305">
        <f>IFERROR(VLOOKUP(A176,[3]Hoja1!$B$3:$I$1048576,8,FALSE),"")</f>
        <v>73253.39999999998</v>
      </c>
      <c r="E176" s="305">
        <f>IFERROR(VLOOKUP(A176,[3]Hoja1!$B$3:$K$124,10,FALSE),"")</f>
        <v>2117.6892000000016</v>
      </c>
      <c r="F176" s="243" t="s">
        <v>286</v>
      </c>
      <c r="G176" s="304">
        <f>IFERROR(VLOOKUP(A176,[3]Hoja1!$B$3:$K$124,3,FALSE),"")</f>
        <v>1.1000000000000008</v>
      </c>
      <c r="H176" s="304">
        <f>IFERROR(VLOOKUP(A176,[3]Hoja1!$B$3:$K$124,2,FALSE),"")</f>
        <v>0.48999999999999971</v>
      </c>
      <c r="I176" s="256" t="s">
        <v>288</v>
      </c>
      <c r="J176" s="256" t="s">
        <v>288</v>
      </c>
      <c r="K176" s="260">
        <f t="shared" si="5"/>
        <v>48.835600000000042</v>
      </c>
    </row>
    <row r="177" spans="1:11" x14ac:dyDescent="0.2">
      <c r="A177" s="186">
        <v>225</v>
      </c>
      <c r="B177" s="304">
        <f>IFERROR(VLOOKUP(A177,[3]Hoja1!$B$3:$I$1048576,5,FALSE),"")</f>
        <v>44.24199999999999</v>
      </c>
      <c r="C177" s="305">
        <f>IFERROR(VLOOKUP(A177,[3]Hoja1!$B$3:$K$124,9,FALSE),"")</f>
        <v>1650</v>
      </c>
      <c r="D177" s="305">
        <f>IFERROR(VLOOKUP(A177,[3]Hoja1!$B$3:$I$1048576,8,FALSE),"")</f>
        <v>72999.299999999945</v>
      </c>
      <c r="E177" s="305">
        <f>IFERROR(VLOOKUP(A177,[3]Hoja1!$B$3:$K$124,10,FALSE),"")</f>
        <v>2097.0707999999981</v>
      </c>
      <c r="F177" s="243" t="s">
        <v>286</v>
      </c>
      <c r="G177" s="304">
        <f>IFERROR(VLOOKUP(A177,[3]Hoja1!$B$3:$K$124,3,FALSE),"")</f>
        <v>1.1000000000000008</v>
      </c>
      <c r="H177" s="304">
        <f>IFERROR(VLOOKUP(A177,[3]Hoja1!$B$3:$K$124,2,FALSE),"")</f>
        <v>0.48000000000000037</v>
      </c>
      <c r="I177" s="256" t="s">
        <v>288</v>
      </c>
      <c r="J177" s="256" t="s">
        <v>288</v>
      </c>
      <c r="K177" s="260">
        <f t="shared" si="5"/>
        <v>48.666200000000025</v>
      </c>
    </row>
    <row r="178" spans="1:11" x14ac:dyDescent="0.2">
      <c r="A178" s="186">
        <v>226</v>
      </c>
      <c r="B178" s="304">
        <f>IFERROR(VLOOKUP(A178,[3]Hoja1!$B$3:$I$1048576,5,FALSE),"")</f>
        <v>32.618666666666662</v>
      </c>
      <c r="C178" s="305">
        <f>IFERROR(VLOOKUP(A178,[3]Hoja1!$B$3:$K$124,9,FALSE),"")</f>
        <v>1650</v>
      </c>
      <c r="D178" s="305">
        <f>IFERROR(VLOOKUP(A178,[3]Hoja1!$B$3:$I$1048576,8,FALSE),"")</f>
        <v>53820.799999999959</v>
      </c>
      <c r="E178" s="305">
        <f>IFERROR(VLOOKUP(A178,[3]Hoja1!$B$3:$K$124,10,FALSE),"")</f>
        <v>1565.696000000001</v>
      </c>
      <c r="F178" s="243" t="s">
        <v>286</v>
      </c>
      <c r="G178" s="304">
        <f>IFERROR(VLOOKUP(A178,[3]Hoja1!$B$3:$K$124,3,FALSE),"")</f>
        <v>1.1000000000000008</v>
      </c>
      <c r="H178" s="304">
        <f>IFERROR(VLOOKUP(A178,[3]Hoja1!$B$3:$K$124,2,FALSE),"")</f>
        <v>0.5</v>
      </c>
      <c r="I178" s="256" t="s">
        <v>288</v>
      </c>
      <c r="J178" s="256" t="s">
        <v>288</v>
      </c>
      <c r="K178" s="260">
        <f t="shared" si="5"/>
        <v>35.880533333333354</v>
      </c>
    </row>
    <row r="179" spans="1:11" x14ac:dyDescent="0.2">
      <c r="A179" s="186" t="s">
        <v>954</v>
      </c>
      <c r="B179" s="304" t="str">
        <f>IFERROR(VLOOKUP(A179,[3]Hoja1!$B$3:$I$1048576,5,FALSE),"")</f>
        <v/>
      </c>
      <c r="C179" s="305" t="str">
        <f>IFERROR(VLOOKUP(A179,[3]Hoja1!$B$3:$K$124,9,FALSE),"")</f>
        <v/>
      </c>
      <c r="D179" s="305" t="str">
        <f>IFERROR(VLOOKUP(A179,[3]Hoja1!$B$3:$I$1048576,8,FALSE),"")</f>
        <v/>
      </c>
      <c r="E179" s="305" t="str">
        <f>IFERROR(VLOOKUP(A179,[3]Hoja1!$B$3:$K$124,10,FALSE),"")</f>
        <v/>
      </c>
      <c r="F179" s="243" t="s">
        <v>286</v>
      </c>
      <c r="G179" s="304" t="str">
        <f>IFERROR(VLOOKUP(A179,[3]Hoja1!$B$3:$K$124,3,FALSE),"")</f>
        <v/>
      </c>
      <c r="H179" s="304" t="str">
        <f>IFERROR(VLOOKUP(A179,[3]Hoja1!$B$3:$K$124,2,FALSE),"")</f>
        <v/>
      </c>
      <c r="I179" s="256" t="s">
        <v>288</v>
      </c>
      <c r="J179" s="256" t="s">
        <v>288</v>
      </c>
      <c r="K179" s="260" t="e">
        <f t="shared" si="5"/>
        <v>#VALUE!</v>
      </c>
    </row>
    <row r="180" spans="1:11" x14ac:dyDescent="0.2">
      <c r="A180" s="186" t="s">
        <v>955</v>
      </c>
      <c r="B180" s="304" t="str">
        <f>IFERROR(VLOOKUP(A180,[3]Hoja1!$B$3:$I$1048576,5,FALSE),"")</f>
        <v/>
      </c>
      <c r="C180" s="305" t="str">
        <f>IFERROR(VLOOKUP(A180,[3]Hoja1!$B$3:$K$124,9,FALSE),"")</f>
        <v/>
      </c>
      <c r="D180" s="305" t="str">
        <f>IFERROR(VLOOKUP(A180,[3]Hoja1!$B$3:$I$1048576,8,FALSE),"")</f>
        <v/>
      </c>
      <c r="E180" s="305" t="str">
        <f>IFERROR(VLOOKUP(A180,[3]Hoja1!$B$3:$K$124,10,FALSE),"")</f>
        <v/>
      </c>
      <c r="F180" s="243" t="s">
        <v>286</v>
      </c>
      <c r="G180" s="304" t="str">
        <f>IFERROR(VLOOKUP(A180,[3]Hoja1!$B$3:$K$124,3,FALSE),"")</f>
        <v/>
      </c>
      <c r="H180" s="304" t="str">
        <f>IFERROR(VLOOKUP(A180,[3]Hoja1!$B$3:$K$124,2,FALSE),"")</f>
        <v/>
      </c>
      <c r="I180" s="256" t="s">
        <v>288</v>
      </c>
      <c r="J180" s="256" t="s">
        <v>288</v>
      </c>
      <c r="K180" s="260" t="e">
        <f t="shared" si="5"/>
        <v>#VALUE!</v>
      </c>
    </row>
    <row r="181" spans="1:11" x14ac:dyDescent="0.2">
      <c r="A181" s="186">
        <v>227</v>
      </c>
      <c r="B181" s="304">
        <f>IFERROR(VLOOKUP(A181,[3]Hoja1!$B$3:$I$1048576,5,FALSE),"")</f>
        <v>22.305999999999994</v>
      </c>
      <c r="C181" s="305">
        <f>IFERROR(VLOOKUP(A181,[3]Hoja1!$B$3:$K$124,9,FALSE),"")</f>
        <v>1650</v>
      </c>
      <c r="D181" s="305">
        <f>IFERROR(VLOOKUP(A181,[3]Hoja1!$B$3:$I$1048576,8,FALSE),"")</f>
        <v>36804.899999999987</v>
      </c>
      <c r="E181" s="305">
        <f>IFERROR(VLOOKUP(A181,[3]Hoja1!$B$3:$K$124,10,FALSE),"")</f>
        <v>1030.5371999999995</v>
      </c>
      <c r="F181" s="243" t="s">
        <v>286</v>
      </c>
      <c r="G181" s="304">
        <f>IFERROR(VLOOKUP(A181,[3]Hoja1!$B$3:$K$124,3,FALSE),"")</f>
        <v>1.1000000000000001</v>
      </c>
      <c r="H181" s="304">
        <f>IFERROR(VLOOKUP(A181,[3]Hoja1!$B$3:$K$124,2,FALSE),"")</f>
        <v>0.44000000000000017</v>
      </c>
      <c r="I181" s="256" t="s">
        <v>288</v>
      </c>
      <c r="J181" s="256" t="s">
        <v>288</v>
      </c>
      <c r="K181" s="260">
        <f t="shared" si="5"/>
        <v>24.536599999999996</v>
      </c>
    </row>
    <row r="182" spans="1:11" x14ac:dyDescent="0.2">
      <c r="A182" s="186"/>
      <c r="B182" s="304" t="str">
        <f>IFERROR(VLOOKUP(A182,[3]Hoja1!$B$3:$I$1048576,5,FALSE),"")</f>
        <v/>
      </c>
      <c r="C182" s="305" t="str">
        <f>IFERROR(VLOOKUP(A182,[3]Hoja1!$B$3:$K$124,9,FALSE),"")</f>
        <v/>
      </c>
      <c r="D182" s="305" t="str">
        <f>IFERROR(VLOOKUP(A182,[3]Hoja1!$B$3:$I$1048576,8,FALSE),"")</f>
        <v/>
      </c>
      <c r="E182" s="305" t="str">
        <f>IFERROR(VLOOKUP(A182,[3]Hoja1!$B$3:$K$124,10,FALSE),"")</f>
        <v/>
      </c>
      <c r="F182" s="243"/>
      <c r="G182" s="304" t="str">
        <f>IFERROR(VLOOKUP(A182,[3]Hoja1!$B$3:$K$124,3,FALSE),"")</f>
        <v/>
      </c>
      <c r="H182" s="304" t="str">
        <f>IFERROR(VLOOKUP(A182,[3]Hoja1!$B$3:$K$124,2,FALSE),"")</f>
        <v/>
      </c>
      <c r="I182" s="256"/>
      <c r="J182" s="256"/>
      <c r="K182" s="260" t="e">
        <f t="shared" si="5"/>
        <v>#VALUE!</v>
      </c>
    </row>
    <row r="183" spans="1:11" x14ac:dyDescent="0.2">
      <c r="A183" s="186"/>
      <c r="B183" s="304" t="str">
        <f>IFERROR(VLOOKUP(A183,[3]Hoja1!$B$3:$I$1048576,5,FALSE),"")</f>
        <v/>
      </c>
      <c r="C183" s="305" t="str">
        <f>IFERROR(VLOOKUP(A183,[3]Hoja1!$B$3:$K$124,9,FALSE),"")</f>
        <v/>
      </c>
      <c r="D183" s="305" t="str">
        <f>IFERROR(VLOOKUP(A183,[3]Hoja1!$B$3:$I$1048576,8,FALSE),"")</f>
        <v/>
      </c>
      <c r="E183" s="305" t="str">
        <f>IFERROR(VLOOKUP(A183,[3]Hoja1!$B$3:$K$124,10,FALSE),"")</f>
        <v/>
      </c>
      <c r="F183" s="243"/>
      <c r="G183" s="304" t="str">
        <f>IFERROR(VLOOKUP(A183,[3]Hoja1!$B$3:$K$124,3,FALSE),"")</f>
        <v/>
      </c>
      <c r="H183" s="304" t="str">
        <f>IFERROR(VLOOKUP(A183,[3]Hoja1!$B$3:$K$124,2,FALSE),"")</f>
        <v/>
      </c>
      <c r="I183" s="256"/>
      <c r="J183" s="256"/>
      <c r="K183" s="260" t="e">
        <f t="shared" si="5"/>
        <v>#VALUE!</v>
      </c>
    </row>
    <row r="184" spans="1:11" x14ac:dyDescent="0.2">
      <c r="A184" s="186"/>
      <c r="B184" s="304" t="str">
        <f>IFERROR(VLOOKUP(A184,[3]Hoja1!$B$3:$I$1048576,5,FALSE),"")</f>
        <v/>
      </c>
      <c r="C184" s="305" t="str">
        <f>IFERROR(VLOOKUP(A184,[3]Hoja1!$B$3:$K$124,9,FALSE),"")</f>
        <v/>
      </c>
      <c r="D184" s="305" t="str">
        <f>IFERROR(VLOOKUP(A184,[3]Hoja1!$B$3:$I$1048576,8,FALSE),"")</f>
        <v/>
      </c>
      <c r="E184" s="305" t="str">
        <f>IFERROR(VLOOKUP(A184,[3]Hoja1!$B$3:$K$124,10,FALSE),"")</f>
        <v/>
      </c>
      <c r="F184" s="243"/>
      <c r="G184" s="304" t="str">
        <f>IFERROR(VLOOKUP(A184,[3]Hoja1!$B$3:$K$124,3,FALSE),"")</f>
        <v/>
      </c>
      <c r="H184" s="304" t="str">
        <f>IFERROR(VLOOKUP(A184,[3]Hoja1!$B$3:$K$124,2,FALSE),"")</f>
        <v/>
      </c>
      <c r="I184" s="256"/>
      <c r="J184" s="256"/>
      <c r="K184" s="260" t="e">
        <f t="shared" si="5"/>
        <v>#VALUE!</v>
      </c>
    </row>
    <row r="185" spans="1:11" x14ac:dyDescent="0.2">
      <c r="A185" s="186"/>
      <c r="B185" s="304" t="str">
        <f>IFERROR(VLOOKUP(A185,[3]Hoja1!$B$3:$I$1048576,5,FALSE),"")</f>
        <v/>
      </c>
      <c r="C185" s="305" t="str">
        <f>IFERROR(VLOOKUP(A185,[3]Hoja1!$B$3:$K$124,9,FALSE),"")</f>
        <v/>
      </c>
      <c r="D185" s="305" t="str">
        <f>IFERROR(VLOOKUP(A185,[3]Hoja1!$B$3:$I$1048576,8,FALSE),"")</f>
        <v/>
      </c>
      <c r="E185" s="305" t="str">
        <f>IFERROR(VLOOKUP(A185,[3]Hoja1!$B$3:$K$124,10,FALSE),"")</f>
        <v/>
      </c>
      <c r="F185" s="243"/>
      <c r="G185" s="304" t="str">
        <f>IFERROR(VLOOKUP(A185,[3]Hoja1!$B$3:$K$124,3,FALSE),"")</f>
        <v/>
      </c>
      <c r="H185" s="304" t="str">
        <f>IFERROR(VLOOKUP(A185,[3]Hoja1!$B$3:$K$124,2,FALSE),"")</f>
        <v/>
      </c>
      <c r="I185" s="256"/>
      <c r="J185" s="256"/>
      <c r="K185" s="260" t="e">
        <f t="shared" si="5"/>
        <v>#VALUE!</v>
      </c>
    </row>
    <row r="186" spans="1:11" x14ac:dyDescent="0.2">
      <c r="A186" s="186"/>
      <c r="B186" s="304" t="str">
        <f>IFERROR(VLOOKUP(A186,[3]Hoja1!$B$3:$I$1048576,5,FALSE),"")</f>
        <v/>
      </c>
      <c r="C186" s="305" t="str">
        <f>IFERROR(VLOOKUP(A186,[3]Hoja1!$B$3:$K$124,9,FALSE),"")</f>
        <v/>
      </c>
      <c r="D186" s="305" t="str">
        <f>IFERROR(VLOOKUP(A186,[3]Hoja1!$B$3:$I$1048576,8,FALSE),"")</f>
        <v/>
      </c>
      <c r="E186" s="305" t="str">
        <f>IFERROR(VLOOKUP(A186,[3]Hoja1!$B$3:$K$124,10,FALSE),"")</f>
        <v/>
      </c>
      <c r="F186" s="243"/>
      <c r="G186" s="304" t="str">
        <f>IFERROR(VLOOKUP(A186,[3]Hoja1!$B$3:$K$124,3,FALSE),"")</f>
        <v/>
      </c>
      <c r="H186" s="304" t="str">
        <f>IFERROR(VLOOKUP(A186,[3]Hoja1!$B$3:$K$124,2,FALSE),"")</f>
        <v/>
      </c>
      <c r="I186" s="256"/>
      <c r="J186" s="256"/>
      <c r="K186" s="260" t="e">
        <f t="shared" si="5"/>
        <v>#VALUE!</v>
      </c>
    </row>
    <row r="187" spans="1:11" x14ac:dyDescent="0.2">
      <c r="A187" s="186"/>
      <c r="B187" s="304" t="str">
        <f>IFERROR(VLOOKUP(A187,[3]Hoja1!$B$3:$I$1048576,5,FALSE),"")</f>
        <v/>
      </c>
      <c r="C187" s="305" t="str">
        <f>IFERROR(VLOOKUP(A187,[3]Hoja1!$B$3:$K$124,9,FALSE),"")</f>
        <v/>
      </c>
      <c r="D187" s="305" t="str">
        <f>IFERROR(VLOOKUP(A187,[3]Hoja1!$B$3:$I$1048576,8,FALSE),"")</f>
        <v/>
      </c>
      <c r="E187" s="305" t="str">
        <f>IFERROR(VLOOKUP(A187,[3]Hoja1!$B$3:$K$124,10,FALSE),"")</f>
        <v/>
      </c>
      <c r="F187" s="243"/>
      <c r="G187" s="304" t="str">
        <f>IFERROR(VLOOKUP(A187,[3]Hoja1!$B$3:$K$124,3,FALSE),"")</f>
        <v/>
      </c>
      <c r="H187" s="304" t="str">
        <f>IFERROR(VLOOKUP(A187,[3]Hoja1!$B$3:$K$124,2,FALSE),"")</f>
        <v/>
      </c>
      <c r="I187" s="255"/>
      <c r="J187" s="255"/>
      <c r="K187" s="260" t="e">
        <f t="shared" si="5"/>
        <v>#VALUE!</v>
      </c>
    </row>
    <row r="188" spans="1:11" x14ac:dyDescent="0.2">
      <c r="A188" s="186" t="s">
        <v>908</v>
      </c>
      <c r="B188" s="304" t="str">
        <f>IFERROR(VLOOKUP(A188,[3]Hoja1!$B$3:$I$1048576,5,FALSE),"")</f>
        <v/>
      </c>
      <c r="C188" s="305" t="str">
        <f>IFERROR(VLOOKUP(A188,[3]Hoja1!$B$3:$K$124,9,FALSE),"")</f>
        <v/>
      </c>
      <c r="D188" s="305" t="str">
        <f>IFERROR(VLOOKUP(A188,[3]Hoja1!$B$3:$I$1048576,8,FALSE),"")</f>
        <v/>
      </c>
      <c r="E188" s="305" t="str">
        <f>IFERROR(VLOOKUP(A188,[3]Hoja1!$B$3:$K$124,10,FALSE),"")</f>
        <v/>
      </c>
      <c r="F188" s="243" t="s">
        <v>1891</v>
      </c>
      <c r="G188" s="304" t="str">
        <f>IFERROR(VLOOKUP(A188,[3]Hoja1!$B$3:$K$124,3,FALSE),"")</f>
        <v/>
      </c>
      <c r="H188" s="304" t="str">
        <f>IFERROR(VLOOKUP(A188,[3]Hoja1!$B$3:$K$124,2,FALSE),"")</f>
        <v/>
      </c>
      <c r="I188" s="255" t="s">
        <v>288</v>
      </c>
      <c r="J188" s="255" t="s">
        <v>288</v>
      </c>
      <c r="K188" s="260" t="e">
        <f t="shared" si="5"/>
        <v>#VALUE!</v>
      </c>
    </row>
    <row r="189" spans="1:11" x14ac:dyDescent="0.2">
      <c r="A189" s="186" t="s">
        <v>937</v>
      </c>
      <c r="B189" s="304" t="str">
        <f>IFERROR(VLOOKUP(A189,[3]Hoja1!$B$3:$I$1048576,5,FALSE),"")</f>
        <v/>
      </c>
      <c r="C189" s="305" t="str">
        <f>IFERROR(VLOOKUP(A189,[3]Hoja1!$B$3:$K$124,9,FALSE),"")</f>
        <v/>
      </c>
      <c r="D189" s="305" t="str">
        <f>IFERROR(VLOOKUP(A189,[3]Hoja1!$B$3:$I$1048576,8,FALSE),"")</f>
        <v/>
      </c>
      <c r="E189" s="305" t="str">
        <f>IFERROR(VLOOKUP(A189,[3]Hoja1!$B$3:$K$124,10,FALSE),"")</f>
        <v/>
      </c>
      <c r="F189" s="243" t="s">
        <v>1891</v>
      </c>
      <c r="G189" s="304" t="str">
        <f>IFERROR(VLOOKUP(A189,[3]Hoja1!$B$3:$K$124,3,FALSE),"")</f>
        <v/>
      </c>
      <c r="H189" s="304" t="str">
        <f>IFERROR(VLOOKUP(A189,[3]Hoja1!$B$3:$K$124,2,FALSE),"")</f>
        <v/>
      </c>
      <c r="I189" s="255" t="s">
        <v>288</v>
      </c>
      <c r="J189" s="255" t="s">
        <v>288</v>
      </c>
      <c r="K189" s="260" t="e">
        <f t="shared" si="5"/>
        <v>#VALUE!</v>
      </c>
    </row>
    <row r="190" spans="1:11" x14ac:dyDescent="0.2">
      <c r="A190" s="186" t="s">
        <v>938</v>
      </c>
      <c r="B190" s="304" t="str">
        <f>IFERROR(VLOOKUP(A190,[3]Hoja1!$B$3:$I$1048576,5,FALSE),"")</f>
        <v/>
      </c>
      <c r="C190" s="305" t="str">
        <f>IFERROR(VLOOKUP(A190,[3]Hoja1!$B$3:$K$124,9,FALSE),"")</f>
        <v/>
      </c>
      <c r="D190" s="305" t="str">
        <f>IFERROR(VLOOKUP(A190,[3]Hoja1!$B$3:$I$1048576,8,FALSE),"")</f>
        <v/>
      </c>
      <c r="E190" s="305" t="str">
        <f>IFERROR(VLOOKUP(A190,[3]Hoja1!$B$3:$K$124,10,FALSE),"")</f>
        <v/>
      </c>
      <c r="F190" s="243" t="s">
        <v>1891</v>
      </c>
      <c r="G190" s="304" t="str">
        <f>IFERROR(VLOOKUP(A190,[3]Hoja1!$B$3:$K$124,3,FALSE),"")</f>
        <v/>
      </c>
      <c r="H190" s="304" t="str">
        <f>IFERROR(VLOOKUP(A190,[3]Hoja1!$B$3:$K$124,2,FALSE),"")</f>
        <v/>
      </c>
      <c r="I190" s="255" t="s">
        <v>288</v>
      </c>
      <c r="J190" s="255" t="s">
        <v>288</v>
      </c>
      <c r="K190" s="260" t="e">
        <f t="shared" si="5"/>
        <v>#VALUE!</v>
      </c>
    </row>
    <row r="191" spans="1:11" x14ac:dyDescent="0.2">
      <c r="A191" s="186" t="s">
        <v>907</v>
      </c>
      <c r="B191" s="304" t="str">
        <f>IFERROR(VLOOKUP(A191,[3]Hoja1!$B$3:$I$1048576,5,FALSE),"")</f>
        <v/>
      </c>
      <c r="C191" s="305" t="str">
        <f>IFERROR(VLOOKUP(A191,[3]Hoja1!$B$3:$K$124,9,FALSE),"")</f>
        <v/>
      </c>
      <c r="D191" s="305" t="str">
        <f>IFERROR(VLOOKUP(A191,[3]Hoja1!$B$3:$I$1048576,8,FALSE),"")</f>
        <v/>
      </c>
      <c r="E191" s="305" t="str">
        <f>IFERROR(VLOOKUP(A191,[3]Hoja1!$B$3:$K$124,10,FALSE),"")</f>
        <v/>
      </c>
      <c r="F191" s="243" t="s">
        <v>1891</v>
      </c>
      <c r="G191" s="304" t="str">
        <f>IFERROR(VLOOKUP(A191,[3]Hoja1!$B$3:$K$124,3,FALSE),"")</f>
        <v/>
      </c>
      <c r="H191" s="304" t="str">
        <f>IFERROR(VLOOKUP(A191,[3]Hoja1!$B$3:$K$124,2,FALSE),"")</f>
        <v/>
      </c>
      <c r="I191" s="255" t="s">
        <v>288</v>
      </c>
      <c r="J191" s="255" t="s">
        <v>288</v>
      </c>
      <c r="K191" s="260" t="e">
        <f t="shared" si="5"/>
        <v>#VALUE!</v>
      </c>
    </row>
    <row r="192" spans="1:11" x14ac:dyDescent="0.2">
      <c r="A192" s="186" t="s">
        <v>939</v>
      </c>
      <c r="B192" s="304" t="str">
        <f>IFERROR(VLOOKUP(A192,[3]Hoja1!$B$3:$I$1048576,5,FALSE),"")</f>
        <v/>
      </c>
      <c r="C192" s="305" t="str">
        <f>IFERROR(VLOOKUP(A192,[3]Hoja1!$B$3:$K$124,9,FALSE),"")</f>
        <v/>
      </c>
      <c r="D192" s="305" t="str">
        <f>IFERROR(VLOOKUP(A192,[3]Hoja1!$B$3:$I$1048576,8,FALSE),"")</f>
        <v/>
      </c>
      <c r="E192" s="305" t="str">
        <f>IFERROR(VLOOKUP(A192,[3]Hoja1!$B$3:$K$124,10,FALSE),"")</f>
        <v/>
      </c>
      <c r="F192" s="243" t="s">
        <v>1891</v>
      </c>
      <c r="G192" s="304" t="str">
        <f>IFERROR(VLOOKUP(A192,[3]Hoja1!$B$3:$K$124,3,FALSE),"")</f>
        <v/>
      </c>
      <c r="H192" s="304" t="str">
        <f>IFERROR(VLOOKUP(A192,[3]Hoja1!$B$3:$K$124,2,FALSE),"")</f>
        <v/>
      </c>
      <c r="I192" s="255" t="s">
        <v>288</v>
      </c>
      <c r="J192" s="255" t="s">
        <v>288</v>
      </c>
      <c r="K192" s="260" t="e">
        <f t="shared" si="5"/>
        <v>#VALUE!</v>
      </c>
    </row>
    <row r="193" spans="1:11" x14ac:dyDescent="0.2">
      <c r="A193" s="186" t="s">
        <v>940</v>
      </c>
      <c r="B193" s="304" t="str">
        <f>IFERROR(VLOOKUP(A193,[3]Hoja1!$B$3:$I$1048576,5,FALSE),"")</f>
        <v/>
      </c>
      <c r="C193" s="305" t="str">
        <f>IFERROR(VLOOKUP(A193,[3]Hoja1!$B$3:$K$124,9,FALSE),"")</f>
        <v/>
      </c>
      <c r="D193" s="305" t="str">
        <f>IFERROR(VLOOKUP(A193,[3]Hoja1!$B$3:$I$1048576,8,FALSE),"")</f>
        <v/>
      </c>
      <c r="E193" s="305" t="str">
        <f>IFERROR(VLOOKUP(A193,[3]Hoja1!$B$3:$K$124,10,FALSE),"")</f>
        <v/>
      </c>
      <c r="F193" s="243" t="s">
        <v>1891</v>
      </c>
      <c r="G193" s="304" t="str">
        <f>IFERROR(VLOOKUP(A193,[3]Hoja1!$B$3:$K$124,3,FALSE),"")</f>
        <v/>
      </c>
      <c r="H193" s="304" t="str">
        <f>IFERROR(VLOOKUP(A193,[3]Hoja1!$B$3:$K$124,2,FALSE),"")</f>
        <v/>
      </c>
      <c r="I193" s="255" t="s">
        <v>288</v>
      </c>
      <c r="J193" s="255" t="s">
        <v>288</v>
      </c>
      <c r="K193" s="260" t="e">
        <f t="shared" si="5"/>
        <v>#VALUE!</v>
      </c>
    </row>
    <row r="194" spans="1:11" x14ac:dyDescent="0.2">
      <c r="A194" s="186" t="s">
        <v>941</v>
      </c>
      <c r="B194" s="304" t="str">
        <f>IFERROR(VLOOKUP(A194,[3]Hoja1!$B$3:$I$1048576,5,FALSE),"")</f>
        <v/>
      </c>
      <c r="C194" s="305" t="str">
        <f>IFERROR(VLOOKUP(A194,[3]Hoja1!$B$3:$K$124,9,FALSE),"")</f>
        <v/>
      </c>
      <c r="D194" s="305" t="str">
        <f>IFERROR(VLOOKUP(A194,[3]Hoja1!$B$3:$I$1048576,8,FALSE),"")</f>
        <v/>
      </c>
      <c r="E194" s="305" t="str">
        <f>IFERROR(VLOOKUP(A194,[3]Hoja1!$B$3:$K$124,10,FALSE),"")</f>
        <v/>
      </c>
      <c r="F194" s="243" t="s">
        <v>1891</v>
      </c>
      <c r="G194" s="304" t="str">
        <f>IFERROR(VLOOKUP(A194,[3]Hoja1!$B$3:$K$124,3,FALSE),"")</f>
        <v/>
      </c>
      <c r="H194" s="304" t="str">
        <f>IFERROR(VLOOKUP(A194,[3]Hoja1!$B$3:$K$124,2,FALSE),"")</f>
        <v/>
      </c>
      <c r="I194" s="255" t="s">
        <v>288</v>
      </c>
      <c r="J194" s="255" t="s">
        <v>288</v>
      </c>
      <c r="K194" s="260" t="e">
        <f t="shared" si="5"/>
        <v>#VALUE!</v>
      </c>
    </row>
    <row r="195" spans="1:11" x14ac:dyDescent="0.2">
      <c r="A195" s="186" t="s">
        <v>942</v>
      </c>
      <c r="B195" s="304" t="str">
        <f>IFERROR(VLOOKUP(A195,[3]Hoja1!$B$3:$I$1048576,5,FALSE),"")</f>
        <v/>
      </c>
      <c r="C195" s="305" t="str">
        <f>IFERROR(VLOOKUP(A195,[3]Hoja1!$B$3:$K$124,9,FALSE),"")</f>
        <v/>
      </c>
      <c r="D195" s="305" t="str">
        <f>IFERROR(VLOOKUP(A195,[3]Hoja1!$B$3:$I$1048576,8,FALSE),"")</f>
        <v/>
      </c>
      <c r="E195" s="305" t="str">
        <f>IFERROR(VLOOKUP(A195,[3]Hoja1!$B$3:$K$124,10,FALSE),"")</f>
        <v/>
      </c>
      <c r="F195" s="243" t="s">
        <v>1891</v>
      </c>
      <c r="G195" s="304" t="str">
        <f>IFERROR(VLOOKUP(A195,[3]Hoja1!$B$3:$K$124,3,FALSE),"")</f>
        <v/>
      </c>
      <c r="H195" s="304" t="str">
        <f>IFERROR(VLOOKUP(A195,[3]Hoja1!$B$3:$K$124,2,FALSE),"")</f>
        <v/>
      </c>
      <c r="I195" s="255" t="s">
        <v>288</v>
      </c>
      <c r="J195" s="255" t="s">
        <v>288</v>
      </c>
      <c r="K195" s="260" t="e">
        <f t="shared" si="5"/>
        <v>#VALUE!</v>
      </c>
    </row>
    <row r="196" spans="1:11" x14ac:dyDescent="0.2">
      <c r="A196" s="186" t="s">
        <v>943</v>
      </c>
      <c r="B196" s="304" t="str">
        <f>IFERROR(VLOOKUP(A196,[3]Hoja1!$B$3:$I$1048576,5,FALSE),"")</f>
        <v/>
      </c>
      <c r="C196" s="305" t="str">
        <f>IFERROR(VLOOKUP(A196,[3]Hoja1!$B$3:$K$124,9,FALSE),"")</f>
        <v/>
      </c>
      <c r="D196" s="305" t="str">
        <f>IFERROR(VLOOKUP(A196,[3]Hoja1!$B$3:$I$1048576,8,FALSE),"")</f>
        <v/>
      </c>
      <c r="E196" s="305" t="str">
        <f>IFERROR(VLOOKUP(A196,[3]Hoja1!$B$3:$K$124,10,FALSE),"")</f>
        <v/>
      </c>
      <c r="F196" s="243" t="s">
        <v>1891</v>
      </c>
      <c r="G196" s="304" t="str">
        <f>IFERROR(VLOOKUP(A196,[3]Hoja1!$B$3:$K$124,3,FALSE),"")</f>
        <v/>
      </c>
      <c r="H196" s="304" t="str">
        <f>IFERROR(VLOOKUP(A196,[3]Hoja1!$B$3:$K$124,2,FALSE),"")</f>
        <v/>
      </c>
      <c r="I196" s="255" t="s">
        <v>288</v>
      </c>
      <c r="J196" s="255" t="s">
        <v>288</v>
      </c>
      <c r="K196" s="260" t="e">
        <f t="shared" si="5"/>
        <v>#VALUE!</v>
      </c>
    </row>
    <row r="197" spans="1:11" x14ac:dyDescent="0.2">
      <c r="A197" s="186" t="s">
        <v>944</v>
      </c>
      <c r="B197" s="304" t="str">
        <f>IFERROR(VLOOKUP(A197,[3]Hoja1!$B$3:$I$1048576,5,FALSE),"")</f>
        <v/>
      </c>
      <c r="C197" s="305" t="str">
        <f>IFERROR(VLOOKUP(A197,[3]Hoja1!$B$3:$K$124,9,FALSE),"")</f>
        <v/>
      </c>
      <c r="D197" s="305" t="str">
        <f>IFERROR(VLOOKUP(A197,[3]Hoja1!$B$3:$I$1048576,8,FALSE),"")</f>
        <v/>
      </c>
      <c r="E197" s="305" t="str">
        <f>IFERROR(VLOOKUP(A197,[3]Hoja1!$B$3:$K$124,10,FALSE),"")</f>
        <v/>
      </c>
      <c r="F197" s="243" t="s">
        <v>1891</v>
      </c>
      <c r="G197" s="304" t="str">
        <f>IFERROR(VLOOKUP(A197,[3]Hoja1!$B$3:$K$124,3,FALSE),"")</f>
        <v/>
      </c>
      <c r="H197" s="304" t="str">
        <f>IFERROR(VLOOKUP(A197,[3]Hoja1!$B$3:$K$124,2,FALSE),"")</f>
        <v/>
      </c>
      <c r="I197" s="255" t="s">
        <v>288</v>
      </c>
      <c r="J197" s="255" t="s">
        <v>288</v>
      </c>
      <c r="K197" s="260" t="e">
        <f t="shared" si="5"/>
        <v>#VALUE!</v>
      </c>
    </row>
    <row r="198" spans="1:11" x14ac:dyDescent="0.2">
      <c r="A198" s="186" t="s">
        <v>945</v>
      </c>
      <c r="B198" s="304" t="str">
        <f>IFERROR(VLOOKUP(A198,[3]Hoja1!$B$3:$I$1048576,5,FALSE),"")</f>
        <v/>
      </c>
      <c r="C198" s="305" t="str">
        <f>IFERROR(VLOOKUP(A198,[3]Hoja1!$B$3:$K$124,9,FALSE),"")</f>
        <v/>
      </c>
      <c r="D198" s="305" t="str">
        <f>IFERROR(VLOOKUP(A198,[3]Hoja1!$B$3:$I$1048576,8,FALSE),"")</f>
        <v/>
      </c>
      <c r="E198" s="305" t="str">
        <f>IFERROR(VLOOKUP(A198,[3]Hoja1!$B$3:$K$124,10,FALSE),"")</f>
        <v/>
      </c>
      <c r="F198" s="243" t="s">
        <v>1891</v>
      </c>
      <c r="G198" s="304" t="str">
        <f>IFERROR(VLOOKUP(A198,[3]Hoja1!$B$3:$K$124,3,FALSE),"")</f>
        <v/>
      </c>
      <c r="H198" s="304" t="str">
        <f>IFERROR(VLOOKUP(A198,[3]Hoja1!$B$3:$K$124,2,FALSE),"")</f>
        <v/>
      </c>
      <c r="I198" s="255" t="s">
        <v>288</v>
      </c>
      <c r="J198" s="255" t="s">
        <v>288</v>
      </c>
      <c r="K198" s="260" t="e">
        <f t="shared" si="5"/>
        <v>#VALUE!</v>
      </c>
    </row>
    <row r="199" spans="1:11" x14ac:dyDescent="0.2">
      <c r="A199" s="186" t="s">
        <v>905</v>
      </c>
      <c r="B199" s="304" t="str">
        <f>IFERROR(VLOOKUP(A199,[3]Hoja1!$B$3:$I$1048576,5,FALSE),"")</f>
        <v/>
      </c>
      <c r="C199" s="305" t="str">
        <f>IFERROR(VLOOKUP(A199,[3]Hoja1!$B$3:$K$124,9,FALSE),"")</f>
        <v/>
      </c>
      <c r="D199" s="305" t="str">
        <f>IFERROR(VLOOKUP(A199,[3]Hoja1!$B$3:$I$1048576,8,FALSE),"")</f>
        <v/>
      </c>
      <c r="E199" s="305" t="str">
        <f>IFERROR(VLOOKUP(A199,[3]Hoja1!$B$3:$K$124,10,FALSE),"")</f>
        <v/>
      </c>
      <c r="F199" s="243" t="s">
        <v>1889</v>
      </c>
      <c r="G199" s="304" t="str">
        <f>IFERROR(VLOOKUP(A199,[3]Hoja1!$B$3:$K$124,3,FALSE),"")</f>
        <v/>
      </c>
      <c r="H199" s="304" t="str">
        <f>IFERROR(VLOOKUP(A199,[3]Hoja1!$B$3:$K$124,2,FALSE),"")</f>
        <v/>
      </c>
      <c r="I199" s="255" t="s">
        <v>288</v>
      </c>
      <c r="J199" s="255" t="s">
        <v>288</v>
      </c>
      <c r="K199" s="260" t="e">
        <f t="shared" si="5"/>
        <v>#VALUE!</v>
      </c>
    </row>
    <row r="200" spans="1:11" x14ac:dyDescent="0.2">
      <c r="A200" s="186" t="s">
        <v>906</v>
      </c>
      <c r="B200" s="304" t="str">
        <f>IFERROR(VLOOKUP(A200,[3]Hoja1!$B$3:$I$1048576,5,FALSE),"")</f>
        <v/>
      </c>
      <c r="C200" s="305" t="str">
        <f>IFERROR(VLOOKUP(A200,[3]Hoja1!$B$3:$K$124,9,FALSE),"")</f>
        <v/>
      </c>
      <c r="D200" s="305" t="str">
        <f>IFERROR(VLOOKUP(A200,[3]Hoja1!$B$3:$I$1048576,8,FALSE),"")</f>
        <v/>
      </c>
      <c r="E200" s="305" t="str">
        <f>IFERROR(VLOOKUP(A200,[3]Hoja1!$B$3:$K$124,10,FALSE),"")</f>
        <v/>
      </c>
      <c r="F200" s="243" t="s">
        <v>1889</v>
      </c>
      <c r="G200" s="304" t="str">
        <f>IFERROR(VLOOKUP(A200,[3]Hoja1!$B$3:$K$124,3,FALSE),"")</f>
        <v/>
      </c>
      <c r="H200" s="304" t="str">
        <f>IFERROR(VLOOKUP(A200,[3]Hoja1!$B$3:$K$124,2,FALSE),"")</f>
        <v/>
      </c>
      <c r="I200" s="255" t="s">
        <v>288</v>
      </c>
      <c r="J200" s="255" t="s">
        <v>288</v>
      </c>
      <c r="K200" s="260" t="e">
        <f t="shared" si="5"/>
        <v>#VALUE!</v>
      </c>
    </row>
    <row r="201" spans="1:11" x14ac:dyDescent="0.2">
      <c r="A201" s="186" t="s">
        <v>946</v>
      </c>
      <c r="B201" s="304" t="str">
        <f>IFERROR(VLOOKUP(A201,[3]Hoja1!$B$3:$I$1048576,5,FALSE),"")</f>
        <v/>
      </c>
      <c r="C201" s="305" t="str">
        <f>IFERROR(VLOOKUP(A201,[3]Hoja1!$B$3:$K$124,9,FALSE),"")</f>
        <v/>
      </c>
      <c r="D201" s="305" t="str">
        <f>IFERROR(VLOOKUP(A201,[3]Hoja1!$B$3:$I$1048576,8,FALSE),"")</f>
        <v/>
      </c>
      <c r="E201" s="305" t="str">
        <f>IFERROR(VLOOKUP(A201,[3]Hoja1!$B$3:$K$124,10,FALSE),"")</f>
        <v/>
      </c>
      <c r="F201" s="243" t="s">
        <v>1889</v>
      </c>
      <c r="G201" s="304" t="str">
        <f>IFERROR(VLOOKUP(A201,[3]Hoja1!$B$3:$K$124,3,FALSE),"")</f>
        <v/>
      </c>
      <c r="H201" s="304" t="str">
        <f>IFERROR(VLOOKUP(A201,[3]Hoja1!$B$3:$K$124,2,FALSE),"")</f>
        <v/>
      </c>
      <c r="I201" s="255" t="s">
        <v>288</v>
      </c>
      <c r="J201" s="255" t="s">
        <v>288</v>
      </c>
      <c r="K201" s="260" t="e">
        <f t="shared" si="5"/>
        <v>#VALUE!</v>
      </c>
    </row>
    <row r="202" spans="1:11" x14ac:dyDescent="0.2">
      <c r="A202" s="186" t="s">
        <v>947</v>
      </c>
      <c r="B202" s="304" t="str">
        <f>IFERROR(VLOOKUP(A202,[3]Hoja1!$B$3:$I$1048576,5,FALSE),"")</f>
        <v/>
      </c>
      <c r="C202" s="305" t="str">
        <f>IFERROR(VLOOKUP(A202,[3]Hoja1!$B$3:$K$124,9,FALSE),"")</f>
        <v/>
      </c>
      <c r="D202" s="305" t="str">
        <f>IFERROR(VLOOKUP(A202,[3]Hoja1!$B$3:$I$1048576,8,FALSE),"")</f>
        <v/>
      </c>
      <c r="E202" s="305" t="str">
        <f>IFERROR(VLOOKUP(A202,[3]Hoja1!$B$3:$K$124,10,FALSE),"")</f>
        <v/>
      </c>
      <c r="F202" s="243" t="s">
        <v>1889</v>
      </c>
      <c r="G202" s="304" t="str">
        <f>IFERROR(VLOOKUP(A202,[3]Hoja1!$B$3:$K$124,3,FALSE),"")</f>
        <v/>
      </c>
      <c r="H202" s="304" t="str">
        <f>IFERROR(VLOOKUP(A202,[3]Hoja1!$B$3:$K$124,2,FALSE),"")</f>
        <v/>
      </c>
      <c r="I202" s="255" t="s">
        <v>288</v>
      </c>
      <c r="J202" s="255" t="s">
        <v>288</v>
      </c>
      <c r="K202" s="260" t="e">
        <f t="shared" si="5"/>
        <v>#VALUE!</v>
      </c>
    </row>
    <row r="203" spans="1:11" x14ac:dyDescent="0.2">
      <c r="A203" s="186" t="s">
        <v>948</v>
      </c>
      <c r="B203" s="304" t="str">
        <f>IFERROR(VLOOKUP(A203,[3]Hoja1!$B$3:$I$1048576,5,FALSE),"")</f>
        <v/>
      </c>
      <c r="C203" s="305" t="str">
        <f>IFERROR(VLOOKUP(A203,[3]Hoja1!$B$3:$K$124,9,FALSE),"")</f>
        <v/>
      </c>
      <c r="D203" s="305" t="str">
        <f>IFERROR(VLOOKUP(A203,[3]Hoja1!$B$3:$I$1048576,8,FALSE),"")</f>
        <v/>
      </c>
      <c r="E203" s="305" t="str">
        <f>IFERROR(VLOOKUP(A203,[3]Hoja1!$B$3:$K$124,10,FALSE),"")</f>
        <v/>
      </c>
      <c r="F203" s="243" t="s">
        <v>1889</v>
      </c>
      <c r="G203" s="304" t="str">
        <f>IFERROR(VLOOKUP(A203,[3]Hoja1!$B$3:$K$124,3,FALSE),"")</f>
        <v/>
      </c>
      <c r="H203" s="304" t="str">
        <f>IFERROR(VLOOKUP(A203,[3]Hoja1!$B$3:$K$124,2,FALSE),"")</f>
        <v/>
      </c>
      <c r="I203" s="255" t="s">
        <v>288</v>
      </c>
      <c r="J203" s="255" t="s">
        <v>288</v>
      </c>
      <c r="K203" s="260" t="e">
        <f t="shared" si="5"/>
        <v>#VALUE!</v>
      </c>
    </row>
    <row r="204" spans="1:11" x14ac:dyDescent="0.2">
      <c r="A204" s="186" t="s">
        <v>949</v>
      </c>
      <c r="B204" s="304" t="str">
        <f>IFERROR(VLOOKUP(A204,[3]Hoja1!$B$3:$I$1048576,5,FALSE),"")</f>
        <v/>
      </c>
      <c r="C204" s="305" t="str">
        <f>IFERROR(VLOOKUP(A204,[3]Hoja1!$B$3:$K$124,9,FALSE),"")</f>
        <v/>
      </c>
      <c r="D204" s="305" t="str">
        <f>IFERROR(VLOOKUP(A204,[3]Hoja1!$B$3:$I$1048576,8,FALSE),"")</f>
        <v/>
      </c>
      <c r="E204" s="305" t="str">
        <f>IFERROR(VLOOKUP(A204,[3]Hoja1!$B$3:$K$124,10,FALSE),"")</f>
        <v/>
      </c>
      <c r="F204" s="243" t="s">
        <v>1891</v>
      </c>
      <c r="G204" s="304" t="str">
        <f>IFERROR(VLOOKUP(A204,[3]Hoja1!$B$3:$K$124,3,FALSE),"")</f>
        <v/>
      </c>
      <c r="H204" s="304" t="str">
        <f>IFERROR(VLOOKUP(A204,[3]Hoja1!$B$3:$K$124,2,FALSE),"")</f>
        <v/>
      </c>
      <c r="I204" s="255" t="s">
        <v>288</v>
      </c>
      <c r="J204" s="255" t="s">
        <v>288</v>
      </c>
      <c r="K204" s="260" t="e">
        <f t="shared" si="5"/>
        <v>#VALUE!</v>
      </c>
    </row>
    <row r="205" spans="1:11" x14ac:dyDescent="0.2">
      <c r="A205" s="186" t="s">
        <v>950</v>
      </c>
      <c r="B205" s="304" t="str">
        <f>IFERROR(VLOOKUP(A205,[3]Hoja1!$B$3:$I$1048576,5,FALSE),"")</f>
        <v/>
      </c>
      <c r="C205" s="305" t="str">
        <f>IFERROR(VLOOKUP(A205,[3]Hoja1!$B$3:$K$124,9,FALSE),"")</f>
        <v/>
      </c>
      <c r="D205" s="305" t="str">
        <f>IFERROR(VLOOKUP(A205,[3]Hoja1!$B$3:$I$1048576,8,FALSE),"")</f>
        <v/>
      </c>
      <c r="E205" s="305" t="str">
        <f>IFERROR(VLOOKUP(A205,[3]Hoja1!$B$3:$K$124,10,FALSE),"")</f>
        <v/>
      </c>
      <c r="F205" s="243" t="s">
        <v>1889</v>
      </c>
      <c r="G205" s="304" t="str">
        <f>IFERROR(VLOOKUP(A205,[3]Hoja1!$B$3:$K$124,3,FALSE),"")</f>
        <v/>
      </c>
      <c r="H205" s="304" t="str">
        <f>IFERROR(VLOOKUP(A205,[3]Hoja1!$B$3:$K$124,2,FALSE),"")</f>
        <v/>
      </c>
      <c r="I205" s="255" t="s">
        <v>288</v>
      </c>
      <c r="J205" s="255" t="s">
        <v>288</v>
      </c>
      <c r="K205" s="260" t="e">
        <f t="shared" si="5"/>
        <v>#VALUE!</v>
      </c>
    </row>
    <row r="206" spans="1:11" x14ac:dyDescent="0.2">
      <c r="A206" s="186" t="s">
        <v>951</v>
      </c>
      <c r="B206" s="304" t="str">
        <f>IFERROR(VLOOKUP(A206,[3]Hoja1!$B$3:$I$1048576,5,FALSE),"")</f>
        <v/>
      </c>
      <c r="C206" s="305" t="str">
        <f>IFERROR(VLOOKUP(A206,[3]Hoja1!$B$3:$K$124,9,FALSE),"")</f>
        <v/>
      </c>
      <c r="D206" s="305" t="str">
        <f>IFERROR(VLOOKUP(A206,[3]Hoja1!$B$3:$I$1048576,8,FALSE),"")</f>
        <v/>
      </c>
      <c r="E206" s="305" t="str">
        <f>IFERROR(VLOOKUP(A206,[3]Hoja1!$B$3:$K$124,10,FALSE),"")</f>
        <v/>
      </c>
      <c r="F206" s="243" t="s">
        <v>1889</v>
      </c>
      <c r="G206" s="304" t="str">
        <f>IFERROR(VLOOKUP(A206,[3]Hoja1!$B$3:$K$124,3,FALSE),"")</f>
        <v/>
      </c>
      <c r="H206" s="304" t="str">
        <f>IFERROR(VLOOKUP(A206,[3]Hoja1!$B$3:$K$124,2,FALSE),"")</f>
        <v/>
      </c>
      <c r="I206" s="255" t="s">
        <v>288</v>
      </c>
      <c r="J206" s="255" t="s">
        <v>288</v>
      </c>
      <c r="K206" s="260" t="e">
        <f t="shared" si="5"/>
        <v>#VALUE!</v>
      </c>
    </row>
    <row r="207" spans="1:11" x14ac:dyDescent="0.2">
      <c r="A207" s="186" t="s">
        <v>1127</v>
      </c>
      <c r="B207" s="304" t="str">
        <f>IFERROR(VLOOKUP(A207,[3]Hoja1!$B$3:$I$1048576,5,FALSE),"")</f>
        <v/>
      </c>
      <c r="C207" s="305" t="str">
        <f>IFERROR(VLOOKUP(A207,[3]Hoja1!$B$3:$K$124,9,FALSE),"")</f>
        <v/>
      </c>
      <c r="D207" s="305" t="str">
        <f>IFERROR(VLOOKUP(A207,[3]Hoja1!$B$3:$I$1048576,8,FALSE),"")</f>
        <v/>
      </c>
      <c r="E207" s="305" t="str">
        <f>IFERROR(VLOOKUP(A207,[3]Hoja1!$B$3:$K$124,10,FALSE),"")</f>
        <v/>
      </c>
      <c r="F207" s="243" t="s">
        <v>286</v>
      </c>
      <c r="G207" s="304" t="str">
        <f>IFERROR(VLOOKUP(A207,[3]Hoja1!$B$3:$K$124,3,FALSE),"")</f>
        <v/>
      </c>
      <c r="H207" s="304" t="str">
        <f>IFERROR(VLOOKUP(A207,[3]Hoja1!$B$3:$K$124,2,FALSE),"")</f>
        <v/>
      </c>
      <c r="I207" s="255" t="s">
        <v>288</v>
      </c>
      <c r="J207" s="255" t="s">
        <v>288</v>
      </c>
      <c r="K207" s="260" t="e">
        <f t="shared" si="5"/>
        <v>#VALUE!</v>
      </c>
    </row>
    <row r="208" spans="1:11" x14ac:dyDescent="0.2">
      <c r="A208" s="186" t="s">
        <v>1128</v>
      </c>
      <c r="B208" s="304" t="str">
        <f>IFERROR(VLOOKUP(A208,[3]Hoja1!$B$3:$I$1048576,5,FALSE),"")</f>
        <v/>
      </c>
      <c r="C208" s="305" t="str">
        <f>IFERROR(VLOOKUP(A208,[3]Hoja1!$B$3:$K$124,9,FALSE),"")</f>
        <v/>
      </c>
      <c r="D208" s="305" t="str">
        <f>IFERROR(VLOOKUP(A208,[3]Hoja1!$B$3:$I$1048576,8,FALSE),"")</f>
        <v/>
      </c>
      <c r="E208" s="305" t="str">
        <f>IFERROR(VLOOKUP(A208,[3]Hoja1!$B$3:$K$124,10,FALSE),"")</f>
        <v/>
      </c>
      <c r="F208" s="243" t="s">
        <v>286</v>
      </c>
      <c r="G208" s="304" t="str">
        <f>IFERROR(VLOOKUP(A208,[3]Hoja1!$B$3:$K$124,3,FALSE),"")</f>
        <v/>
      </c>
      <c r="H208" s="304" t="str">
        <f>IFERROR(VLOOKUP(A208,[3]Hoja1!$B$3:$K$124,2,FALSE),"")</f>
        <v/>
      </c>
      <c r="I208" s="255" t="s">
        <v>288</v>
      </c>
      <c r="J208" s="255" t="s">
        <v>288</v>
      </c>
      <c r="K208" s="260" t="e">
        <f t="shared" si="5"/>
        <v>#VALUE!</v>
      </c>
    </row>
    <row r="209" spans="1:11" x14ac:dyDescent="0.2">
      <c r="A209" s="186" t="s">
        <v>903</v>
      </c>
      <c r="B209" s="304" t="str">
        <f>IFERROR(VLOOKUP(A209,[3]Hoja1!$B$3:$I$1048576,5,FALSE),"")</f>
        <v/>
      </c>
      <c r="C209" s="305" t="str">
        <f>IFERROR(VLOOKUP(A209,[3]Hoja1!$B$3:$K$124,9,FALSE),"")</f>
        <v/>
      </c>
      <c r="D209" s="305" t="str">
        <f>IFERROR(VLOOKUP(A209,[3]Hoja1!$B$3:$I$1048576,8,FALSE),"")</f>
        <v/>
      </c>
      <c r="E209" s="305" t="str">
        <f>IFERROR(VLOOKUP(A209,[3]Hoja1!$B$3:$K$124,10,FALSE),"")</f>
        <v/>
      </c>
      <c r="F209" s="243" t="s">
        <v>1891</v>
      </c>
      <c r="G209" s="304" t="str">
        <f>IFERROR(VLOOKUP(A209,[3]Hoja1!$B$3:$K$124,3,FALSE),"")</f>
        <v/>
      </c>
      <c r="H209" s="304" t="str">
        <f>IFERROR(VLOOKUP(A209,[3]Hoja1!$B$3:$K$124,2,FALSE),"")</f>
        <v/>
      </c>
      <c r="I209" s="255" t="s">
        <v>288</v>
      </c>
      <c r="J209" s="255" t="s">
        <v>288</v>
      </c>
      <c r="K209" s="260" t="e">
        <f t="shared" si="5"/>
        <v>#VALUE!</v>
      </c>
    </row>
    <row r="210" spans="1:11" x14ac:dyDescent="0.2">
      <c r="A210" s="186" t="s">
        <v>904</v>
      </c>
      <c r="B210" s="304" t="str">
        <f>IFERROR(VLOOKUP(A210,[3]Hoja1!$B$3:$I$1048576,5,FALSE),"")</f>
        <v/>
      </c>
      <c r="C210" s="305" t="str">
        <f>IFERROR(VLOOKUP(A210,[3]Hoja1!$B$3:$K$124,9,FALSE),"")</f>
        <v/>
      </c>
      <c r="D210" s="305" t="str">
        <f>IFERROR(VLOOKUP(A210,[3]Hoja1!$B$3:$I$1048576,8,FALSE),"")</f>
        <v/>
      </c>
      <c r="E210" s="305" t="str">
        <f>IFERROR(VLOOKUP(A210,[3]Hoja1!$B$3:$K$124,10,FALSE),"")</f>
        <v/>
      </c>
      <c r="F210" s="243" t="s">
        <v>1891</v>
      </c>
      <c r="G210" s="304" t="str">
        <f>IFERROR(VLOOKUP(A210,[3]Hoja1!$B$3:$K$124,3,FALSE),"")</f>
        <v/>
      </c>
      <c r="H210" s="304" t="str">
        <f>IFERROR(VLOOKUP(A210,[3]Hoja1!$B$3:$K$124,2,FALSE),"")</f>
        <v/>
      </c>
      <c r="I210" s="255" t="s">
        <v>288</v>
      </c>
      <c r="J210" s="255" t="s">
        <v>288</v>
      </c>
      <c r="K210" s="260" t="e">
        <f t="shared" si="5"/>
        <v>#VALUE!</v>
      </c>
    </row>
    <row r="211" spans="1:11" x14ac:dyDescent="0.2">
      <c r="A211" s="186" t="s">
        <v>1117</v>
      </c>
      <c r="B211" s="304" t="str">
        <f>IFERROR(VLOOKUP(A211,[3]Hoja1!$B$3:$I$1048576,5,FALSE),"")</f>
        <v/>
      </c>
      <c r="C211" s="305" t="str">
        <f>IFERROR(VLOOKUP(A211,[3]Hoja1!$B$3:$K$124,9,FALSE),"")</f>
        <v/>
      </c>
      <c r="D211" s="305" t="str">
        <f>IFERROR(VLOOKUP(A211,[3]Hoja1!$B$3:$I$1048576,8,FALSE),"")</f>
        <v/>
      </c>
      <c r="E211" s="305" t="str">
        <f>IFERROR(VLOOKUP(A211,[3]Hoja1!$B$3:$K$124,10,FALSE),"")</f>
        <v/>
      </c>
      <c r="F211" s="243" t="s">
        <v>1889</v>
      </c>
      <c r="G211" s="304" t="str">
        <f>IFERROR(VLOOKUP(A211,[3]Hoja1!$B$3:$K$124,3,FALSE),"")</f>
        <v/>
      </c>
      <c r="H211" s="304" t="str">
        <f>IFERROR(VLOOKUP(A211,[3]Hoja1!$B$3:$K$124,2,FALSE),"")</f>
        <v/>
      </c>
      <c r="I211" s="255" t="s">
        <v>288</v>
      </c>
      <c r="J211" s="255" t="s">
        <v>288</v>
      </c>
      <c r="K211" s="260" t="e">
        <f t="shared" ref="K211:K274" si="6">+B211*G211</f>
        <v>#VALUE!</v>
      </c>
    </row>
    <row r="212" spans="1:11" x14ac:dyDescent="0.2">
      <c r="A212" s="186" t="s">
        <v>1118</v>
      </c>
      <c r="B212" s="304" t="str">
        <f>IFERROR(VLOOKUP(A212,[3]Hoja1!$B$3:$I$1048576,5,FALSE),"")</f>
        <v/>
      </c>
      <c r="C212" s="305" t="str">
        <f>IFERROR(VLOOKUP(A212,[3]Hoja1!$B$3:$K$124,9,FALSE),"")</f>
        <v/>
      </c>
      <c r="D212" s="305" t="str">
        <f>IFERROR(VLOOKUP(A212,[3]Hoja1!$B$3:$I$1048576,8,FALSE),"")</f>
        <v/>
      </c>
      <c r="E212" s="305" t="str">
        <f>IFERROR(VLOOKUP(A212,[3]Hoja1!$B$3:$K$124,10,FALSE),"")</f>
        <v/>
      </c>
      <c r="F212" s="243" t="s">
        <v>1889</v>
      </c>
      <c r="G212" s="304" t="str">
        <f>IFERROR(VLOOKUP(A212,[3]Hoja1!$B$3:$K$124,3,FALSE),"")</f>
        <v/>
      </c>
      <c r="H212" s="304" t="str">
        <f>IFERROR(VLOOKUP(A212,[3]Hoja1!$B$3:$K$124,2,FALSE),"")</f>
        <v/>
      </c>
      <c r="I212" s="255" t="s">
        <v>288</v>
      </c>
      <c r="J212" s="255" t="s">
        <v>288</v>
      </c>
      <c r="K212" s="260" t="e">
        <f t="shared" si="6"/>
        <v>#VALUE!</v>
      </c>
    </row>
    <row r="213" spans="1:11" x14ac:dyDescent="0.2">
      <c r="A213" s="186" t="s">
        <v>1119</v>
      </c>
      <c r="B213" s="304" t="str">
        <f>IFERROR(VLOOKUP(A213,[3]Hoja1!$B$3:$I$1048576,5,FALSE),"")</f>
        <v/>
      </c>
      <c r="C213" s="305" t="str">
        <f>IFERROR(VLOOKUP(A213,[3]Hoja1!$B$3:$K$124,9,FALSE),"")</f>
        <v/>
      </c>
      <c r="D213" s="305" t="str">
        <f>IFERROR(VLOOKUP(A213,[3]Hoja1!$B$3:$I$1048576,8,FALSE),"")</f>
        <v/>
      </c>
      <c r="E213" s="305" t="str">
        <f>IFERROR(VLOOKUP(A213,[3]Hoja1!$B$3:$K$124,10,FALSE),"")</f>
        <v/>
      </c>
      <c r="F213" s="243" t="s">
        <v>1889</v>
      </c>
      <c r="G213" s="304" t="str">
        <f>IFERROR(VLOOKUP(A213,[3]Hoja1!$B$3:$K$124,3,FALSE),"")</f>
        <v/>
      </c>
      <c r="H213" s="304" t="str">
        <f>IFERROR(VLOOKUP(A213,[3]Hoja1!$B$3:$K$124,2,FALSE),"")</f>
        <v/>
      </c>
      <c r="I213" s="255" t="s">
        <v>288</v>
      </c>
      <c r="J213" s="255" t="s">
        <v>288</v>
      </c>
      <c r="K213" s="260" t="e">
        <f t="shared" si="6"/>
        <v>#VALUE!</v>
      </c>
    </row>
    <row r="214" spans="1:11" x14ac:dyDescent="0.2">
      <c r="A214" s="186" t="s">
        <v>952</v>
      </c>
      <c r="B214" s="304" t="str">
        <f>IFERROR(VLOOKUP(A214,[3]Hoja1!$B$3:$I$1048576,5,FALSE),"")</f>
        <v/>
      </c>
      <c r="C214" s="305" t="str">
        <f>IFERROR(VLOOKUP(A214,[3]Hoja1!$B$3:$K$124,9,FALSE),"")</f>
        <v/>
      </c>
      <c r="D214" s="305" t="str">
        <f>IFERROR(VLOOKUP(A214,[3]Hoja1!$B$3:$I$1048576,8,FALSE),"")</f>
        <v/>
      </c>
      <c r="E214" s="305" t="str">
        <f>IFERROR(VLOOKUP(A214,[3]Hoja1!$B$3:$K$124,10,FALSE),"")</f>
        <v/>
      </c>
      <c r="F214" s="243" t="s">
        <v>1889</v>
      </c>
      <c r="G214" s="304" t="str">
        <f>IFERROR(VLOOKUP(A214,[3]Hoja1!$B$3:$K$124,3,FALSE),"")</f>
        <v/>
      </c>
      <c r="H214" s="304" t="str">
        <f>IFERROR(VLOOKUP(A214,[3]Hoja1!$B$3:$K$124,2,FALSE),"")</f>
        <v/>
      </c>
      <c r="I214" s="255" t="s">
        <v>288</v>
      </c>
      <c r="J214" s="255" t="s">
        <v>288</v>
      </c>
      <c r="K214" s="260" t="e">
        <f t="shared" si="6"/>
        <v>#VALUE!</v>
      </c>
    </row>
    <row r="215" spans="1:11" x14ac:dyDescent="0.2">
      <c r="A215" s="186" t="s">
        <v>953</v>
      </c>
      <c r="B215" s="304" t="str">
        <f>IFERROR(VLOOKUP(A215,[3]Hoja1!$B$3:$I$1048576,5,FALSE),"")</f>
        <v/>
      </c>
      <c r="C215" s="305" t="str">
        <f>IFERROR(VLOOKUP(A215,[3]Hoja1!$B$3:$K$124,9,FALSE),"")</f>
        <v/>
      </c>
      <c r="D215" s="305" t="str">
        <f>IFERROR(VLOOKUP(A215,[3]Hoja1!$B$3:$I$1048576,8,FALSE),"")</f>
        <v/>
      </c>
      <c r="E215" s="305" t="str">
        <f>IFERROR(VLOOKUP(A215,[3]Hoja1!$B$3:$K$124,10,FALSE),"")</f>
        <v/>
      </c>
      <c r="F215" s="243" t="s">
        <v>1889</v>
      </c>
      <c r="G215" s="304" t="str">
        <f>IFERROR(VLOOKUP(A215,[3]Hoja1!$B$3:$K$124,3,FALSE),"")</f>
        <v/>
      </c>
      <c r="H215" s="304" t="str">
        <f>IFERROR(VLOOKUP(A215,[3]Hoja1!$B$3:$K$124,2,FALSE),"")</f>
        <v/>
      </c>
      <c r="I215" s="255" t="s">
        <v>288</v>
      </c>
      <c r="J215" s="255" t="s">
        <v>288</v>
      </c>
      <c r="K215" s="260" t="e">
        <f t="shared" si="6"/>
        <v>#VALUE!</v>
      </c>
    </row>
    <row r="216" spans="1:11" x14ac:dyDescent="0.2">
      <c r="A216" s="186" t="s">
        <v>1129</v>
      </c>
      <c r="B216" s="304" t="str">
        <f>IFERROR(VLOOKUP(A216,[3]Hoja1!$B$3:$I$1048576,5,FALSE),"")</f>
        <v/>
      </c>
      <c r="C216" s="305" t="str">
        <f>IFERROR(VLOOKUP(A216,[3]Hoja1!$B$3:$K$124,9,FALSE),"")</f>
        <v/>
      </c>
      <c r="D216" s="305" t="str">
        <f>IFERROR(VLOOKUP(A216,[3]Hoja1!$B$3:$I$1048576,8,FALSE),"")</f>
        <v/>
      </c>
      <c r="E216" s="305" t="str">
        <f>IFERROR(VLOOKUP(A216,[3]Hoja1!$B$3:$K$124,10,FALSE),"")</f>
        <v/>
      </c>
      <c r="F216" s="243" t="s">
        <v>1889</v>
      </c>
      <c r="G216" s="304" t="str">
        <f>IFERROR(VLOOKUP(A216,[3]Hoja1!$B$3:$K$124,3,FALSE),"")</f>
        <v/>
      </c>
      <c r="H216" s="304" t="str">
        <f>IFERROR(VLOOKUP(A216,[3]Hoja1!$B$3:$K$124,2,FALSE),"")</f>
        <v/>
      </c>
      <c r="I216" s="255" t="s">
        <v>288</v>
      </c>
      <c r="J216" s="255" t="s">
        <v>288</v>
      </c>
      <c r="K216" s="260" t="e">
        <f t="shared" si="6"/>
        <v>#VALUE!</v>
      </c>
    </row>
    <row r="217" spans="1:11" x14ac:dyDescent="0.2">
      <c r="A217" s="186" t="s">
        <v>1886</v>
      </c>
      <c r="B217" s="304" t="str">
        <f>IFERROR(VLOOKUP(A217,[3]Hoja1!$B$3:$I$1048576,5,FALSE),"")</f>
        <v/>
      </c>
      <c r="C217" s="305" t="str">
        <f>IFERROR(VLOOKUP(A217,[3]Hoja1!$B$3:$K$124,9,FALSE),"")</f>
        <v/>
      </c>
      <c r="D217" s="305" t="str">
        <f>IFERROR(VLOOKUP(A217,[3]Hoja1!$B$3:$I$1048576,8,FALSE),"")</f>
        <v/>
      </c>
      <c r="E217" s="305" t="str">
        <f>IFERROR(VLOOKUP(A217,[3]Hoja1!$B$3:$K$124,10,FALSE),"")</f>
        <v/>
      </c>
      <c r="F217" s="243" t="s">
        <v>286</v>
      </c>
      <c r="G217" s="304" t="str">
        <f>IFERROR(VLOOKUP(A217,[3]Hoja1!$B$3:$K$124,3,FALSE),"")</f>
        <v/>
      </c>
      <c r="H217" s="304" t="str">
        <f>IFERROR(VLOOKUP(A217,[3]Hoja1!$B$3:$K$124,2,FALSE),"")</f>
        <v/>
      </c>
      <c r="I217" s="255" t="s">
        <v>288</v>
      </c>
      <c r="J217" s="255" t="s">
        <v>288</v>
      </c>
      <c r="K217" s="260" t="e">
        <f t="shared" si="6"/>
        <v>#VALUE!</v>
      </c>
    </row>
    <row r="218" spans="1:11" x14ac:dyDescent="0.2">
      <c r="A218" s="186" t="s">
        <v>1887</v>
      </c>
      <c r="B218" s="304" t="str">
        <f>IFERROR(VLOOKUP(A218,[3]Hoja1!$B$3:$I$1048576,5,FALSE),"")</f>
        <v/>
      </c>
      <c r="C218" s="305" t="str">
        <f>IFERROR(VLOOKUP(A218,[3]Hoja1!$B$3:$K$124,9,FALSE),"")</f>
        <v/>
      </c>
      <c r="D218" s="305" t="str">
        <f>IFERROR(VLOOKUP(A218,[3]Hoja1!$B$3:$I$1048576,8,FALSE),"")</f>
        <v/>
      </c>
      <c r="E218" s="305" t="str">
        <f>IFERROR(VLOOKUP(A218,[3]Hoja1!$B$3:$K$124,10,FALSE),"")</f>
        <v/>
      </c>
      <c r="F218" s="243" t="s">
        <v>286</v>
      </c>
      <c r="G218" s="304" t="str">
        <f>IFERROR(VLOOKUP(A218,[3]Hoja1!$B$3:$K$124,3,FALSE),"")</f>
        <v/>
      </c>
      <c r="H218" s="304" t="str">
        <f>IFERROR(VLOOKUP(A218,[3]Hoja1!$B$3:$K$124,2,FALSE),"")</f>
        <v/>
      </c>
      <c r="I218" s="255" t="s">
        <v>288</v>
      </c>
      <c r="J218" s="255" t="s">
        <v>288</v>
      </c>
      <c r="K218" s="260" t="e">
        <f t="shared" si="6"/>
        <v>#VALUE!</v>
      </c>
    </row>
    <row r="219" spans="1:11" x14ac:dyDescent="0.2">
      <c r="A219" s="186" t="s">
        <v>1130</v>
      </c>
      <c r="B219" s="304" t="str">
        <f>IFERROR(VLOOKUP(A219,[3]Hoja1!$B$3:$I$1048576,5,FALSE),"")</f>
        <v/>
      </c>
      <c r="C219" s="305" t="str">
        <f>IFERROR(VLOOKUP(A219,[3]Hoja1!$B$3:$K$124,9,FALSE),"")</f>
        <v/>
      </c>
      <c r="D219" s="305" t="str">
        <f>IFERROR(VLOOKUP(A219,[3]Hoja1!$B$3:$I$1048576,8,FALSE),"")</f>
        <v/>
      </c>
      <c r="E219" s="305" t="str">
        <f>IFERROR(VLOOKUP(A219,[3]Hoja1!$B$3:$K$124,10,FALSE),"")</f>
        <v/>
      </c>
      <c r="F219" s="243" t="s">
        <v>1891</v>
      </c>
      <c r="G219" s="304" t="str">
        <f>IFERROR(VLOOKUP(A219,[3]Hoja1!$B$3:$K$124,3,FALSE),"")</f>
        <v/>
      </c>
      <c r="H219" s="304" t="str">
        <f>IFERROR(VLOOKUP(A219,[3]Hoja1!$B$3:$K$124,2,FALSE),"")</f>
        <v/>
      </c>
      <c r="I219" s="255" t="s">
        <v>288</v>
      </c>
      <c r="J219" s="255" t="s">
        <v>288</v>
      </c>
      <c r="K219" s="260" t="e">
        <f t="shared" si="6"/>
        <v>#VALUE!</v>
      </c>
    </row>
    <row r="220" spans="1:11" x14ac:dyDescent="0.2">
      <c r="A220" s="186" t="s">
        <v>1115</v>
      </c>
      <c r="B220" s="304" t="str">
        <f>IFERROR(VLOOKUP(A220,[3]Hoja1!$B$3:$I$1048576,5,FALSE),"")</f>
        <v/>
      </c>
      <c r="C220" s="305" t="str">
        <f>IFERROR(VLOOKUP(A220,[3]Hoja1!$B$3:$K$124,9,FALSE),"")</f>
        <v/>
      </c>
      <c r="D220" s="305" t="str">
        <f>IFERROR(VLOOKUP(A220,[3]Hoja1!$B$3:$I$1048576,8,FALSE),"")</f>
        <v/>
      </c>
      <c r="E220" s="305" t="str">
        <f>IFERROR(VLOOKUP(A220,[3]Hoja1!$B$3:$K$124,10,FALSE),"")</f>
        <v/>
      </c>
      <c r="F220" s="243" t="s">
        <v>1889</v>
      </c>
      <c r="G220" s="304" t="str">
        <f>IFERROR(VLOOKUP(A220,[3]Hoja1!$B$3:$K$124,3,FALSE),"")</f>
        <v/>
      </c>
      <c r="H220" s="304" t="str">
        <f>IFERROR(VLOOKUP(A220,[3]Hoja1!$B$3:$K$124,2,FALSE),"")</f>
        <v/>
      </c>
      <c r="I220" s="255" t="s">
        <v>288</v>
      </c>
      <c r="J220" s="255" t="s">
        <v>288</v>
      </c>
      <c r="K220" s="260" t="e">
        <f t="shared" si="6"/>
        <v>#VALUE!</v>
      </c>
    </row>
    <row r="221" spans="1:11" x14ac:dyDescent="0.2">
      <c r="A221" s="186" t="s">
        <v>1116</v>
      </c>
      <c r="B221" s="304" t="str">
        <f>IFERROR(VLOOKUP(A221,[3]Hoja1!$B$3:$I$1048576,5,FALSE),"")</f>
        <v/>
      </c>
      <c r="C221" s="305" t="str">
        <f>IFERROR(VLOOKUP(A221,[3]Hoja1!$B$3:$K$124,9,FALSE),"")</f>
        <v/>
      </c>
      <c r="D221" s="305" t="str">
        <f>IFERROR(VLOOKUP(A221,[3]Hoja1!$B$3:$I$1048576,8,FALSE),"")</f>
        <v/>
      </c>
      <c r="E221" s="305" t="str">
        <f>IFERROR(VLOOKUP(A221,[3]Hoja1!$B$3:$K$124,10,FALSE),"")</f>
        <v/>
      </c>
      <c r="F221" s="243" t="s">
        <v>1889</v>
      </c>
      <c r="G221" s="304" t="str">
        <f>IFERROR(VLOOKUP(A221,[3]Hoja1!$B$3:$K$124,3,FALSE),"")</f>
        <v/>
      </c>
      <c r="H221" s="304" t="str">
        <f>IFERROR(VLOOKUP(A221,[3]Hoja1!$B$3:$K$124,2,FALSE),"")</f>
        <v/>
      </c>
      <c r="I221" s="255" t="s">
        <v>288</v>
      </c>
      <c r="J221" s="255" t="s">
        <v>288</v>
      </c>
      <c r="K221" s="260" t="e">
        <f t="shared" si="6"/>
        <v>#VALUE!</v>
      </c>
    </row>
    <row r="222" spans="1:11" x14ac:dyDescent="0.2">
      <c r="A222" s="186" t="s">
        <v>1114</v>
      </c>
      <c r="B222" s="304" t="str">
        <f>IFERROR(VLOOKUP(A222,[3]Hoja1!$B$3:$I$1048576,5,FALSE),"")</f>
        <v/>
      </c>
      <c r="C222" s="305" t="str">
        <f>IFERROR(VLOOKUP(A222,[3]Hoja1!$B$3:$K$124,9,FALSE),"")</f>
        <v/>
      </c>
      <c r="D222" s="305" t="str">
        <f>IFERROR(VLOOKUP(A222,[3]Hoja1!$B$3:$I$1048576,8,FALSE),"")</f>
        <v/>
      </c>
      <c r="E222" s="305" t="str">
        <f>IFERROR(VLOOKUP(A222,[3]Hoja1!$B$3:$K$124,10,FALSE),"")</f>
        <v/>
      </c>
      <c r="F222" s="243" t="s">
        <v>1889</v>
      </c>
      <c r="G222" s="304" t="str">
        <f>IFERROR(VLOOKUP(A222,[3]Hoja1!$B$3:$K$124,3,FALSE),"")</f>
        <v/>
      </c>
      <c r="H222" s="304" t="str">
        <f>IFERROR(VLOOKUP(A222,[3]Hoja1!$B$3:$K$124,2,FALSE),"")</f>
        <v/>
      </c>
      <c r="I222" s="255" t="s">
        <v>288</v>
      </c>
      <c r="J222" s="255" t="s">
        <v>288</v>
      </c>
      <c r="K222" s="260" t="e">
        <f t="shared" si="6"/>
        <v>#VALUE!</v>
      </c>
    </row>
    <row r="223" spans="1:11" x14ac:dyDescent="0.2">
      <c r="A223" s="186" t="s">
        <v>901</v>
      </c>
      <c r="B223" s="304" t="str">
        <f>IFERROR(VLOOKUP(A223,[3]Hoja1!$B$3:$I$1048576,5,FALSE),"")</f>
        <v/>
      </c>
      <c r="C223" s="305" t="str">
        <f>IFERROR(VLOOKUP(A223,[3]Hoja1!$B$3:$K$124,9,FALSE),"")</f>
        <v/>
      </c>
      <c r="D223" s="305" t="str">
        <f>IFERROR(VLOOKUP(A223,[3]Hoja1!$B$3:$I$1048576,8,FALSE),"")</f>
        <v/>
      </c>
      <c r="E223" s="305" t="str">
        <f>IFERROR(VLOOKUP(A223,[3]Hoja1!$B$3:$K$124,10,FALSE),"")</f>
        <v/>
      </c>
      <c r="F223" s="243" t="s">
        <v>1891</v>
      </c>
      <c r="G223" s="304" t="str">
        <f>IFERROR(VLOOKUP(A223,[3]Hoja1!$B$3:$K$124,3,FALSE),"")</f>
        <v/>
      </c>
      <c r="H223" s="304" t="str">
        <f>IFERROR(VLOOKUP(A223,[3]Hoja1!$B$3:$K$124,2,FALSE),"")</f>
        <v/>
      </c>
      <c r="I223" s="255" t="s">
        <v>288</v>
      </c>
      <c r="J223" s="255" t="s">
        <v>288</v>
      </c>
      <c r="K223" s="260" t="e">
        <f t="shared" si="6"/>
        <v>#VALUE!</v>
      </c>
    </row>
    <row r="224" spans="1:11" x14ac:dyDescent="0.2">
      <c r="A224" s="186" t="s">
        <v>902</v>
      </c>
      <c r="B224" s="304" t="str">
        <f>IFERROR(VLOOKUP(A224,[3]Hoja1!$B$3:$I$1048576,5,FALSE),"")</f>
        <v/>
      </c>
      <c r="C224" s="305" t="str">
        <f>IFERROR(VLOOKUP(A224,[3]Hoja1!$B$3:$K$124,9,FALSE),"")</f>
        <v/>
      </c>
      <c r="D224" s="305" t="str">
        <f>IFERROR(VLOOKUP(A224,[3]Hoja1!$B$3:$I$1048576,8,FALSE),"")</f>
        <v/>
      </c>
      <c r="E224" s="305" t="str">
        <f>IFERROR(VLOOKUP(A224,[3]Hoja1!$B$3:$K$124,10,FALSE),"")</f>
        <v/>
      </c>
      <c r="F224" s="243" t="s">
        <v>1891</v>
      </c>
      <c r="G224" s="304" t="str">
        <f>IFERROR(VLOOKUP(A224,[3]Hoja1!$B$3:$K$124,3,FALSE),"")</f>
        <v/>
      </c>
      <c r="H224" s="304" t="str">
        <f>IFERROR(VLOOKUP(A224,[3]Hoja1!$B$3:$K$124,2,FALSE),"")</f>
        <v/>
      </c>
      <c r="I224" s="255" t="s">
        <v>288</v>
      </c>
      <c r="J224" s="255" t="s">
        <v>288</v>
      </c>
      <c r="K224" s="260" t="e">
        <f t="shared" si="6"/>
        <v>#VALUE!</v>
      </c>
    </row>
    <row r="225" spans="1:11" x14ac:dyDescent="0.2">
      <c r="A225" s="186" t="s">
        <v>956</v>
      </c>
      <c r="B225" s="304" t="str">
        <f>IFERROR(VLOOKUP(A225,[3]Hoja1!$B$3:$I$1048576,5,FALSE),"")</f>
        <v/>
      </c>
      <c r="C225" s="305" t="str">
        <f>IFERROR(VLOOKUP(A225,[3]Hoja1!$B$3:$K$124,9,FALSE),"")</f>
        <v/>
      </c>
      <c r="D225" s="305" t="str">
        <f>IFERROR(VLOOKUP(A225,[3]Hoja1!$B$3:$I$1048576,8,FALSE),"")</f>
        <v/>
      </c>
      <c r="E225" s="305" t="str">
        <f>IFERROR(VLOOKUP(A225,[3]Hoja1!$B$3:$K$124,10,FALSE),"")</f>
        <v/>
      </c>
      <c r="F225" s="243" t="s">
        <v>1889</v>
      </c>
      <c r="G225" s="304" t="str">
        <f>IFERROR(VLOOKUP(A225,[3]Hoja1!$B$3:$K$124,3,FALSE),"")</f>
        <v/>
      </c>
      <c r="H225" s="304" t="str">
        <f>IFERROR(VLOOKUP(A225,[3]Hoja1!$B$3:$K$124,2,FALSE),"")</f>
        <v/>
      </c>
      <c r="I225" s="255" t="s">
        <v>288</v>
      </c>
      <c r="J225" s="255" t="s">
        <v>288</v>
      </c>
      <c r="K225" s="260" t="e">
        <f t="shared" si="6"/>
        <v>#VALUE!</v>
      </c>
    </row>
    <row r="226" spans="1:11" x14ac:dyDescent="0.2">
      <c r="A226" s="186" t="s">
        <v>1120</v>
      </c>
      <c r="B226" s="304" t="str">
        <f>IFERROR(VLOOKUP(A226,[3]Hoja1!$B$3:$I$1048576,5,FALSE),"")</f>
        <v/>
      </c>
      <c r="C226" s="305" t="str">
        <f>IFERROR(VLOOKUP(A226,[3]Hoja1!$B$3:$K$124,9,FALSE),"")</f>
        <v/>
      </c>
      <c r="D226" s="305" t="str">
        <f>IFERROR(VLOOKUP(A226,[3]Hoja1!$B$3:$I$1048576,8,FALSE),"")</f>
        <v/>
      </c>
      <c r="E226" s="305" t="str">
        <f>IFERROR(VLOOKUP(A226,[3]Hoja1!$B$3:$K$124,10,FALSE),"")</f>
        <v/>
      </c>
      <c r="F226" s="243" t="s">
        <v>1889</v>
      </c>
      <c r="G226" s="304" t="str">
        <f>IFERROR(VLOOKUP(A226,[3]Hoja1!$B$3:$K$124,3,FALSE),"")</f>
        <v/>
      </c>
      <c r="H226" s="304" t="str">
        <f>IFERROR(VLOOKUP(A226,[3]Hoja1!$B$3:$K$124,2,FALSE),"")</f>
        <v/>
      </c>
      <c r="I226" s="255" t="s">
        <v>288</v>
      </c>
      <c r="J226" s="255" t="s">
        <v>288</v>
      </c>
      <c r="K226" s="260" t="e">
        <f t="shared" si="6"/>
        <v>#VALUE!</v>
      </c>
    </row>
    <row r="227" spans="1:11" x14ac:dyDescent="0.2">
      <c r="A227" s="186" t="s">
        <v>1121</v>
      </c>
      <c r="B227" s="304" t="str">
        <f>IFERROR(VLOOKUP(A227,[3]Hoja1!$B$3:$I$1048576,5,FALSE),"")</f>
        <v/>
      </c>
      <c r="C227" s="305" t="str">
        <f>IFERROR(VLOOKUP(A227,[3]Hoja1!$B$3:$K$124,9,FALSE),"")</f>
        <v/>
      </c>
      <c r="D227" s="305" t="str">
        <f>IFERROR(VLOOKUP(A227,[3]Hoja1!$B$3:$I$1048576,8,FALSE),"")</f>
        <v/>
      </c>
      <c r="E227" s="305" t="str">
        <f>IFERROR(VLOOKUP(A227,[3]Hoja1!$B$3:$K$124,10,FALSE),"")</f>
        <v/>
      </c>
      <c r="F227" s="243" t="s">
        <v>1889</v>
      </c>
      <c r="G227" s="304" t="str">
        <f>IFERROR(VLOOKUP(A227,[3]Hoja1!$B$3:$K$124,3,FALSE),"")</f>
        <v/>
      </c>
      <c r="H227" s="304" t="str">
        <f>IFERROR(VLOOKUP(A227,[3]Hoja1!$B$3:$K$124,2,FALSE),"")</f>
        <v/>
      </c>
      <c r="I227" s="255" t="s">
        <v>288</v>
      </c>
      <c r="J227" s="255" t="s">
        <v>288</v>
      </c>
      <c r="K227" s="260" t="e">
        <f t="shared" si="6"/>
        <v>#VALUE!</v>
      </c>
    </row>
    <row r="228" spans="1:11" x14ac:dyDescent="0.2">
      <c r="A228" s="186"/>
      <c r="B228" s="304" t="str">
        <f>IFERROR(VLOOKUP(A228,[3]Hoja1!$B$3:$I$1048576,5,FALSE),"")</f>
        <v/>
      </c>
      <c r="C228" s="305" t="str">
        <f>IFERROR(VLOOKUP(A228,[3]Hoja1!$B$3:$K$124,9,FALSE),"")</f>
        <v/>
      </c>
      <c r="D228" s="305" t="str">
        <f>IFERROR(VLOOKUP(A228,[3]Hoja1!$B$3:$I$1048576,8,FALSE),"")</f>
        <v/>
      </c>
      <c r="E228" s="305" t="str">
        <f>IFERROR(VLOOKUP(A228,[3]Hoja1!$B$3:$K$124,10,FALSE),"")</f>
        <v/>
      </c>
      <c r="F228" s="243"/>
      <c r="G228" s="304" t="str">
        <f>IFERROR(VLOOKUP(A228,[3]Hoja1!$B$3:$K$124,3,FALSE),"")</f>
        <v/>
      </c>
      <c r="H228" s="304" t="str">
        <f>IFERROR(VLOOKUP(A228,[3]Hoja1!$B$3:$K$124,2,FALSE),"")</f>
        <v/>
      </c>
      <c r="I228" s="255"/>
      <c r="J228" s="255"/>
      <c r="K228" s="260" t="e">
        <f t="shared" si="6"/>
        <v>#VALUE!</v>
      </c>
    </row>
    <row r="229" spans="1:11" x14ac:dyDescent="0.2">
      <c r="A229" s="186" t="s">
        <v>957</v>
      </c>
      <c r="B229" s="304" t="str">
        <f>IFERROR(VLOOKUP(A229,[3]Hoja1!$B$3:$I$1048576,5,FALSE),"")</f>
        <v/>
      </c>
      <c r="C229" s="305" t="str">
        <f>IFERROR(VLOOKUP(A229,[3]Hoja1!$B$3:$K$124,9,FALSE),"")</f>
        <v/>
      </c>
      <c r="D229" s="305" t="str">
        <f>IFERROR(VLOOKUP(A229,[3]Hoja1!$B$3:$I$1048576,8,FALSE),"")</f>
        <v/>
      </c>
      <c r="E229" s="305" t="str">
        <f>IFERROR(VLOOKUP(A229,[3]Hoja1!$B$3:$K$124,10,FALSE),"")</f>
        <v/>
      </c>
      <c r="F229" s="243" t="s">
        <v>1891</v>
      </c>
      <c r="G229" s="304" t="str">
        <f>IFERROR(VLOOKUP(A229,[3]Hoja1!$B$3:$K$124,3,FALSE),"")</f>
        <v/>
      </c>
      <c r="H229" s="304" t="str">
        <f>IFERROR(VLOOKUP(A229,[3]Hoja1!$B$3:$K$124,2,FALSE),"")</f>
        <v/>
      </c>
      <c r="I229" s="255" t="s">
        <v>288</v>
      </c>
      <c r="J229" s="255" t="s">
        <v>288</v>
      </c>
      <c r="K229" s="260" t="e">
        <f t="shared" si="6"/>
        <v>#VALUE!</v>
      </c>
    </row>
    <row r="230" spans="1:11" x14ac:dyDescent="0.2">
      <c r="A230" s="186" t="s">
        <v>958</v>
      </c>
      <c r="B230" s="304" t="str">
        <f>IFERROR(VLOOKUP(A230,[3]Hoja1!$B$3:$I$1048576,5,FALSE),"")</f>
        <v/>
      </c>
      <c r="C230" s="305" t="str">
        <f>IFERROR(VLOOKUP(A230,[3]Hoja1!$B$3:$K$124,9,FALSE),"")</f>
        <v/>
      </c>
      <c r="D230" s="305" t="str">
        <f>IFERROR(VLOOKUP(A230,[3]Hoja1!$B$3:$I$1048576,8,FALSE),"")</f>
        <v/>
      </c>
      <c r="E230" s="305" t="str">
        <f>IFERROR(VLOOKUP(A230,[3]Hoja1!$B$3:$K$124,10,FALSE),"")</f>
        <v/>
      </c>
      <c r="F230" s="243" t="s">
        <v>1891</v>
      </c>
      <c r="G230" s="304" t="str">
        <f>IFERROR(VLOOKUP(A230,[3]Hoja1!$B$3:$K$124,3,FALSE),"")</f>
        <v/>
      </c>
      <c r="H230" s="304" t="str">
        <f>IFERROR(VLOOKUP(A230,[3]Hoja1!$B$3:$K$124,2,FALSE),"")</f>
        <v/>
      </c>
      <c r="I230" s="255" t="s">
        <v>288</v>
      </c>
      <c r="J230" s="255" t="s">
        <v>288</v>
      </c>
      <c r="K230" s="260" t="e">
        <f t="shared" si="6"/>
        <v>#VALUE!</v>
      </c>
    </row>
    <row r="231" spans="1:11" x14ac:dyDescent="0.2">
      <c r="A231" s="186"/>
      <c r="B231" s="304" t="str">
        <f>IFERROR(VLOOKUP(A231,[3]Hoja1!$B$3:$I$1048576,5,FALSE),"")</f>
        <v/>
      </c>
      <c r="C231" s="305" t="str">
        <f>IFERROR(VLOOKUP(A231,[3]Hoja1!$B$3:$K$124,9,FALSE),"")</f>
        <v/>
      </c>
      <c r="D231" s="305" t="str">
        <f>IFERROR(VLOOKUP(A231,[3]Hoja1!$B$3:$I$1048576,8,FALSE),"")</f>
        <v/>
      </c>
      <c r="E231" s="305" t="str">
        <f>IFERROR(VLOOKUP(A231,[3]Hoja1!$B$3:$K$124,10,FALSE),"")</f>
        <v/>
      </c>
      <c r="F231" s="243"/>
      <c r="G231" s="304" t="str">
        <f>IFERROR(VLOOKUP(A231,[3]Hoja1!$B$3:$K$124,3,FALSE),"")</f>
        <v/>
      </c>
      <c r="H231" s="304" t="str">
        <f>IFERROR(VLOOKUP(A231,[3]Hoja1!$B$3:$K$124,2,FALSE),"")</f>
        <v/>
      </c>
      <c r="I231" s="255"/>
      <c r="J231" s="255"/>
      <c r="K231" s="260" t="e">
        <f t="shared" si="6"/>
        <v>#VALUE!</v>
      </c>
    </row>
    <row r="232" spans="1:11" x14ac:dyDescent="0.2">
      <c r="A232" s="186" t="s">
        <v>959</v>
      </c>
      <c r="B232" s="304" t="str">
        <f>IFERROR(VLOOKUP(A232,[3]Hoja1!$B$3:$I$1048576,5,FALSE),"")</f>
        <v/>
      </c>
      <c r="C232" s="305" t="str">
        <f>IFERROR(VLOOKUP(A232,[3]Hoja1!$B$3:$K$124,9,FALSE),"")</f>
        <v/>
      </c>
      <c r="D232" s="305" t="str">
        <f>IFERROR(VLOOKUP(A232,[3]Hoja1!$B$3:$I$1048576,8,FALSE),"")</f>
        <v/>
      </c>
      <c r="E232" s="305" t="str">
        <f>IFERROR(VLOOKUP(A232,[3]Hoja1!$B$3:$K$124,10,FALSE),"")</f>
        <v/>
      </c>
      <c r="F232" s="243" t="s">
        <v>1889</v>
      </c>
      <c r="G232" s="304" t="str">
        <f>IFERROR(VLOOKUP(A232,[3]Hoja1!$B$3:$K$124,3,FALSE),"")</f>
        <v/>
      </c>
      <c r="H232" s="304" t="str">
        <f>IFERROR(VLOOKUP(A232,[3]Hoja1!$B$3:$K$124,2,FALSE),"")</f>
        <v/>
      </c>
      <c r="I232" s="255" t="s">
        <v>288</v>
      </c>
      <c r="J232" s="255" t="s">
        <v>288</v>
      </c>
      <c r="K232" s="260" t="e">
        <f t="shared" si="6"/>
        <v>#VALUE!</v>
      </c>
    </row>
    <row r="233" spans="1:11" x14ac:dyDescent="0.2">
      <c r="A233" s="186" t="s">
        <v>960</v>
      </c>
      <c r="B233" s="304" t="str">
        <f>IFERROR(VLOOKUP(A233,[3]Hoja1!$B$3:$I$1048576,5,FALSE),"")</f>
        <v/>
      </c>
      <c r="C233" s="305" t="str">
        <f>IFERROR(VLOOKUP(A233,[3]Hoja1!$B$3:$K$124,9,FALSE),"")</f>
        <v/>
      </c>
      <c r="D233" s="305" t="str">
        <f>IFERROR(VLOOKUP(A233,[3]Hoja1!$B$3:$I$1048576,8,FALSE),"")</f>
        <v/>
      </c>
      <c r="E233" s="305" t="str">
        <f>IFERROR(VLOOKUP(A233,[3]Hoja1!$B$3:$K$124,10,FALSE),"")</f>
        <v/>
      </c>
      <c r="F233" s="243" t="s">
        <v>1889</v>
      </c>
      <c r="G233" s="304" t="str">
        <f>IFERROR(VLOOKUP(A233,[3]Hoja1!$B$3:$K$124,3,FALSE),"")</f>
        <v/>
      </c>
      <c r="H233" s="304" t="str">
        <f>IFERROR(VLOOKUP(A233,[3]Hoja1!$B$3:$K$124,2,FALSE),"")</f>
        <v/>
      </c>
      <c r="I233" s="255" t="s">
        <v>288</v>
      </c>
      <c r="J233" s="255" t="s">
        <v>288</v>
      </c>
      <c r="K233" s="260" t="e">
        <f t="shared" si="6"/>
        <v>#VALUE!</v>
      </c>
    </row>
    <row r="234" spans="1:11" x14ac:dyDescent="0.2">
      <c r="A234" s="186" t="s">
        <v>961</v>
      </c>
      <c r="B234" s="304" t="str">
        <f>IFERROR(VLOOKUP(A234,[3]Hoja1!$B$3:$I$1048576,5,FALSE),"")</f>
        <v/>
      </c>
      <c r="C234" s="305" t="str">
        <f>IFERROR(VLOOKUP(A234,[3]Hoja1!$B$3:$K$124,9,FALSE),"")</f>
        <v/>
      </c>
      <c r="D234" s="305" t="str">
        <f>IFERROR(VLOOKUP(A234,[3]Hoja1!$B$3:$I$1048576,8,FALSE),"")</f>
        <v/>
      </c>
      <c r="E234" s="305" t="str">
        <f>IFERROR(VLOOKUP(A234,[3]Hoja1!$B$3:$K$124,10,FALSE),"")</f>
        <v/>
      </c>
      <c r="F234" s="243" t="s">
        <v>1889</v>
      </c>
      <c r="G234" s="304" t="str">
        <f>IFERROR(VLOOKUP(A234,[3]Hoja1!$B$3:$K$124,3,FALSE),"")</f>
        <v/>
      </c>
      <c r="H234" s="304" t="str">
        <f>IFERROR(VLOOKUP(A234,[3]Hoja1!$B$3:$K$124,2,FALSE),"")</f>
        <v/>
      </c>
      <c r="I234" s="255" t="s">
        <v>288</v>
      </c>
      <c r="J234" s="255" t="s">
        <v>288</v>
      </c>
      <c r="K234" s="260" t="e">
        <f t="shared" si="6"/>
        <v>#VALUE!</v>
      </c>
    </row>
    <row r="235" spans="1:11" x14ac:dyDescent="0.2">
      <c r="A235" s="186" t="s">
        <v>962</v>
      </c>
      <c r="B235" s="304" t="str">
        <f>IFERROR(VLOOKUP(A235,[3]Hoja1!$B$3:$I$1048576,5,FALSE),"")</f>
        <v/>
      </c>
      <c r="C235" s="305" t="str">
        <f>IFERROR(VLOOKUP(A235,[3]Hoja1!$B$3:$K$124,9,FALSE),"")</f>
        <v/>
      </c>
      <c r="D235" s="305" t="str">
        <f>IFERROR(VLOOKUP(A235,[3]Hoja1!$B$3:$I$1048576,8,FALSE),"")</f>
        <v/>
      </c>
      <c r="E235" s="305" t="str">
        <f>IFERROR(VLOOKUP(A235,[3]Hoja1!$B$3:$K$124,10,FALSE),"")</f>
        <v/>
      </c>
      <c r="F235" s="243" t="s">
        <v>1889</v>
      </c>
      <c r="G235" s="304" t="str">
        <f>IFERROR(VLOOKUP(A235,[3]Hoja1!$B$3:$K$124,3,FALSE),"")</f>
        <v/>
      </c>
      <c r="H235" s="304" t="str">
        <f>IFERROR(VLOOKUP(A235,[3]Hoja1!$B$3:$K$124,2,FALSE),"")</f>
        <v/>
      </c>
      <c r="I235" s="255" t="s">
        <v>288</v>
      </c>
      <c r="J235" s="255" t="s">
        <v>288</v>
      </c>
      <c r="K235" s="260" t="e">
        <f t="shared" si="6"/>
        <v>#VALUE!</v>
      </c>
    </row>
    <row r="236" spans="1:11" x14ac:dyDescent="0.2">
      <c r="A236" s="186"/>
      <c r="B236" s="304" t="str">
        <f>IFERROR(VLOOKUP(A236,[3]Hoja1!$B$3:$I$1048576,5,FALSE),"")</f>
        <v/>
      </c>
      <c r="C236" s="305" t="str">
        <f>IFERROR(VLOOKUP(A236,[3]Hoja1!$B$3:$K$124,9,FALSE),"")</f>
        <v/>
      </c>
      <c r="D236" s="305" t="str">
        <f>IFERROR(VLOOKUP(A236,[3]Hoja1!$B$3:$I$1048576,8,FALSE),"")</f>
        <v/>
      </c>
      <c r="E236" s="305" t="str">
        <f>IFERROR(VLOOKUP(A236,[3]Hoja1!$B$3:$K$124,10,FALSE),"")</f>
        <v/>
      </c>
      <c r="F236" s="243"/>
      <c r="G236" s="304" t="str">
        <f>IFERROR(VLOOKUP(A236,[3]Hoja1!$B$3:$K$124,3,FALSE),"")</f>
        <v/>
      </c>
      <c r="H236" s="304" t="str">
        <f>IFERROR(VLOOKUP(A236,[3]Hoja1!$B$3:$K$124,2,FALSE),"")</f>
        <v/>
      </c>
      <c r="I236" s="255"/>
      <c r="J236" s="255"/>
      <c r="K236" s="260" t="e">
        <f t="shared" si="6"/>
        <v>#VALUE!</v>
      </c>
    </row>
    <row r="237" spans="1:11" x14ac:dyDescent="0.2">
      <c r="A237" s="186"/>
      <c r="B237" s="304" t="str">
        <f>IFERROR(VLOOKUP(A237,[3]Hoja1!$B$3:$I$1048576,5,FALSE),"")</f>
        <v/>
      </c>
      <c r="C237" s="305" t="str">
        <f>IFERROR(VLOOKUP(A237,[3]Hoja1!$B$3:$K$124,9,FALSE),"")</f>
        <v/>
      </c>
      <c r="D237" s="305" t="str">
        <f>IFERROR(VLOOKUP(A237,[3]Hoja1!$B$3:$I$1048576,8,FALSE),"")</f>
        <v/>
      </c>
      <c r="E237" s="305" t="str">
        <f>IFERROR(VLOOKUP(A237,[3]Hoja1!$B$3:$K$124,10,FALSE),"")</f>
        <v/>
      </c>
      <c r="F237" s="243"/>
      <c r="G237" s="304" t="str">
        <f>IFERROR(VLOOKUP(A237,[3]Hoja1!$B$3:$K$124,3,FALSE),"")</f>
        <v/>
      </c>
      <c r="H237" s="304" t="str">
        <f>IFERROR(VLOOKUP(A237,[3]Hoja1!$B$3:$K$124,2,FALSE),"")</f>
        <v/>
      </c>
      <c r="I237" s="255"/>
      <c r="J237" s="255"/>
      <c r="K237" s="260" t="e">
        <f t="shared" si="6"/>
        <v>#VALUE!</v>
      </c>
    </row>
    <row r="238" spans="1:11" x14ac:dyDescent="0.2">
      <c r="A238" s="186"/>
      <c r="B238" s="304" t="str">
        <f>IFERROR(VLOOKUP(A238,[3]Hoja1!$B$3:$I$1048576,5,FALSE),"")</f>
        <v/>
      </c>
      <c r="C238" s="305" t="str">
        <f>IFERROR(VLOOKUP(A238,[3]Hoja1!$B$3:$K$124,9,FALSE),"")</f>
        <v/>
      </c>
      <c r="D238" s="305" t="str">
        <f>IFERROR(VLOOKUP(A238,[3]Hoja1!$B$3:$I$1048576,8,FALSE),"")</f>
        <v/>
      </c>
      <c r="E238" s="305" t="str">
        <f>IFERROR(VLOOKUP(A238,[3]Hoja1!$B$3:$K$124,10,FALSE),"")</f>
        <v/>
      </c>
      <c r="F238" s="243"/>
      <c r="G238" s="304" t="str">
        <f>IFERROR(VLOOKUP(A238,[3]Hoja1!$B$3:$K$124,3,FALSE),"")</f>
        <v/>
      </c>
      <c r="H238" s="304" t="str">
        <f>IFERROR(VLOOKUP(A238,[3]Hoja1!$B$3:$K$124,2,FALSE),"")</f>
        <v/>
      </c>
      <c r="I238" s="255"/>
      <c r="J238" s="255"/>
      <c r="K238" s="260" t="e">
        <f t="shared" si="6"/>
        <v>#VALUE!</v>
      </c>
    </row>
    <row r="239" spans="1:11" x14ac:dyDescent="0.2">
      <c r="A239" s="186"/>
      <c r="B239" s="304" t="str">
        <f>IFERROR(VLOOKUP(A239,[3]Hoja1!$B$3:$I$1048576,5,FALSE),"")</f>
        <v/>
      </c>
      <c r="C239" s="305" t="str">
        <f>IFERROR(VLOOKUP(A239,[3]Hoja1!$B$3:$K$124,9,FALSE),"")</f>
        <v/>
      </c>
      <c r="D239" s="305" t="str">
        <f>IFERROR(VLOOKUP(A239,[3]Hoja1!$B$3:$I$1048576,8,FALSE),"")</f>
        <v/>
      </c>
      <c r="E239" s="305" t="str">
        <f>IFERROR(VLOOKUP(A239,[3]Hoja1!$B$3:$K$124,10,FALSE),"")</f>
        <v/>
      </c>
      <c r="F239" s="243"/>
      <c r="G239" s="304" t="str">
        <f>IFERROR(VLOOKUP(A239,[3]Hoja1!$B$3:$K$124,3,FALSE),"")</f>
        <v/>
      </c>
      <c r="H239" s="304" t="str">
        <f>IFERROR(VLOOKUP(A239,[3]Hoja1!$B$3:$K$124,2,FALSE),"")</f>
        <v/>
      </c>
      <c r="I239" s="255"/>
      <c r="J239" s="255"/>
      <c r="K239" s="260" t="e">
        <f t="shared" si="6"/>
        <v>#VALUE!</v>
      </c>
    </row>
    <row r="240" spans="1:11" x14ac:dyDescent="0.2">
      <c r="A240" s="186"/>
      <c r="B240" s="304" t="str">
        <f>IFERROR(VLOOKUP(A240,[3]Hoja1!$B$3:$I$1048576,5,FALSE),"")</f>
        <v/>
      </c>
      <c r="C240" s="305" t="str">
        <f>IFERROR(VLOOKUP(A240,[3]Hoja1!$B$3:$K$124,9,FALSE),"")</f>
        <v/>
      </c>
      <c r="D240" s="305" t="str">
        <f>IFERROR(VLOOKUP(A240,[3]Hoja1!$B$3:$I$1048576,8,FALSE),"")</f>
        <v/>
      </c>
      <c r="E240" s="305" t="str">
        <f>IFERROR(VLOOKUP(A240,[3]Hoja1!$B$3:$K$124,10,FALSE),"")</f>
        <v/>
      </c>
      <c r="F240" s="243"/>
      <c r="G240" s="304" t="str">
        <f>IFERROR(VLOOKUP(A240,[3]Hoja1!$B$3:$K$124,3,FALSE),"")</f>
        <v/>
      </c>
      <c r="H240" s="304" t="str">
        <f>IFERROR(VLOOKUP(A240,[3]Hoja1!$B$3:$K$124,2,FALSE),"")</f>
        <v/>
      </c>
      <c r="I240" s="255"/>
      <c r="J240" s="255"/>
      <c r="K240" s="260" t="e">
        <f t="shared" si="6"/>
        <v>#VALUE!</v>
      </c>
    </row>
    <row r="241" spans="1:11" x14ac:dyDescent="0.2">
      <c r="A241" s="186"/>
      <c r="B241" s="304" t="str">
        <f>IFERROR(VLOOKUP(A241,[3]Hoja1!$B$3:$I$1048576,5,FALSE),"")</f>
        <v/>
      </c>
      <c r="C241" s="305" t="str">
        <f>IFERROR(VLOOKUP(A241,[3]Hoja1!$B$3:$K$124,9,FALSE),"")</f>
        <v/>
      </c>
      <c r="D241" s="305" t="str">
        <f>IFERROR(VLOOKUP(A241,[3]Hoja1!$B$3:$I$1048576,8,FALSE),"")</f>
        <v/>
      </c>
      <c r="E241" s="305" t="str">
        <f>IFERROR(VLOOKUP(A241,[3]Hoja1!$B$3:$K$124,10,FALSE),"")</f>
        <v/>
      </c>
      <c r="F241" s="243"/>
      <c r="G241" s="304" t="str">
        <f>IFERROR(VLOOKUP(A241,[3]Hoja1!$B$3:$K$124,3,FALSE),"")</f>
        <v/>
      </c>
      <c r="H241" s="304" t="str">
        <f>IFERROR(VLOOKUP(A241,[3]Hoja1!$B$3:$K$124,2,FALSE),"")</f>
        <v/>
      </c>
      <c r="I241" s="255"/>
      <c r="J241" s="255"/>
      <c r="K241" s="260" t="e">
        <f t="shared" si="6"/>
        <v>#VALUE!</v>
      </c>
    </row>
    <row r="242" spans="1:11" x14ac:dyDescent="0.2">
      <c r="A242" s="186"/>
      <c r="B242" s="304" t="str">
        <f>IFERROR(VLOOKUP(A242,[3]Hoja1!$B$3:$I$1048576,5,FALSE),"")</f>
        <v/>
      </c>
      <c r="C242" s="305" t="str">
        <f>IFERROR(VLOOKUP(A242,[3]Hoja1!$B$3:$K$124,9,FALSE),"")</f>
        <v/>
      </c>
      <c r="D242" s="305" t="str">
        <f>IFERROR(VLOOKUP(A242,[3]Hoja1!$B$3:$I$1048576,8,FALSE),"")</f>
        <v/>
      </c>
      <c r="E242" s="305" t="str">
        <f>IFERROR(VLOOKUP(A242,[3]Hoja1!$B$3:$K$124,10,FALSE),"")</f>
        <v/>
      </c>
      <c r="F242" s="243"/>
      <c r="G242" s="304" t="str">
        <f>IFERROR(VLOOKUP(A242,[3]Hoja1!$B$3:$K$124,3,FALSE),"")</f>
        <v/>
      </c>
      <c r="H242" s="304" t="str">
        <f>IFERROR(VLOOKUP(A242,[3]Hoja1!$B$3:$K$124,2,FALSE),"")</f>
        <v/>
      </c>
      <c r="I242" s="255"/>
      <c r="J242" s="255"/>
      <c r="K242" s="260" t="e">
        <f t="shared" si="6"/>
        <v>#VALUE!</v>
      </c>
    </row>
    <row r="243" spans="1:11" x14ac:dyDescent="0.2">
      <c r="A243" s="186"/>
      <c r="B243" s="304" t="str">
        <f>IFERROR(VLOOKUP(A243,[3]Hoja1!$B$3:$I$1048576,5,FALSE),"")</f>
        <v/>
      </c>
      <c r="C243" s="305" t="str">
        <f>IFERROR(VLOOKUP(A243,[3]Hoja1!$B$3:$K$124,9,FALSE),"")</f>
        <v/>
      </c>
      <c r="D243" s="305" t="str">
        <f>IFERROR(VLOOKUP(A243,[3]Hoja1!$B$3:$I$1048576,8,FALSE),"")</f>
        <v/>
      </c>
      <c r="E243" s="305" t="str">
        <f>IFERROR(VLOOKUP(A243,[3]Hoja1!$B$3:$K$124,10,FALSE),"")</f>
        <v/>
      </c>
      <c r="F243" s="243"/>
      <c r="G243" s="304" t="str">
        <f>IFERROR(VLOOKUP(A243,[3]Hoja1!$B$3:$K$124,3,FALSE),"")</f>
        <v/>
      </c>
      <c r="H243" s="304" t="str">
        <f>IFERROR(VLOOKUP(A243,[3]Hoja1!$B$3:$K$124,2,FALSE),"")</f>
        <v/>
      </c>
      <c r="I243" s="255"/>
      <c r="J243" s="255"/>
      <c r="K243" s="260" t="e">
        <f t="shared" si="6"/>
        <v>#VALUE!</v>
      </c>
    </row>
    <row r="244" spans="1:11" x14ac:dyDescent="0.2">
      <c r="A244" s="186"/>
      <c r="B244" s="304" t="str">
        <f>IFERROR(VLOOKUP(A244,[3]Hoja1!$B$3:$I$1048576,5,FALSE),"")</f>
        <v/>
      </c>
      <c r="C244" s="305" t="str">
        <f>IFERROR(VLOOKUP(A244,[3]Hoja1!$B$3:$K$124,9,FALSE),"")</f>
        <v/>
      </c>
      <c r="D244" s="305" t="str">
        <f>IFERROR(VLOOKUP(A244,[3]Hoja1!$B$3:$I$1048576,8,FALSE),"")</f>
        <v/>
      </c>
      <c r="E244" s="305" t="str">
        <f>IFERROR(VLOOKUP(A244,[3]Hoja1!$B$3:$K$124,10,FALSE),"")</f>
        <v/>
      </c>
      <c r="F244" s="243"/>
      <c r="G244" s="304" t="str">
        <f>IFERROR(VLOOKUP(A244,[3]Hoja1!$B$3:$K$124,3,FALSE),"")</f>
        <v/>
      </c>
      <c r="H244" s="304" t="str">
        <f>IFERROR(VLOOKUP(A244,[3]Hoja1!$B$3:$K$124,2,FALSE),"")</f>
        <v/>
      </c>
      <c r="I244" s="255"/>
      <c r="J244" s="255"/>
      <c r="K244" s="260" t="e">
        <f t="shared" si="6"/>
        <v>#VALUE!</v>
      </c>
    </row>
    <row r="245" spans="1:11" x14ac:dyDescent="0.2">
      <c r="A245" s="186"/>
      <c r="B245" s="304" t="str">
        <f>IFERROR(VLOOKUP(A245,[3]Hoja1!$B$3:$I$1048576,5,FALSE),"")</f>
        <v/>
      </c>
      <c r="C245" s="305" t="str">
        <f>IFERROR(VLOOKUP(A245,[3]Hoja1!$B$3:$K$124,9,FALSE),"")</f>
        <v/>
      </c>
      <c r="D245" s="305" t="str">
        <f>IFERROR(VLOOKUP(A245,[3]Hoja1!$B$3:$I$1048576,8,FALSE),"")</f>
        <v/>
      </c>
      <c r="E245" s="305" t="str">
        <f>IFERROR(VLOOKUP(A245,[3]Hoja1!$B$3:$K$124,10,FALSE),"")</f>
        <v/>
      </c>
      <c r="F245" s="243"/>
      <c r="G245" s="304" t="str">
        <f>IFERROR(VLOOKUP(A245,[3]Hoja1!$B$3:$K$124,3,FALSE),"")</f>
        <v/>
      </c>
      <c r="H245" s="304" t="str">
        <f>IFERROR(VLOOKUP(A245,[3]Hoja1!$B$3:$K$124,2,FALSE),"")</f>
        <v/>
      </c>
      <c r="I245" s="255"/>
      <c r="J245" s="255"/>
      <c r="K245" s="260" t="e">
        <f t="shared" si="6"/>
        <v>#VALUE!</v>
      </c>
    </row>
    <row r="246" spans="1:11" x14ac:dyDescent="0.2">
      <c r="A246" s="186"/>
      <c r="B246" s="304" t="str">
        <f>IFERROR(VLOOKUP(A246,[3]Hoja1!$B$3:$I$1048576,5,FALSE),"")</f>
        <v/>
      </c>
      <c r="C246" s="305" t="str">
        <f>IFERROR(VLOOKUP(A246,[3]Hoja1!$B$3:$K$124,9,FALSE),"")</f>
        <v/>
      </c>
      <c r="D246" s="305" t="str">
        <f>IFERROR(VLOOKUP(A246,[3]Hoja1!$B$3:$I$1048576,8,FALSE),"")</f>
        <v/>
      </c>
      <c r="E246" s="305" t="str">
        <f>IFERROR(VLOOKUP(A246,[3]Hoja1!$B$3:$K$124,10,FALSE),"")</f>
        <v/>
      </c>
      <c r="F246" s="243"/>
      <c r="G246" s="304" t="str">
        <f>IFERROR(VLOOKUP(A246,[3]Hoja1!$B$3:$K$124,3,FALSE),"")</f>
        <v/>
      </c>
      <c r="H246" s="304" t="str">
        <f>IFERROR(VLOOKUP(A246,[3]Hoja1!$B$3:$K$124,2,FALSE),"")</f>
        <v/>
      </c>
      <c r="I246" s="255"/>
      <c r="J246" s="255"/>
      <c r="K246" s="260" t="e">
        <f t="shared" si="6"/>
        <v>#VALUE!</v>
      </c>
    </row>
    <row r="247" spans="1:11" x14ac:dyDescent="0.2">
      <c r="A247" s="186"/>
      <c r="B247" s="304" t="str">
        <f>IFERROR(VLOOKUP(A247,[3]Hoja1!$B$3:$I$1048576,5,FALSE),"")</f>
        <v/>
      </c>
      <c r="C247" s="305" t="str">
        <f>IFERROR(VLOOKUP(A247,[3]Hoja1!$B$3:$K$124,9,FALSE),"")</f>
        <v/>
      </c>
      <c r="D247" s="305" t="str">
        <f>IFERROR(VLOOKUP(A247,[3]Hoja1!$B$3:$I$1048576,8,FALSE),"")</f>
        <v/>
      </c>
      <c r="E247" s="305" t="str">
        <f>IFERROR(VLOOKUP(A247,[3]Hoja1!$B$3:$K$124,10,FALSE),"")</f>
        <v/>
      </c>
      <c r="F247" s="243"/>
      <c r="G247" s="304" t="str">
        <f>IFERROR(VLOOKUP(A247,[3]Hoja1!$B$3:$K$124,3,FALSE),"")</f>
        <v/>
      </c>
      <c r="H247" s="304" t="str">
        <f>IFERROR(VLOOKUP(A247,[3]Hoja1!$B$3:$K$124,2,FALSE),"")</f>
        <v/>
      </c>
      <c r="I247" s="255"/>
      <c r="J247" s="255"/>
      <c r="K247" s="260" t="e">
        <f t="shared" si="6"/>
        <v>#VALUE!</v>
      </c>
    </row>
    <row r="248" spans="1:11" x14ac:dyDescent="0.2">
      <c r="A248" s="186"/>
      <c r="B248" s="304" t="str">
        <f>IFERROR(VLOOKUP(A248,[3]Hoja1!$B$3:$I$1048576,5,FALSE),"")</f>
        <v/>
      </c>
      <c r="C248" s="305" t="str">
        <f>IFERROR(VLOOKUP(A248,[3]Hoja1!$B$3:$K$124,9,FALSE),"")</f>
        <v/>
      </c>
      <c r="D248" s="305" t="str">
        <f>IFERROR(VLOOKUP(A248,[3]Hoja1!$B$3:$I$1048576,8,FALSE),"")</f>
        <v/>
      </c>
      <c r="E248" s="305" t="str">
        <f>IFERROR(VLOOKUP(A248,[3]Hoja1!$B$3:$K$124,10,FALSE),"")</f>
        <v/>
      </c>
      <c r="F248" s="243"/>
      <c r="G248" s="304" t="str">
        <f>IFERROR(VLOOKUP(A248,[3]Hoja1!$B$3:$K$124,3,FALSE),"")</f>
        <v/>
      </c>
      <c r="H248" s="304" t="str">
        <f>IFERROR(VLOOKUP(A248,[3]Hoja1!$B$3:$K$124,2,FALSE),"")</f>
        <v/>
      </c>
      <c r="I248" s="255"/>
      <c r="J248" s="255"/>
      <c r="K248" s="260" t="e">
        <f t="shared" si="6"/>
        <v>#VALUE!</v>
      </c>
    </row>
    <row r="249" spans="1:11" x14ac:dyDescent="0.2">
      <c r="A249" s="186"/>
      <c r="B249" s="304" t="str">
        <f>IFERROR(VLOOKUP(A249,[3]Hoja1!$B$3:$I$1048576,5,FALSE),"")</f>
        <v/>
      </c>
      <c r="C249" s="305" t="str">
        <f>IFERROR(VLOOKUP(A249,[3]Hoja1!$B$3:$K$124,9,FALSE),"")</f>
        <v/>
      </c>
      <c r="D249" s="305" t="str">
        <f>IFERROR(VLOOKUP(A249,[3]Hoja1!$B$3:$I$1048576,8,FALSE),"")</f>
        <v/>
      </c>
      <c r="E249" s="305" t="str">
        <f>IFERROR(VLOOKUP(A249,[3]Hoja1!$B$3:$K$124,10,FALSE),"")</f>
        <v/>
      </c>
      <c r="F249" s="243"/>
      <c r="G249" s="304" t="str">
        <f>IFERROR(VLOOKUP(A249,[3]Hoja1!$B$3:$K$124,3,FALSE),"")</f>
        <v/>
      </c>
      <c r="H249" s="304" t="str">
        <f>IFERROR(VLOOKUP(A249,[3]Hoja1!$B$3:$K$124,2,FALSE),"")</f>
        <v/>
      </c>
      <c r="I249" s="255"/>
      <c r="J249" s="255"/>
      <c r="K249" s="260" t="e">
        <f t="shared" si="6"/>
        <v>#VALUE!</v>
      </c>
    </row>
    <row r="250" spans="1:11" x14ac:dyDescent="0.2">
      <c r="A250" s="186"/>
      <c r="B250" s="304" t="str">
        <f>IFERROR(VLOOKUP(A250,[3]Hoja1!$B$3:$I$1048576,5,FALSE),"")</f>
        <v/>
      </c>
      <c r="C250" s="305" t="str">
        <f>IFERROR(VLOOKUP(A250,[3]Hoja1!$B$3:$K$124,9,FALSE),"")</f>
        <v/>
      </c>
      <c r="D250" s="305" t="str">
        <f>IFERROR(VLOOKUP(A250,[3]Hoja1!$B$3:$I$1048576,8,FALSE),"")</f>
        <v/>
      </c>
      <c r="E250" s="305" t="str">
        <f>IFERROR(VLOOKUP(A250,[3]Hoja1!$B$3:$K$124,10,FALSE),"")</f>
        <v/>
      </c>
      <c r="F250" s="243"/>
      <c r="G250" s="304" t="str">
        <f>IFERROR(VLOOKUP(A250,[3]Hoja1!$B$3:$K$124,3,FALSE),"")</f>
        <v/>
      </c>
      <c r="H250" s="304" t="str">
        <f>IFERROR(VLOOKUP(A250,[3]Hoja1!$B$3:$K$124,2,FALSE),"")</f>
        <v/>
      </c>
      <c r="I250" s="255"/>
      <c r="J250" s="255"/>
      <c r="K250" s="260" t="e">
        <f t="shared" si="6"/>
        <v>#VALUE!</v>
      </c>
    </row>
    <row r="251" spans="1:11" x14ac:dyDescent="0.2">
      <c r="A251" s="186"/>
      <c r="B251" s="304" t="str">
        <f>IFERROR(VLOOKUP(A251,[3]Hoja1!$B$3:$I$1048576,5,FALSE),"")</f>
        <v/>
      </c>
      <c r="C251" s="305" t="str">
        <f>IFERROR(VLOOKUP(A251,[3]Hoja1!$B$3:$K$124,9,FALSE),"")</f>
        <v/>
      </c>
      <c r="D251" s="305" t="str">
        <f>IFERROR(VLOOKUP(A251,[3]Hoja1!$B$3:$I$1048576,8,FALSE),"")</f>
        <v/>
      </c>
      <c r="E251" s="305" t="str">
        <f>IFERROR(VLOOKUP(A251,[3]Hoja1!$B$3:$K$124,10,FALSE),"")</f>
        <v/>
      </c>
      <c r="F251" s="243"/>
      <c r="G251" s="304" t="str">
        <f>IFERROR(VLOOKUP(A251,[3]Hoja1!$B$3:$K$124,3,FALSE),"")</f>
        <v/>
      </c>
      <c r="H251" s="304" t="str">
        <f>IFERROR(VLOOKUP(A251,[3]Hoja1!$B$3:$K$124,2,FALSE),"")</f>
        <v/>
      </c>
      <c r="I251" s="255"/>
      <c r="J251" s="255"/>
      <c r="K251" s="260" t="e">
        <f t="shared" si="6"/>
        <v>#VALUE!</v>
      </c>
    </row>
    <row r="252" spans="1:11" x14ac:dyDescent="0.2">
      <c r="A252" s="186"/>
      <c r="B252" s="304" t="str">
        <f>IFERROR(VLOOKUP(A252,[3]Hoja1!$B$3:$I$1048576,5,FALSE),"")</f>
        <v/>
      </c>
      <c r="C252" s="305" t="str">
        <f>IFERROR(VLOOKUP(A252,[3]Hoja1!$B$3:$K$124,9,FALSE),"")</f>
        <v/>
      </c>
      <c r="D252" s="305" t="str">
        <f>IFERROR(VLOOKUP(A252,[3]Hoja1!$B$3:$I$1048576,8,FALSE),"")</f>
        <v/>
      </c>
      <c r="E252" s="305" t="str">
        <f>IFERROR(VLOOKUP(A252,[3]Hoja1!$B$3:$K$124,10,FALSE),"")</f>
        <v/>
      </c>
      <c r="F252" s="243"/>
      <c r="G252" s="304" t="str">
        <f>IFERROR(VLOOKUP(A252,[3]Hoja1!$B$3:$K$124,3,FALSE),"")</f>
        <v/>
      </c>
      <c r="H252" s="304" t="str">
        <f>IFERROR(VLOOKUP(A252,[3]Hoja1!$B$3:$K$124,2,FALSE),"")</f>
        <v/>
      </c>
      <c r="I252" s="255"/>
      <c r="J252" s="255"/>
      <c r="K252" s="260" t="e">
        <f t="shared" si="6"/>
        <v>#VALUE!</v>
      </c>
    </row>
    <row r="253" spans="1:11" x14ac:dyDescent="0.2">
      <c r="A253" s="186"/>
      <c r="B253" s="304" t="str">
        <f>IFERROR(VLOOKUP(A253,[3]Hoja1!$B$3:$I$1048576,5,FALSE),"")</f>
        <v/>
      </c>
      <c r="C253" s="305" t="str">
        <f>IFERROR(VLOOKUP(A253,[3]Hoja1!$B$3:$K$124,9,FALSE),"")</f>
        <v/>
      </c>
      <c r="D253" s="305" t="str">
        <f>IFERROR(VLOOKUP(A253,[3]Hoja1!$B$3:$I$1048576,8,FALSE),"")</f>
        <v/>
      </c>
      <c r="E253" s="305" t="str">
        <f>IFERROR(VLOOKUP(A253,[3]Hoja1!$B$3:$K$124,10,FALSE),"")</f>
        <v/>
      </c>
      <c r="F253" s="243"/>
      <c r="G253" s="304" t="str">
        <f>IFERROR(VLOOKUP(A253,[3]Hoja1!$B$3:$K$124,3,FALSE),"")</f>
        <v/>
      </c>
      <c r="H253" s="304" t="str">
        <f>IFERROR(VLOOKUP(A253,[3]Hoja1!$B$3:$K$124,2,FALSE),"")</f>
        <v/>
      </c>
      <c r="I253" s="255"/>
      <c r="J253" s="255"/>
      <c r="K253" s="260" t="e">
        <f t="shared" si="6"/>
        <v>#VALUE!</v>
      </c>
    </row>
    <row r="254" spans="1:11" x14ac:dyDescent="0.2">
      <c r="A254" s="186"/>
      <c r="B254" s="304" t="str">
        <f>IFERROR(VLOOKUP(A254,[3]Hoja1!$B$3:$I$1048576,5,FALSE),"")</f>
        <v/>
      </c>
      <c r="C254" s="305" t="str">
        <f>IFERROR(VLOOKUP(A254,[3]Hoja1!$B$3:$K$124,9,FALSE),"")</f>
        <v/>
      </c>
      <c r="D254" s="305" t="str">
        <f>IFERROR(VLOOKUP(A254,[3]Hoja1!$B$3:$I$1048576,8,FALSE),"")</f>
        <v/>
      </c>
      <c r="E254" s="305" t="str">
        <f>IFERROR(VLOOKUP(A254,[3]Hoja1!$B$3:$K$124,10,FALSE),"")</f>
        <v/>
      </c>
      <c r="F254" s="243"/>
      <c r="G254" s="304" t="str">
        <f>IFERROR(VLOOKUP(A254,[3]Hoja1!$B$3:$K$124,3,FALSE),"")</f>
        <v/>
      </c>
      <c r="H254" s="304" t="str">
        <f>IFERROR(VLOOKUP(A254,[3]Hoja1!$B$3:$K$124,2,FALSE),"")</f>
        <v/>
      </c>
      <c r="I254" s="256"/>
      <c r="J254" s="256"/>
      <c r="K254" s="260" t="e">
        <f t="shared" si="6"/>
        <v>#VALUE!</v>
      </c>
    </row>
    <row r="255" spans="1:11" x14ac:dyDescent="0.2">
      <c r="A255" s="186"/>
      <c r="B255" s="304" t="str">
        <f>IFERROR(VLOOKUP(A255,[3]Hoja1!$B$3:$I$1048576,5,FALSE),"")</f>
        <v/>
      </c>
      <c r="C255" s="305" t="str">
        <f>IFERROR(VLOOKUP(A255,[3]Hoja1!$B$3:$K$124,9,FALSE),"")</f>
        <v/>
      </c>
      <c r="D255" s="305" t="str">
        <f>IFERROR(VLOOKUP(A255,[3]Hoja1!$B$3:$I$1048576,8,FALSE),"")</f>
        <v/>
      </c>
      <c r="E255" s="305" t="str">
        <f>IFERROR(VLOOKUP(A255,[3]Hoja1!$B$3:$K$124,10,FALSE),"")</f>
        <v/>
      </c>
      <c r="F255" s="243"/>
      <c r="G255" s="304" t="str">
        <f>IFERROR(VLOOKUP(A255,[3]Hoja1!$B$3:$K$124,3,FALSE),"")</f>
        <v/>
      </c>
      <c r="H255" s="304" t="str">
        <f>IFERROR(VLOOKUP(A255,[3]Hoja1!$B$3:$K$124,2,FALSE),"")</f>
        <v/>
      </c>
      <c r="I255" s="253"/>
      <c r="J255" s="253"/>
      <c r="K255" s="260" t="e">
        <f t="shared" si="6"/>
        <v>#VALUE!</v>
      </c>
    </row>
    <row r="256" spans="1:11" x14ac:dyDescent="0.2">
      <c r="A256" s="186"/>
      <c r="B256" s="304" t="str">
        <f>IFERROR(VLOOKUP(A256,[3]Hoja1!$B$3:$I$1048576,5,FALSE),"")</f>
        <v/>
      </c>
      <c r="C256" s="305" t="str">
        <f>IFERROR(VLOOKUP(A256,[3]Hoja1!$B$3:$K$124,9,FALSE),"")</f>
        <v/>
      </c>
      <c r="D256" s="305" t="str">
        <f>IFERROR(VLOOKUP(A256,[3]Hoja1!$B$3:$I$1048576,8,FALSE),"")</f>
        <v/>
      </c>
      <c r="E256" s="305" t="str">
        <f>IFERROR(VLOOKUP(A256,[3]Hoja1!$B$3:$K$124,10,FALSE),"")</f>
        <v/>
      </c>
      <c r="F256" s="243"/>
      <c r="G256" s="304" t="str">
        <f>IFERROR(VLOOKUP(A256,[3]Hoja1!$B$3:$K$124,3,FALSE),"")</f>
        <v/>
      </c>
      <c r="H256" s="304" t="str">
        <f>IFERROR(VLOOKUP(A256,[3]Hoja1!$B$3:$K$124,2,FALSE),"")</f>
        <v/>
      </c>
      <c r="I256" s="253"/>
      <c r="J256" s="253"/>
      <c r="K256" s="260" t="e">
        <f t="shared" si="6"/>
        <v>#VALUE!</v>
      </c>
    </row>
    <row r="257" spans="1:11" x14ac:dyDescent="0.2">
      <c r="A257" s="186"/>
      <c r="B257" s="304" t="str">
        <f>IFERROR(VLOOKUP(A257,[3]Hoja1!$B$3:$I$1048576,5,FALSE),"")</f>
        <v/>
      </c>
      <c r="C257" s="305" t="str">
        <f>IFERROR(VLOOKUP(A257,[3]Hoja1!$B$3:$K$124,9,FALSE),"")</f>
        <v/>
      </c>
      <c r="D257" s="305" t="str">
        <f>IFERROR(VLOOKUP(A257,[3]Hoja1!$B$3:$I$1048576,8,FALSE),"")</f>
        <v/>
      </c>
      <c r="E257" s="305" t="str">
        <f>IFERROR(VLOOKUP(A257,[3]Hoja1!$B$3:$K$124,10,FALSE),"")</f>
        <v/>
      </c>
      <c r="F257" s="243"/>
      <c r="G257" s="304" t="str">
        <f>IFERROR(VLOOKUP(A257,[3]Hoja1!$B$3:$K$124,3,FALSE),"")</f>
        <v/>
      </c>
      <c r="H257" s="304" t="str">
        <f>IFERROR(VLOOKUP(A257,[3]Hoja1!$B$3:$K$124,2,FALSE),"")</f>
        <v/>
      </c>
      <c r="I257" s="253"/>
      <c r="J257" s="253"/>
      <c r="K257" s="260" t="e">
        <f t="shared" si="6"/>
        <v>#VALUE!</v>
      </c>
    </row>
    <row r="258" spans="1:11" x14ac:dyDescent="0.2">
      <c r="A258" s="186"/>
      <c r="B258" s="304" t="str">
        <f>IFERROR(VLOOKUP(A258,[3]Hoja1!$B$3:$I$1048576,5,FALSE),"")</f>
        <v/>
      </c>
      <c r="C258" s="305" t="str">
        <f>IFERROR(VLOOKUP(A258,[3]Hoja1!$B$3:$K$124,9,FALSE),"")</f>
        <v/>
      </c>
      <c r="D258" s="305" t="str">
        <f>IFERROR(VLOOKUP(A258,[3]Hoja1!$B$3:$I$1048576,8,FALSE),"")</f>
        <v/>
      </c>
      <c r="E258" s="305" t="str">
        <f>IFERROR(VLOOKUP(A258,[3]Hoja1!$B$3:$K$124,10,FALSE),"")</f>
        <v/>
      </c>
      <c r="F258" s="243"/>
      <c r="G258" s="304" t="str">
        <f>IFERROR(VLOOKUP(A258,[3]Hoja1!$B$3:$K$124,3,FALSE),"")</f>
        <v/>
      </c>
      <c r="H258" s="304" t="str">
        <f>IFERROR(VLOOKUP(A258,[3]Hoja1!$B$3:$K$124,2,FALSE),"")</f>
        <v/>
      </c>
      <c r="I258" s="253"/>
      <c r="J258" s="253"/>
      <c r="K258" s="260" t="e">
        <f t="shared" si="6"/>
        <v>#VALUE!</v>
      </c>
    </row>
    <row r="259" spans="1:11" x14ac:dyDescent="0.2">
      <c r="A259" s="186"/>
      <c r="B259" s="304" t="str">
        <f>IFERROR(VLOOKUP(A259,[3]Hoja1!$B$3:$I$1048576,5,FALSE),"")</f>
        <v/>
      </c>
      <c r="C259" s="305" t="str">
        <f>IFERROR(VLOOKUP(A259,[3]Hoja1!$B$3:$K$124,9,FALSE),"")</f>
        <v/>
      </c>
      <c r="D259" s="305" t="str">
        <f>IFERROR(VLOOKUP(A259,[3]Hoja1!$B$3:$I$1048576,8,FALSE),"")</f>
        <v/>
      </c>
      <c r="E259" s="305" t="str">
        <f>IFERROR(VLOOKUP(A259,[3]Hoja1!$B$3:$K$124,10,FALSE),"")</f>
        <v/>
      </c>
      <c r="F259" s="243"/>
      <c r="G259" s="304" t="str">
        <f>IFERROR(VLOOKUP(A259,[3]Hoja1!$B$3:$K$124,3,FALSE),"")</f>
        <v/>
      </c>
      <c r="H259" s="304" t="str">
        <f>IFERROR(VLOOKUP(A259,[3]Hoja1!$B$3:$K$124,2,FALSE),"")</f>
        <v/>
      </c>
      <c r="I259" s="253"/>
      <c r="J259" s="253"/>
      <c r="K259" s="260" t="e">
        <f t="shared" si="6"/>
        <v>#VALUE!</v>
      </c>
    </row>
    <row r="260" spans="1:11" x14ac:dyDescent="0.2">
      <c r="A260" s="186"/>
      <c r="B260" s="304" t="str">
        <f>IFERROR(VLOOKUP(A260,[3]Hoja1!$B$3:$I$1048576,5,FALSE),"")</f>
        <v/>
      </c>
      <c r="C260" s="305" t="str">
        <f>IFERROR(VLOOKUP(A260,[3]Hoja1!$B$3:$K$124,9,FALSE),"")</f>
        <v/>
      </c>
      <c r="D260" s="305" t="str">
        <f>IFERROR(VLOOKUP(A260,[3]Hoja1!$B$3:$I$1048576,8,FALSE),"")</f>
        <v/>
      </c>
      <c r="E260" s="305" t="str">
        <f>IFERROR(VLOOKUP(A260,[3]Hoja1!$B$3:$K$124,10,FALSE),"")</f>
        <v/>
      </c>
      <c r="F260" s="243"/>
      <c r="G260" s="304" t="str">
        <f>IFERROR(VLOOKUP(A260,[3]Hoja1!$B$3:$K$124,3,FALSE),"")</f>
        <v/>
      </c>
      <c r="H260" s="304" t="str">
        <f>IFERROR(VLOOKUP(A260,[3]Hoja1!$B$3:$K$124,2,FALSE),"")</f>
        <v/>
      </c>
      <c r="I260" s="253"/>
      <c r="J260" s="253"/>
      <c r="K260" s="260" t="e">
        <f t="shared" si="6"/>
        <v>#VALUE!</v>
      </c>
    </row>
    <row r="261" spans="1:11" x14ac:dyDescent="0.2">
      <c r="A261" s="186"/>
      <c r="B261" s="304" t="str">
        <f>IFERROR(VLOOKUP(A261,[3]Hoja1!$B$3:$I$1048576,5,FALSE),"")</f>
        <v/>
      </c>
      <c r="C261" s="305" t="str">
        <f>IFERROR(VLOOKUP(A261,[3]Hoja1!$B$3:$K$124,9,FALSE),"")</f>
        <v/>
      </c>
      <c r="D261" s="305" t="str">
        <f>IFERROR(VLOOKUP(A261,[3]Hoja1!$B$3:$I$1048576,8,FALSE),"")</f>
        <v/>
      </c>
      <c r="E261" s="305" t="str">
        <f>IFERROR(VLOOKUP(A261,[3]Hoja1!$B$3:$K$124,10,FALSE),"")</f>
        <v/>
      </c>
      <c r="F261" s="243"/>
      <c r="G261" s="304" t="str">
        <f>IFERROR(VLOOKUP(A261,[3]Hoja1!$B$3:$K$124,3,FALSE),"")</f>
        <v/>
      </c>
      <c r="H261" s="304" t="str">
        <f>IFERROR(VLOOKUP(A261,[3]Hoja1!$B$3:$K$124,2,FALSE),"")</f>
        <v/>
      </c>
      <c r="I261" s="253"/>
      <c r="J261" s="253"/>
      <c r="K261" s="260" t="e">
        <f t="shared" si="6"/>
        <v>#VALUE!</v>
      </c>
    </row>
    <row r="262" spans="1:11" x14ac:dyDescent="0.2">
      <c r="A262" s="186"/>
      <c r="B262" s="304" t="str">
        <f>IFERROR(VLOOKUP(A262,[3]Hoja1!$B$3:$I$1048576,5,FALSE),"")</f>
        <v/>
      </c>
      <c r="C262" s="305" t="str">
        <f>IFERROR(VLOOKUP(A262,[3]Hoja1!$B$3:$K$124,9,FALSE),"")</f>
        <v/>
      </c>
      <c r="D262" s="305" t="str">
        <f>IFERROR(VLOOKUP(A262,[3]Hoja1!$B$3:$I$1048576,8,FALSE),"")</f>
        <v/>
      </c>
      <c r="E262" s="305" t="str">
        <f>IFERROR(VLOOKUP(A262,[3]Hoja1!$B$3:$K$124,10,FALSE),"")</f>
        <v/>
      </c>
      <c r="F262" s="243"/>
      <c r="G262" s="304" t="str">
        <f>IFERROR(VLOOKUP(A262,[3]Hoja1!$B$3:$K$124,3,FALSE),"")</f>
        <v/>
      </c>
      <c r="H262" s="304" t="str">
        <f>IFERROR(VLOOKUP(A262,[3]Hoja1!$B$3:$K$124,2,FALSE),"")</f>
        <v/>
      </c>
      <c r="I262" s="253"/>
      <c r="J262" s="253"/>
      <c r="K262" s="260" t="e">
        <f t="shared" si="6"/>
        <v>#VALUE!</v>
      </c>
    </row>
    <row r="263" spans="1:11" x14ac:dyDescent="0.2">
      <c r="A263" s="186"/>
      <c r="B263" s="304" t="str">
        <f>IFERROR(VLOOKUP(A263,[3]Hoja1!$B$3:$I$1048576,5,FALSE),"")</f>
        <v/>
      </c>
      <c r="C263" s="305" t="str">
        <f>IFERROR(VLOOKUP(A263,[3]Hoja1!$B$3:$K$124,9,FALSE),"")</f>
        <v/>
      </c>
      <c r="D263" s="305" t="str">
        <f>IFERROR(VLOOKUP(A263,[3]Hoja1!$B$3:$I$1048576,8,FALSE),"")</f>
        <v/>
      </c>
      <c r="E263" s="305" t="str">
        <f>IFERROR(VLOOKUP(A263,[3]Hoja1!$B$3:$K$124,10,FALSE),"")</f>
        <v/>
      </c>
      <c r="F263" s="243"/>
      <c r="G263" s="304" t="str">
        <f>IFERROR(VLOOKUP(A263,[3]Hoja1!$B$3:$K$124,3,FALSE),"")</f>
        <v/>
      </c>
      <c r="H263" s="304" t="str">
        <f>IFERROR(VLOOKUP(A263,[3]Hoja1!$B$3:$K$124,2,FALSE),"")</f>
        <v/>
      </c>
      <c r="I263" s="117"/>
      <c r="J263" s="117"/>
      <c r="K263" s="260" t="e">
        <f t="shared" si="6"/>
        <v>#VALUE!</v>
      </c>
    </row>
    <row r="264" spans="1:11" x14ac:dyDescent="0.2">
      <c r="A264" s="186"/>
      <c r="B264" s="304" t="str">
        <f>IFERROR(VLOOKUP(A264,[3]Hoja1!$B$3:$I$1048576,5,FALSE),"")</f>
        <v/>
      </c>
      <c r="C264" s="305" t="str">
        <f>IFERROR(VLOOKUP(A264,[3]Hoja1!$B$3:$K$124,9,FALSE),"")</f>
        <v/>
      </c>
      <c r="D264" s="305" t="str">
        <f>IFERROR(VLOOKUP(A264,[3]Hoja1!$B$3:$I$1048576,8,FALSE),"")</f>
        <v/>
      </c>
      <c r="E264" s="305" t="str">
        <f>IFERROR(VLOOKUP(A264,[3]Hoja1!$B$3:$K$124,10,FALSE),"")</f>
        <v/>
      </c>
      <c r="F264" s="243"/>
      <c r="G264" s="304" t="str">
        <f>IFERROR(VLOOKUP(A264,[3]Hoja1!$B$3:$K$124,3,FALSE),"")</f>
        <v/>
      </c>
      <c r="H264" s="304" t="str">
        <f>IFERROR(VLOOKUP(A264,[3]Hoja1!$B$3:$K$124,2,FALSE),"")</f>
        <v/>
      </c>
      <c r="I264" s="117"/>
      <c r="J264" s="117"/>
      <c r="K264" s="260" t="e">
        <f t="shared" si="6"/>
        <v>#VALUE!</v>
      </c>
    </row>
    <row r="265" spans="1:11" x14ac:dyDescent="0.2">
      <c r="A265" s="186"/>
      <c r="B265" s="304" t="str">
        <f>IFERROR(VLOOKUP(A265,[3]Hoja1!$B$3:$I$1048576,5,FALSE),"")</f>
        <v/>
      </c>
      <c r="C265" s="305" t="str">
        <f>IFERROR(VLOOKUP(A265,[3]Hoja1!$B$3:$K$124,9,FALSE),"")</f>
        <v/>
      </c>
      <c r="D265" s="305" t="str">
        <f>IFERROR(VLOOKUP(A265,[3]Hoja1!$B$3:$I$1048576,8,FALSE),"")</f>
        <v/>
      </c>
      <c r="E265" s="305" t="str">
        <f>IFERROR(VLOOKUP(A265,[3]Hoja1!$B$3:$K$124,10,FALSE),"")</f>
        <v/>
      </c>
      <c r="F265" s="243"/>
      <c r="G265" s="304" t="str">
        <f>IFERROR(VLOOKUP(A265,[3]Hoja1!$B$3:$K$124,3,FALSE),"")</f>
        <v/>
      </c>
      <c r="H265" s="304" t="str">
        <f>IFERROR(VLOOKUP(A265,[3]Hoja1!$B$3:$K$124,2,FALSE),"")</f>
        <v/>
      </c>
      <c r="I265" s="117"/>
      <c r="J265" s="117"/>
      <c r="K265" s="260" t="e">
        <f t="shared" si="6"/>
        <v>#VALUE!</v>
      </c>
    </row>
    <row r="266" spans="1:11" x14ac:dyDescent="0.2">
      <c r="A266" s="186"/>
      <c r="B266" s="304" t="str">
        <f>IFERROR(VLOOKUP(A266,[3]Hoja1!$B$3:$I$1048576,5,FALSE),"")</f>
        <v/>
      </c>
      <c r="C266" s="305" t="str">
        <f>IFERROR(VLOOKUP(A266,[3]Hoja1!$B$3:$K$124,9,FALSE),"")</f>
        <v/>
      </c>
      <c r="D266" s="305" t="str">
        <f>IFERROR(VLOOKUP(A266,[3]Hoja1!$B$3:$I$1048576,8,FALSE),"")</f>
        <v/>
      </c>
      <c r="E266" s="305" t="str">
        <f>IFERROR(VLOOKUP(A266,[3]Hoja1!$B$3:$K$124,10,FALSE),"")</f>
        <v/>
      </c>
      <c r="F266" s="243"/>
      <c r="G266" s="304" t="str">
        <f>IFERROR(VLOOKUP(A266,[3]Hoja1!$B$3:$K$124,3,FALSE),"")</f>
        <v/>
      </c>
      <c r="H266" s="304" t="str">
        <f>IFERROR(VLOOKUP(A266,[3]Hoja1!$B$3:$K$124,2,FALSE),"")</f>
        <v/>
      </c>
      <c r="I266" s="117"/>
      <c r="J266" s="117"/>
      <c r="K266" s="260" t="e">
        <f t="shared" si="6"/>
        <v>#VALUE!</v>
      </c>
    </row>
    <row r="267" spans="1:11" x14ac:dyDescent="0.2">
      <c r="A267" s="186"/>
      <c r="B267" s="304" t="str">
        <f>IFERROR(VLOOKUP(A267,[3]Hoja1!$B$3:$I$1048576,5,FALSE),"")</f>
        <v/>
      </c>
      <c r="C267" s="305" t="str">
        <f>IFERROR(VLOOKUP(A267,[3]Hoja1!$B$3:$K$124,9,FALSE),"")</f>
        <v/>
      </c>
      <c r="D267" s="305" t="str">
        <f>IFERROR(VLOOKUP(A267,[3]Hoja1!$B$3:$I$1048576,8,FALSE),"")</f>
        <v/>
      </c>
      <c r="E267" s="305" t="str">
        <f>IFERROR(VLOOKUP(A267,[3]Hoja1!$B$3:$K$124,10,FALSE),"")</f>
        <v/>
      </c>
      <c r="F267" s="243"/>
      <c r="G267" s="304" t="str">
        <f>IFERROR(VLOOKUP(A267,[3]Hoja1!$B$3:$K$124,3,FALSE),"")</f>
        <v/>
      </c>
      <c r="H267" s="304" t="str">
        <f>IFERROR(VLOOKUP(A267,[3]Hoja1!$B$3:$K$124,2,FALSE),"")</f>
        <v/>
      </c>
      <c r="I267" s="117"/>
      <c r="J267" s="117"/>
      <c r="K267" s="260" t="e">
        <f t="shared" si="6"/>
        <v>#VALUE!</v>
      </c>
    </row>
    <row r="268" spans="1:11" x14ac:dyDescent="0.2">
      <c r="A268" s="186"/>
      <c r="B268" s="304" t="str">
        <f>IFERROR(VLOOKUP(A268,[3]Hoja1!$B$3:$I$1048576,5,FALSE),"")</f>
        <v/>
      </c>
      <c r="C268" s="305" t="str">
        <f>IFERROR(VLOOKUP(A268,[3]Hoja1!$B$3:$K$124,9,FALSE),"")</f>
        <v/>
      </c>
      <c r="D268" s="305" t="str">
        <f>IFERROR(VLOOKUP(A268,[3]Hoja1!$B$3:$I$1048576,8,FALSE),"")</f>
        <v/>
      </c>
      <c r="E268" s="305" t="str">
        <f>IFERROR(VLOOKUP(A268,[3]Hoja1!$B$3:$K$124,10,FALSE),"")</f>
        <v/>
      </c>
      <c r="F268" s="243"/>
      <c r="G268" s="304" t="str">
        <f>IFERROR(VLOOKUP(A268,[3]Hoja1!$B$3:$K$124,3,FALSE),"")</f>
        <v/>
      </c>
      <c r="H268" s="304" t="str">
        <f>IFERROR(VLOOKUP(A268,[3]Hoja1!$B$3:$K$124,2,FALSE),"")</f>
        <v/>
      </c>
      <c r="I268" s="117"/>
      <c r="J268" s="117"/>
      <c r="K268" s="260" t="e">
        <f t="shared" si="6"/>
        <v>#VALUE!</v>
      </c>
    </row>
    <row r="269" spans="1:11" x14ac:dyDescent="0.2">
      <c r="A269" s="186"/>
      <c r="B269" s="304" t="str">
        <f>IFERROR(VLOOKUP(A269,[3]Hoja1!$B$3:$I$1048576,5,FALSE),"")</f>
        <v/>
      </c>
      <c r="C269" s="305" t="str">
        <f>IFERROR(VLOOKUP(A269,[3]Hoja1!$B$3:$K$124,9,FALSE),"")</f>
        <v/>
      </c>
      <c r="D269" s="305" t="str">
        <f>IFERROR(VLOOKUP(A269,[3]Hoja1!$B$3:$I$1048576,8,FALSE),"")</f>
        <v/>
      </c>
      <c r="E269" s="305" t="str">
        <f>IFERROR(VLOOKUP(A269,[3]Hoja1!$B$3:$K$124,10,FALSE),"")</f>
        <v/>
      </c>
      <c r="F269" s="243"/>
      <c r="G269" s="304" t="str">
        <f>IFERROR(VLOOKUP(A269,[3]Hoja1!$B$3:$K$124,3,FALSE),"")</f>
        <v/>
      </c>
      <c r="H269" s="304" t="str">
        <f>IFERROR(VLOOKUP(A269,[3]Hoja1!$B$3:$K$124,2,FALSE),"")</f>
        <v/>
      </c>
      <c r="I269" s="117"/>
      <c r="J269" s="117"/>
      <c r="K269" s="260" t="e">
        <f t="shared" si="6"/>
        <v>#VALUE!</v>
      </c>
    </row>
    <row r="270" spans="1:11" x14ac:dyDescent="0.2">
      <c r="A270" s="186"/>
      <c r="B270" s="304" t="str">
        <f>IFERROR(VLOOKUP(A270,[3]Hoja1!$B$3:$I$1048576,5,FALSE),"")</f>
        <v/>
      </c>
      <c r="C270" s="305" t="str">
        <f>IFERROR(VLOOKUP(A270,[3]Hoja1!$B$3:$K$124,9,FALSE),"")</f>
        <v/>
      </c>
      <c r="D270" s="305" t="str">
        <f>IFERROR(VLOOKUP(A270,[3]Hoja1!$B$3:$I$1048576,8,FALSE),"")</f>
        <v/>
      </c>
      <c r="E270" s="305" t="str">
        <f>IFERROR(VLOOKUP(A270,[3]Hoja1!$B$3:$K$124,10,FALSE),"")</f>
        <v/>
      </c>
      <c r="F270" s="243"/>
      <c r="G270" s="304" t="str">
        <f>IFERROR(VLOOKUP(A270,[3]Hoja1!$B$3:$K$124,3,FALSE),"")</f>
        <v/>
      </c>
      <c r="H270" s="304" t="str">
        <f>IFERROR(VLOOKUP(A270,[3]Hoja1!$B$3:$K$124,2,FALSE),"")</f>
        <v/>
      </c>
      <c r="I270" s="117"/>
      <c r="J270" s="117"/>
      <c r="K270" s="260" t="e">
        <f t="shared" si="6"/>
        <v>#VALUE!</v>
      </c>
    </row>
    <row r="271" spans="1:11" x14ac:dyDescent="0.2">
      <c r="A271" s="186"/>
      <c r="B271" s="191"/>
      <c r="C271" s="192"/>
      <c r="D271" s="187"/>
      <c r="E271" s="188"/>
      <c r="F271" s="243"/>
      <c r="G271" s="244"/>
      <c r="H271" s="244"/>
      <c r="I271" s="117"/>
      <c r="J271" s="117"/>
      <c r="K271" s="260">
        <f t="shared" si="6"/>
        <v>0</v>
      </c>
    </row>
    <row r="272" spans="1:11" x14ac:dyDescent="0.2">
      <c r="A272" s="186"/>
      <c r="B272" s="191"/>
      <c r="C272" s="192"/>
      <c r="D272" s="187"/>
      <c r="E272" s="188"/>
      <c r="F272" s="243"/>
      <c r="G272" s="244"/>
      <c r="H272" s="244"/>
      <c r="I272" s="117"/>
      <c r="J272" s="117"/>
      <c r="K272" s="260">
        <f t="shared" si="6"/>
        <v>0</v>
      </c>
    </row>
    <row r="273" spans="1:11" x14ac:dyDescent="0.2">
      <c r="A273" s="186"/>
      <c r="B273" s="191"/>
      <c r="C273" s="192"/>
      <c r="D273" s="187"/>
      <c r="E273" s="188"/>
      <c r="F273" s="243"/>
      <c r="G273" s="244"/>
      <c r="H273" s="244"/>
      <c r="I273" s="117"/>
      <c r="J273" s="117"/>
      <c r="K273" s="260">
        <f t="shared" si="6"/>
        <v>0</v>
      </c>
    </row>
    <row r="274" spans="1:11" x14ac:dyDescent="0.2">
      <c r="A274" s="186"/>
      <c r="B274" s="191"/>
      <c r="C274" s="192"/>
      <c r="D274" s="187"/>
      <c r="E274" s="188"/>
      <c r="F274" s="243"/>
      <c r="G274" s="244"/>
      <c r="H274" s="244"/>
      <c r="I274" s="117"/>
      <c r="J274" s="117"/>
      <c r="K274" s="260">
        <f t="shared" si="6"/>
        <v>0</v>
      </c>
    </row>
    <row r="275" spans="1:11" x14ac:dyDescent="0.2">
      <c r="A275" s="186"/>
      <c r="B275" s="191"/>
      <c r="C275" s="192"/>
      <c r="D275" s="187"/>
      <c r="E275" s="188"/>
      <c r="F275" s="243"/>
      <c r="G275" s="244"/>
      <c r="H275" s="244"/>
      <c r="I275" s="117"/>
      <c r="J275" s="117"/>
      <c r="K275" s="260">
        <f t="shared" ref="K275:K338" si="7">+B275*G275</f>
        <v>0</v>
      </c>
    </row>
    <row r="276" spans="1:11" x14ac:dyDescent="0.2">
      <c r="A276" s="186"/>
      <c r="B276" s="191"/>
      <c r="C276" s="192"/>
      <c r="D276" s="187"/>
      <c r="E276" s="188"/>
      <c r="F276" s="243"/>
      <c r="G276" s="244"/>
      <c r="H276" s="244"/>
      <c r="I276" s="117"/>
      <c r="J276" s="117"/>
      <c r="K276" s="260">
        <f t="shared" si="7"/>
        <v>0</v>
      </c>
    </row>
    <row r="277" spans="1:11" x14ac:dyDescent="0.2">
      <c r="A277" s="186"/>
      <c r="B277" s="191"/>
      <c r="C277" s="192"/>
      <c r="D277" s="187"/>
      <c r="E277" s="188"/>
      <c r="F277" s="243"/>
      <c r="G277" s="244"/>
      <c r="H277" s="244"/>
      <c r="I277" s="256"/>
      <c r="J277" s="256"/>
      <c r="K277" s="260">
        <f t="shared" si="7"/>
        <v>0</v>
      </c>
    </row>
    <row r="278" spans="1:11" x14ac:dyDescent="0.2">
      <c r="A278" s="186"/>
      <c r="B278" s="191"/>
      <c r="C278" s="192"/>
      <c r="D278" s="187"/>
      <c r="E278" s="188"/>
      <c r="F278" s="243"/>
      <c r="G278" s="244"/>
      <c r="H278" s="244"/>
      <c r="I278" s="117"/>
      <c r="J278" s="117"/>
      <c r="K278" s="260">
        <f t="shared" si="7"/>
        <v>0</v>
      </c>
    </row>
    <row r="279" spans="1:11" x14ac:dyDescent="0.2">
      <c r="A279" s="186"/>
      <c r="B279" s="191"/>
      <c r="C279" s="192"/>
      <c r="D279" s="187"/>
      <c r="E279" s="188"/>
      <c r="F279" s="243"/>
      <c r="G279" s="244"/>
      <c r="H279" s="244"/>
      <c r="I279" s="117"/>
      <c r="J279" s="117"/>
      <c r="K279" s="260">
        <f t="shared" si="7"/>
        <v>0</v>
      </c>
    </row>
    <row r="280" spans="1:11" x14ac:dyDescent="0.2">
      <c r="A280" s="190"/>
      <c r="B280" s="8"/>
      <c r="C280" s="9"/>
      <c r="D280" s="8"/>
      <c r="E280" s="245"/>
      <c r="F280" s="10"/>
      <c r="G280" s="1"/>
      <c r="H280" s="1"/>
      <c r="I280" s="117"/>
      <c r="J280" s="117"/>
      <c r="K280" s="260">
        <f t="shared" si="7"/>
        <v>0</v>
      </c>
    </row>
    <row r="281" spans="1:11" x14ac:dyDescent="0.2">
      <c r="A281" s="190"/>
      <c r="B281" s="8"/>
      <c r="C281" s="9"/>
      <c r="D281" s="8"/>
      <c r="E281" s="245"/>
      <c r="F281" s="10"/>
      <c r="G281" s="1"/>
      <c r="H281" s="1"/>
      <c r="I281" s="117"/>
      <c r="J281" s="117"/>
      <c r="K281" s="260">
        <f t="shared" si="7"/>
        <v>0</v>
      </c>
    </row>
    <row r="282" spans="1:11" x14ac:dyDescent="0.2">
      <c r="A282" s="190"/>
      <c r="B282" s="8"/>
      <c r="C282" s="9"/>
      <c r="D282" s="8"/>
      <c r="E282" s="245"/>
      <c r="F282" s="10"/>
      <c r="G282" s="1"/>
      <c r="H282" s="1"/>
      <c r="I282" s="117"/>
      <c r="J282" s="117"/>
      <c r="K282" s="260">
        <f t="shared" si="7"/>
        <v>0</v>
      </c>
    </row>
    <row r="283" spans="1:11" x14ac:dyDescent="0.2">
      <c r="A283" s="190"/>
      <c r="B283" s="8"/>
      <c r="C283" s="9"/>
      <c r="D283" s="8"/>
      <c r="E283" s="245"/>
      <c r="F283" s="10"/>
      <c r="G283" s="1"/>
      <c r="H283" s="1"/>
      <c r="I283" s="117"/>
      <c r="J283" s="117"/>
      <c r="K283" s="260">
        <f t="shared" si="7"/>
        <v>0</v>
      </c>
    </row>
    <row r="284" spans="1:11" x14ac:dyDescent="0.2">
      <c r="A284" s="190"/>
      <c r="B284" s="8"/>
      <c r="C284" s="9"/>
      <c r="D284" s="8"/>
      <c r="E284" s="245"/>
      <c r="F284" s="10"/>
      <c r="G284" s="1"/>
      <c r="H284" s="1"/>
      <c r="I284" s="117"/>
      <c r="J284" s="117"/>
      <c r="K284" s="260">
        <f t="shared" si="7"/>
        <v>0</v>
      </c>
    </row>
    <row r="285" spans="1:11" x14ac:dyDescent="0.2">
      <c r="A285" s="190"/>
      <c r="B285" s="8"/>
      <c r="C285" s="9"/>
      <c r="D285" s="8"/>
      <c r="E285" s="245"/>
      <c r="F285" s="10"/>
      <c r="G285" s="1"/>
      <c r="H285" s="1"/>
      <c r="I285" s="117"/>
      <c r="J285" s="117"/>
      <c r="K285" s="260">
        <f t="shared" si="7"/>
        <v>0</v>
      </c>
    </row>
    <row r="286" spans="1:11" x14ac:dyDescent="0.2">
      <c r="A286" s="190"/>
      <c r="B286" s="8"/>
      <c r="C286" s="9"/>
      <c r="D286" s="8"/>
      <c r="E286" s="245"/>
      <c r="F286" s="10"/>
      <c r="G286" s="1"/>
      <c r="H286" s="1"/>
      <c r="I286" s="117"/>
      <c r="J286" s="117"/>
      <c r="K286" s="260">
        <f t="shared" si="7"/>
        <v>0</v>
      </c>
    </row>
    <row r="287" spans="1:11" x14ac:dyDescent="0.2">
      <c r="A287" s="190"/>
      <c r="B287" s="8"/>
      <c r="C287" s="9"/>
      <c r="D287" s="8"/>
      <c r="E287" s="245"/>
      <c r="F287" s="10"/>
      <c r="G287" s="1"/>
      <c r="H287" s="1"/>
      <c r="I287" s="117"/>
      <c r="J287" s="117"/>
      <c r="K287" s="260">
        <f t="shared" si="7"/>
        <v>0</v>
      </c>
    </row>
    <row r="288" spans="1:11" x14ac:dyDescent="0.2">
      <c r="A288" s="190"/>
      <c r="B288" s="8"/>
      <c r="C288" s="9"/>
      <c r="D288" s="8"/>
      <c r="E288" s="245"/>
      <c r="F288" s="10"/>
      <c r="G288" s="1"/>
      <c r="H288" s="1"/>
      <c r="I288" s="117"/>
      <c r="J288" s="117"/>
      <c r="K288" s="260">
        <f t="shared" si="7"/>
        <v>0</v>
      </c>
    </row>
    <row r="289" spans="1:11" x14ac:dyDescent="0.2">
      <c r="A289" s="190"/>
      <c r="B289" s="8"/>
      <c r="C289" s="9"/>
      <c r="D289" s="8"/>
      <c r="E289" s="245"/>
      <c r="F289" s="10"/>
      <c r="G289" s="1"/>
      <c r="H289" s="1"/>
      <c r="I289" s="117"/>
      <c r="J289" s="257"/>
      <c r="K289" s="260">
        <f t="shared" si="7"/>
        <v>0</v>
      </c>
    </row>
    <row r="290" spans="1:11" x14ac:dyDescent="0.2">
      <c r="A290" s="190"/>
      <c r="B290" s="8"/>
      <c r="C290" s="9"/>
      <c r="D290" s="8"/>
      <c r="E290" s="245"/>
      <c r="F290" s="10"/>
      <c r="G290" s="1"/>
      <c r="H290" s="1"/>
      <c r="I290" s="117"/>
      <c r="J290" s="257"/>
      <c r="K290" s="260">
        <f t="shared" si="7"/>
        <v>0</v>
      </c>
    </row>
    <row r="291" spans="1:11" x14ac:dyDescent="0.2">
      <c r="A291" s="190"/>
      <c r="B291" s="8"/>
      <c r="C291" s="9"/>
      <c r="D291" s="8"/>
      <c r="E291" s="245"/>
      <c r="F291" s="10"/>
      <c r="G291" s="1"/>
      <c r="H291" s="1"/>
      <c r="I291" s="117"/>
      <c r="J291" s="257"/>
      <c r="K291" s="260">
        <f t="shared" si="7"/>
        <v>0</v>
      </c>
    </row>
    <row r="292" spans="1:11" x14ac:dyDescent="0.2">
      <c r="A292" s="190"/>
      <c r="B292" s="8"/>
      <c r="C292" s="9"/>
      <c r="D292" s="8"/>
      <c r="E292" s="245"/>
      <c r="F292" s="10"/>
      <c r="G292" s="1"/>
      <c r="H292" s="1"/>
      <c r="I292" s="117"/>
      <c r="J292" s="257"/>
      <c r="K292" s="260">
        <f t="shared" si="7"/>
        <v>0</v>
      </c>
    </row>
    <row r="293" spans="1:11" x14ac:dyDescent="0.2">
      <c r="A293" s="190"/>
      <c r="B293" s="8"/>
      <c r="C293" s="9"/>
      <c r="D293" s="8"/>
      <c r="E293" s="245"/>
      <c r="F293" s="10"/>
      <c r="G293" s="1"/>
      <c r="H293" s="1"/>
      <c r="I293" s="117"/>
      <c r="J293" s="257"/>
      <c r="K293" s="260">
        <f t="shared" si="7"/>
        <v>0</v>
      </c>
    </row>
    <row r="294" spans="1:11" x14ac:dyDescent="0.2">
      <c r="A294" s="190"/>
      <c r="B294" s="8"/>
      <c r="C294" s="9"/>
      <c r="D294" s="8"/>
      <c r="E294" s="245"/>
      <c r="F294" s="10"/>
      <c r="G294" s="1"/>
      <c r="H294" s="1"/>
      <c r="I294" s="117"/>
      <c r="J294" s="257"/>
      <c r="K294" s="260">
        <f t="shared" si="7"/>
        <v>0</v>
      </c>
    </row>
    <row r="295" spans="1:11" x14ac:dyDescent="0.2">
      <c r="A295" s="190"/>
      <c r="B295" s="8"/>
      <c r="C295" s="9"/>
      <c r="D295" s="8"/>
      <c r="E295" s="245"/>
      <c r="F295" s="10"/>
      <c r="G295" s="1"/>
      <c r="H295" s="1"/>
      <c r="I295" s="117"/>
      <c r="J295" s="257"/>
      <c r="K295" s="260">
        <f t="shared" si="7"/>
        <v>0</v>
      </c>
    </row>
    <row r="296" spans="1:11" x14ac:dyDescent="0.2">
      <c r="A296" s="190"/>
      <c r="B296" s="8"/>
      <c r="C296" s="9"/>
      <c r="D296" s="8"/>
      <c r="E296" s="245"/>
      <c r="F296" s="10"/>
      <c r="G296" s="1"/>
      <c r="H296" s="1"/>
      <c r="I296" s="117"/>
      <c r="J296" s="257"/>
      <c r="K296" s="260">
        <f t="shared" si="7"/>
        <v>0</v>
      </c>
    </row>
    <row r="297" spans="1:11" x14ac:dyDescent="0.2">
      <c r="A297" s="190"/>
      <c r="B297" s="8"/>
      <c r="C297" s="9"/>
      <c r="D297" s="8"/>
      <c r="E297" s="245"/>
      <c r="F297" s="10"/>
      <c r="G297" s="1"/>
      <c r="H297" s="1"/>
      <c r="I297" s="117"/>
      <c r="J297" s="257"/>
      <c r="K297" s="260">
        <f t="shared" si="7"/>
        <v>0</v>
      </c>
    </row>
    <row r="298" spans="1:11" x14ac:dyDescent="0.2">
      <c r="A298" s="190"/>
      <c r="B298" s="8"/>
      <c r="C298" s="9"/>
      <c r="D298" s="8"/>
      <c r="E298" s="245"/>
      <c r="F298" s="10"/>
      <c r="G298" s="1"/>
      <c r="H298" s="1"/>
      <c r="I298" s="117"/>
      <c r="J298" s="257"/>
      <c r="K298" s="260">
        <f t="shared" si="7"/>
        <v>0</v>
      </c>
    </row>
    <row r="299" spans="1:11" x14ac:dyDescent="0.2">
      <c r="A299" s="190"/>
      <c r="B299" s="8"/>
      <c r="C299" s="9"/>
      <c r="D299" s="8"/>
      <c r="E299" s="245"/>
      <c r="F299" s="10"/>
      <c r="G299" s="1"/>
      <c r="H299" s="1"/>
      <c r="I299" s="117"/>
      <c r="J299" s="257"/>
      <c r="K299" s="260">
        <f t="shared" si="7"/>
        <v>0</v>
      </c>
    </row>
    <row r="300" spans="1:11" x14ac:dyDescent="0.2">
      <c r="A300" s="190"/>
      <c r="B300" s="8"/>
      <c r="C300" s="9"/>
      <c r="D300" s="8"/>
      <c r="E300" s="245"/>
      <c r="F300" s="10"/>
      <c r="G300" s="1"/>
      <c r="H300" s="1"/>
      <c r="I300" s="117"/>
      <c r="J300" s="257"/>
      <c r="K300" s="260">
        <f t="shared" si="7"/>
        <v>0</v>
      </c>
    </row>
    <row r="301" spans="1:11" x14ac:dyDescent="0.2">
      <c r="A301" s="190"/>
      <c r="B301" s="8"/>
      <c r="C301" s="9"/>
      <c r="D301" s="8"/>
      <c r="E301" s="245"/>
      <c r="F301" s="10"/>
      <c r="G301" s="1"/>
      <c r="H301" s="1"/>
      <c r="I301" s="117"/>
      <c r="J301" s="257"/>
      <c r="K301" s="260">
        <f t="shared" si="7"/>
        <v>0</v>
      </c>
    </row>
    <row r="302" spans="1:11" x14ac:dyDescent="0.2">
      <c r="A302" s="190"/>
      <c r="B302" s="8"/>
      <c r="C302" s="9"/>
      <c r="D302" s="8"/>
      <c r="E302" s="245"/>
      <c r="F302" s="10"/>
      <c r="G302" s="1"/>
      <c r="H302" s="1"/>
      <c r="I302" s="117"/>
      <c r="J302" s="257"/>
      <c r="K302" s="260">
        <f t="shared" si="7"/>
        <v>0</v>
      </c>
    </row>
    <row r="303" spans="1:11" x14ac:dyDescent="0.2">
      <c r="A303" s="190"/>
      <c r="B303" s="8"/>
      <c r="C303" s="9"/>
      <c r="D303" s="8"/>
      <c r="E303" s="245"/>
      <c r="F303" s="10"/>
      <c r="G303" s="1"/>
      <c r="H303" s="1"/>
      <c r="I303" s="117"/>
      <c r="J303" s="257"/>
      <c r="K303" s="260">
        <f t="shared" si="7"/>
        <v>0</v>
      </c>
    </row>
    <row r="304" spans="1:11" x14ac:dyDescent="0.2">
      <c r="A304" s="190"/>
      <c r="B304" s="8"/>
      <c r="C304" s="9"/>
      <c r="D304" s="8"/>
      <c r="E304" s="245"/>
      <c r="F304" s="10"/>
      <c r="G304" s="1"/>
      <c r="H304" s="1"/>
      <c r="I304" s="117"/>
      <c r="J304" s="257"/>
      <c r="K304" s="260">
        <f t="shared" si="7"/>
        <v>0</v>
      </c>
    </row>
    <row r="305" spans="1:11" x14ac:dyDescent="0.2">
      <c r="A305" s="190"/>
      <c r="B305" s="8"/>
      <c r="C305" s="9"/>
      <c r="D305" s="8"/>
      <c r="E305" s="245"/>
      <c r="F305" s="10"/>
      <c r="G305" s="1"/>
      <c r="H305" s="1"/>
      <c r="I305" s="117"/>
      <c r="J305" s="257"/>
      <c r="K305" s="260">
        <f t="shared" si="7"/>
        <v>0</v>
      </c>
    </row>
    <row r="306" spans="1:11" x14ac:dyDescent="0.2">
      <c r="A306" s="190"/>
      <c r="B306" s="8"/>
      <c r="C306" s="9"/>
      <c r="D306" s="8"/>
      <c r="E306" s="245"/>
      <c r="F306" s="10"/>
      <c r="G306" s="1"/>
      <c r="H306" s="1"/>
      <c r="I306" s="117"/>
      <c r="J306" s="257"/>
      <c r="K306" s="260">
        <f t="shared" si="7"/>
        <v>0</v>
      </c>
    </row>
    <row r="307" spans="1:11" x14ac:dyDescent="0.2">
      <c r="A307" s="190"/>
      <c r="B307" s="8"/>
      <c r="C307" s="9"/>
      <c r="D307" s="8"/>
      <c r="E307" s="245"/>
      <c r="F307" s="10"/>
      <c r="G307" s="1"/>
      <c r="H307" s="1"/>
      <c r="I307" s="117"/>
      <c r="J307" s="257"/>
      <c r="K307" s="260">
        <f t="shared" si="7"/>
        <v>0</v>
      </c>
    </row>
    <row r="308" spans="1:11" x14ac:dyDescent="0.2">
      <c r="A308" s="190"/>
      <c r="B308" s="8"/>
      <c r="C308" s="9"/>
      <c r="D308" s="8"/>
      <c r="E308" s="245"/>
      <c r="F308" s="10"/>
      <c r="G308" s="1"/>
      <c r="H308" s="1"/>
      <c r="I308" s="117"/>
      <c r="J308" s="257"/>
      <c r="K308" s="260">
        <f t="shared" si="7"/>
        <v>0</v>
      </c>
    </row>
    <row r="309" spans="1:11" x14ac:dyDescent="0.2">
      <c r="A309" s="190"/>
      <c r="B309" s="8"/>
      <c r="C309" s="9"/>
      <c r="D309" s="8"/>
      <c r="E309" s="245"/>
      <c r="F309" s="10"/>
      <c r="G309" s="1"/>
      <c r="H309" s="1"/>
      <c r="I309" s="117"/>
      <c r="J309" s="257"/>
      <c r="K309" s="260">
        <f t="shared" si="7"/>
        <v>0</v>
      </c>
    </row>
    <row r="310" spans="1:11" x14ac:dyDescent="0.2">
      <c r="A310" s="190"/>
      <c r="B310" s="8"/>
      <c r="C310" s="9"/>
      <c r="D310" s="8"/>
      <c r="E310" s="245"/>
      <c r="F310" s="10"/>
      <c r="G310" s="1"/>
      <c r="H310" s="1"/>
      <c r="I310" s="117"/>
      <c r="J310" s="257"/>
      <c r="K310" s="260">
        <f t="shared" si="7"/>
        <v>0</v>
      </c>
    </row>
    <row r="311" spans="1:11" x14ac:dyDescent="0.2">
      <c r="A311" s="190"/>
      <c r="B311" s="8"/>
      <c r="C311" s="9"/>
      <c r="D311" s="8"/>
      <c r="E311" s="245"/>
      <c r="F311" s="10"/>
      <c r="G311" s="1"/>
      <c r="H311" s="1"/>
      <c r="I311" s="117"/>
      <c r="J311" s="257"/>
      <c r="K311" s="260">
        <f t="shared" si="7"/>
        <v>0</v>
      </c>
    </row>
    <row r="312" spans="1:11" x14ac:dyDescent="0.2">
      <c r="A312" s="190"/>
      <c r="B312" s="8"/>
      <c r="C312" s="9"/>
      <c r="D312" s="8"/>
      <c r="E312" s="245"/>
      <c r="F312" s="10"/>
      <c r="G312" s="1"/>
      <c r="H312" s="1"/>
      <c r="I312" s="117"/>
      <c r="J312" s="257"/>
      <c r="K312" s="260">
        <f t="shared" si="7"/>
        <v>0</v>
      </c>
    </row>
    <row r="313" spans="1:11" x14ac:dyDescent="0.2">
      <c r="A313" s="190"/>
      <c r="B313" s="8"/>
      <c r="C313" s="9"/>
      <c r="D313" s="8"/>
      <c r="E313" s="245"/>
      <c r="F313" s="10"/>
      <c r="G313" s="1"/>
      <c r="H313" s="1"/>
      <c r="I313" s="117"/>
      <c r="J313" s="257"/>
      <c r="K313" s="260">
        <f t="shared" si="7"/>
        <v>0</v>
      </c>
    </row>
    <row r="314" spans="1:11" x14ac:dyDescent="0.2">
      <c r="A314" s="190"/>
      <c r="B314" s="8"/>
      <c r="C314" s="9"/>
      <c r="D314" s="8"/>
      <c r="E314" s="245"/>
      <c r="F314" s="10"/>
      <c r="G314" s="1"/>
      <c r="H314" s="1"/>
      <c r="I314" s="117"/>
      <c r="J314" s="257"/>
      <c r="K314" s="260">
        <f t="shared" si="7"/>
        <v>0</v>
      </c>
    </row>
    <row r="315" spans="1:11" x14ac:dyDescent="0.2">
      <c r="A315" s="190"/>
      <c r="B315" s="8"/>
      <c r="C315" s="9"/>
      <c r="D315" s="8"/>
      <c r="E315" s="245"/>
      <c r="F315" s="10"/>
      <c r="G315" s="1"/>
      <c r="H315" s="1"/>
      <c r="I315" s="117"/>
      <c r="J315" s="117"/>
      <c r="K315" s="260">
        <f t="shared" si="7"/>
        <v>0</v>
      </c>
    </row>
    <row r="316" spans="1:11" x14ac:dyDescent="0.2">
      <c r="A316" s="190"/>
      <c r="B316" s="8"/>
      <c r="C316" s="9"/>
      <c r="D316" s="8"/>
      <c r="E316" s="245"/>
      <c r="F316" s="10"/>
      <c r="G316" s="1"/>
      <c r="H316" s="1"/>
      <c r="I316" s="117"/>
      <c r="J316" s="117"/>
      <c r="K316" s="260">
        <f t="shared" si="7"/>
        <v>0</v>
      </c>
    </row>
    <row r="317" spans="1:11" x14ac:dyDescent="0.2">
      <c r="A317" s="190"/>
      <c r="B317" s="8"/>
      <c r="C317" s="9"/>
      <c r="D317" s="8"/>
      <c r="E317" s="245"/>
      <c r="F317" s="10"/>
      <c r="G317" s="1"/>
      <c r="H317" s="1"/>
      <c r="I317" s="117"/>
      <c r="J317" s="117"/>
      <c r="K317" s="260">
        <f t="shared" si="7"/>
        <v>0</v>
      </c>
    </row>
    <row r="318" spans="1:11" x14ac:dyDescent="0.2">
      <c r="A318" s="190"/>
      <c r="B318" s="8"/>
      <c r="C318" s="9"/>
      <c r="D318" s="8"/>
      <c r="E318" s="245"/>
      <c r="F318" s="10"/>
      <c r="G318" s="1"/>
      <c r="H318" s="1"/>
      <c r="I318" s="117"/>
      <c r="J318" s="117"/>
      <c r="K318" s="260">
        <f t="shared" si="7"/>
        <v>0</v>
      </c>
    </row>
    <row r="319" spans="1:11" x14ac:dyDescent="0.2">
      <c r="A319" s="190"/>
      <c r="B319" s="8"/>
      <c r="C319" s="9"/>
      <c r="D319" s="8"/>
      <c r="E319" s="245"/>
      <c r="F319" s="10"/>
      <c r="G319" s="1"/>
      <c r="H319" s="1"/>
      <c r="I319" s="117"/>
      <c r="J319" s="117"/>
      <c r="K319" s="260">
        <f t="shared" si="7"/>
        <v>0</v>
      </c>
    </row>
    <row r="320" spans="1:11" x14ac:dyDescent="0.2">
      <c r="A320" s="190"/>
      <c r="B320" s="8"/>
      <c r="C320" s="9"/>
      <c r="D320" s="8"/>
      <c r="E320" s="245"/>
      <c r="F320" s="10"/>
      <c r="G320" s="1"/>
      <c r="H320" s="1"/>
      <c r="I320" s="117"/>
      <c r="J320" s="117"/>
      <c r="K320" s="260">
        <f t="shared" si="7"/>
        <v>0</v>
      </c>
    </row>
    <row r="321" spans="1:11" x14ac:dyDescent="0.2">
      <c r="A321" s="190"/>
      <c r="B321" s="8"/>
      <c r="C321" s="9"/>
      <c r="D321" s="8"/>
      <c r="E321" s="245"/>
      <c r="F321" s="10"/>
      <c r="G321" s="1"/>
      <c r="H321" s="1"/>
      <c r="I321" s="117"/>
      <c r="J321" s="117"/>
      <c r="K321" s="260">
        <f t="shared" si="7"/>
        <v>0</v>
      </c>
    </row>
    <row r="322" spans="1:11" x14ac:dyDescent="0.2">
      <c r="A322" s="190"/>
      <c r="B322" s="8"/>
      <c r="C322" s="9"/>
      <c r="D322" s="8"/>
      <c r="E322" s="245"/>
      <c r="F322" s="10"/>
      <c r="G322" s="1"/>
      <c r="H322" s="1"/>
      <c r="I322" s="117"/>
      <c r="J322" s="117"/>
      <c r="K322" s="260">
        <f t="shared" si="7"/>
        <v>0</v>
      </c>
    </row>
    <row r="323" spans="1:11" x14ac:dyDescent="0.2">
      <c r="A323" s="190"/>
      <c r="B323" s="8"/>
      <c r="C323" s="9"/>
      <c r="D323" s="8"/>
      <c r="E323" s="245"/>
      <c r="F323" s="10"/>
      <c r="G323" s="1"/>
      <c r="H323" s="1"/>
      <c r="I323" s="117"/>
      <c r="J323" s="117"/>
      <c r="K323" s="260">
        <f t="shared" si="7"/>
        <v>0</v>
      </c>
    </row>
    <row r="324" spans="1:11" x14ac:dyDescent="0.2">
      <c r="A324" s="190"/>
      <c r="B324" s="8"/>
      <c r="C324" s="9"/>
      <c r="D324" s="8"/>
      <c r="E324" s="245"/>
      <c r="F324" s="10"/>
      <c r="G324" s="1"/>
      <c r="H324" s="1"/>
      <c r="I324" s="117"/>
      <c r="K324" s="260">
        <f t="shared" si="7"/>
        <v>0</v>
      </c>
    </row>
    <row r="325" spans="1:11" x14ac:dyDescent="0.2">
      <c r="A325" s="190"/>
      <c r="B325" s="8"/>
      <c r="C325" s="9"/>
      <c r="D325" s="8"/>
      <c r="E325" s="245"/>
      <c r="F325" s="10"/>
      <c r="G325" s="1"/>
      <c r="H325" s="1"/>
      <c r="I325" s="117"/>
      <c r="K325" s="260">
        <f t="shared" si="7"/>
        <v>0</v>
      </c>
    </row>
    <row r="326" spans="1:11" x14ac:dyDescent="0.2">
      <c r="A326" s="190"/>
      <c r="B326" s="8"/>
      <c r="C326" s="9"/>
      <c r="D326" s="8"/>
      <c r="E326" s="245"/>
      <c r="F326" s="10"/>
      <c r="G326" s="1"/>
      <c r="H326" s="1"/>
      <c r="I326" s="117"/>
      <c r="K326" s="260">
        <f t="shared" si="7"/>
        <v>0</v>
      </c>
    </row>
    <row r="327" spans="1:11" x14ac:dyDescent="0.2">
      <c r="A327" s="190"/>
      <c r="B327" s="8"/>
      <c r="C327" s="9"/>
      <c r="D327" s="8"/>
      <c r="E327" s="245"/>
      <c r="F327" s="10"/>
      <c r="G327" s="1"/>
      <c r="H327" s="1"/>
      <c r="I327" s="117"/>
      <c r="K327" s="260">
        <f t="shared" si="7"/>
        <v>0</v>
      </c>
    </row>
    <row r="328" spans="1:11" x14ac:dyDescent="0.2">
      <c r="A328" s="190"/>
      <c r="B328" s="8"/>
      <c r="C328" s="9"/>
      <c r="D328" s="8"/>
      <c r="E328" s="245"/>
      <c r="F328" s="10"/>
      <c r="G328" s="1"/>
      <c r="H328" s="1"/>
      <c r="I328" s="117"/>
      <c r="K328" s="260">
        <f t="shared" si="7"/>
        <v>0</v>
      </c>
    </row>
    <row r="329" spans="1:11" x14ac:dyDescent="0.2">
      <c r="A329" s="190"/>
      <c r="B329" s="8"/>
      <c r="C329" s="9"/>
      <c r="D329" s="8"/>
      <c r="E329" s="245"/>
      <c r="F329" s="10"/>
      <c r="G329" s="1"/>
      <c r="H329" s="1"/>
      <c r="I329" s="117"/>
      <c r="K329" s="260">
        <f t="shared" si="7"/>
        <v>0</v>
      </c>
    </row>
    <row r="330" spans="1:11" x14ac:dyDescent="0.2">
      <c r="A330" s="190"/>
      <c r="B330" s="8"/>
      <c r="C330" s="9"/>
      <c r="D330" s="8"/>
      <c r="E330" s="245"/>
      <c r="F330" s="10"/>
      <c r="G330" s="1"/>
      <c r="H330" s="1"/>
      <c r="I330" s="117"/>
      <c r="K330" s="260">
        <f t="shared" si="7"/>
        <v>0</v>
      </c>
    </row>
    <row r="331" spans="1:11" x14ac:dyDescent="0.2">
      <c r="A331" s="190"/>
      <c r="B331" s="8"/>
      <c r="C331" s="9"/>
      <c r="D331" s="8"/>
      <c r="E331" s="245"/>
      <c r="F331" s="10"/>
      <c r="G331" s="1"/>
      <c r="H331" s="1"/>
      <c r="I331" s="117"/>
      <c r="K331" s="260">
        <f t="shared" si="7"/>
        <v>0</v>
      </c>
    </row>
    <row r="332" spans="1:11" x14ac:dyDescent="0.2">
      <c r="A332" s="190"/>
      <c r="B332" s="8"/>
      <c r="C332" s="9"/>
      <c r="D332" s="8"/>
      <c r="E332" s="245"/>
      <c r="F332" s="10"/>
      <c r="G332" s="1"/>
      <c r="H332" s="1"/>
      <c r="I332" s="117"/>
      <c r="K332" s="260">
        <f t="shared" si="7"/>
        <v>0</v>
      </c>
    </row>
    <row r="333" spans="1:11" x14ac:dyDescent="0.2">
      <c r="A333" s="190"/>
      <c r="B333" s="8"/>
      <c r="C333" s="9"/>
      <c r="D333" s="8"/>
      <c r="E333" s="245"/>
      <c r="F333" s="10"/>
      <c r="G333" s="1"/>
      <c r="H333" s="1"/>
      <c r="I333" s="117"/>
      <c r="K333" s="260">
        <f t="shared" si="7"/>
        <v>0</v>
      </c>
    </row>
    <row r="334" spans="1:11" x14ac:dyDescent="0.2">
      <c r="A334" s="190"/>
      <c r="B334" s="8"/>
      <c r="C334" s="9"/>
      <c r="D334" s="8"/>
      <c r="E334" s="245"/>
      <c r="F334" s="10"/>
      <c r="G334" s="1"/>
      <c r="H334" s="1"/>
      <c r="I334" s="117"/>
      <c r="K334" s="260">
        <f t="shared" si="7"/>
        <v>0</v>
      </c>
    </row>
    <row r="335" spans="1:11" x14ac:dyDescent="0.2">
      <c r="A335" s="190"/>
      <c r="B335" s="8"/>
      <c r="C335" s="9"/>
      <c r="D335" s="8"/>
      <c r="E335" s="245"/>
      <c r="F335" s="10"/>
      <c r="G335" s="1"/>
      <c r="H335" s="1"/>
      <c r="I335" s="117"/>
      <c r="K335" s="260">
        <f t="shared" si="7"/>
        <v>0</v>
      </c>
    </row>
    <row r="336" spans="1:11" x14ac:dyDescent="0.2">
      <c r="A336" s="190"/>
      <c r="B336" s="8"/>
      <c r="C336" s="9"/>
      <c r="D336" s="8"/>
      <c r="E336" s="245"/>
      <c r="F336" s="10"/>
      <c r="G336" s="1"/>
      <c r="H336" s="1"/>
      <c r="I336" s="117"/>
      <c r="K336" s="260">
        <f t="shared" si="7"/>
        <v>0</v>
      </c>
    </row>
    <row r="337" spans="1:11" x14ac:dyDescent="0.2">
      <c r="A337" s="190"/>
      <c r="B337" s="8"/>
      <c r="C337" s="9"/>
      <c r="D337" s="8"/>
      <c r="E337" s="245"/>
      <c r="F337" s="10"/>
      <c r="G337" s="1"/>
      <c r="H337" s="1"/>
      <c r="I337" s="117"/>
      <c r="K337" s="260">
        <f t="shared" si="7"/>
        <v>0</v>
      </c>
    </row>
    <row r="338" spans="1:11" x14ac:dyDescent="0.2">
      <c r="A338" s="190"/>
      <c r="B338" s="8"/>
      <c r="C338" s="9"/>
      <c r="D338" s="8"/>
      <c r="E338" s="245"/>
      <c r="F338" s="10"/>
      <c r="G338" s="1"/>
      <c r="H338" s="1"/>
      <c r="I338" s="117"/>
      <c r="K338" s="260">
        <f t="shared" si="7"/>
        <v>0</v>
      </c>
    </row>
    <row r="339" spans="1:11" x14ac:dyDescent="0.2">
      <c r="A339" s="190"/>
      <c r="B339" s="8"/>
      <c r="C339" s="9"/>
      <c r="D339" s="8"/>
      <c r="E339" s="245"/>
      <c r="F339" s="10"/>
      <c r="G339" s="1"/>
      <c r="H339" s="1"/>
      <c r="I339" s="258"/>
      <c r="K339" s="260">
        <f t="shared" ref="K339:K402" si="8">+B339*G339</f>
        <v>0</v>
      </c>
    </row>
    <row r="340" spans="1:11" x14ac:dyDescent="0.2">
      <c r="A340" s="190"/>
      <c r="B340" s="8"/>
      <c r="C340" s="9"/>
      <c r="D340" s="8"/>
      <c r="E340" s="245"/>
      <c r="F340" s="10"/>
      <c r="G340" s="1"/>
      <c r="H340" s="1"/>
      <c r="K340" s="260">
        <f t="shared" si="8"/>
        <v>0</v>
      </c>
    </row>
    <row r="341" spans="1:11" x14ac:dyDescent="0.2">
      <c r="A341" s="190"/>
      <c r="B341" s="8"/>
      <c r="C341" s="9"/>
      <c r="D341" s="8"/>
      <c r="E341" s="245"/>
      <c r="F341" s="10"/>
      <c r="G341" s="1"/>
      <c r="H341" s="1"/>
      <c r="K341" s="260">
        <f t="shared" si="8"/>
        <v>0</v>
      </c>
    </row>
    <row r="342" spans="1:11" x14ac:dyDescent="0.2">
      <c r="A342" s="190"/>
      <c r="B342" s="8"/>
      <c r="C342" s="9"/>
      <c r="D342" s="8"/>
      <c r="E342" s="245"/>
      <c r="F342" s="10"/>
      <c r="G342" s="1"/>
      <c r="H342" s="1"/>
      <c r="K342" s="260">
        <f t="shared" si="8"/>
        <v>0</v>
      </c>
    </row>
    <row r="343" spans="1:11" x14ac:dyDescent="0.2">
      <c r="A343" s="190"/>
      <c r="B343" s="8"/>
      <c r="C343" s="9"/>
      <c r="D343" s="8"/>
      <c r="E343" s="245"/>
      <c r="F343" s="10"/>
      <c r="G343" s="1"/>
      <c r="H343" s="1"/>
      <c r="K343" s="260">
        <f t="shared" si="8"/>
        <v>0</v>
      </c>
    </row>
    <row r="344" spans="1:11" x14ac:dyDescent="0.2">
      <c r="A344" s="190"/>
      <c r="B344" s="8"/>
      <c r="C344" s="9"/>
      <c r="D344" s="8"/>
      <c r="E344" s="245"/>
      <c r="F344" s="10"/>
      <c r="G344" s="1"/>
      <c r="H344" s="1"/>
      <c r="K344" s="260">
        <f t="shared" si="8"/>
        <v>0</v>
      </c>
    </row>
    <row r="345" spans="1:11" x14ac:dyDescent="0.2">
      <c r="A345" s="190"/>
      <c r="B345" s="8"/>
      <c r="C345" s="9"/>
      <c r="D345" s="8"/>
      <c r="E345" s="245"/>
      <c r="F345" s="10"/>
      <c r="G345" s="1"/>
      <c r="H345" s="1"/>
      <c r="K345" s="260">
        <f t="shared" si="8"/>
        <v>0</v>
      </c>
    </row>
    <row r="346" spans="1:11" x14ac:dyDescent="0.2">
      <c r="A346" s="190"/>
      <c r="B346" s="8"/>
      <c r="C346" s="9"/>
      <c r="D346" s="8"/>
      <c r="E346" s="245"/>
      <c r="F346" s="10"/>
      <c r="G346" s="1"/>
      <c r="H346" s="1"/>
      <c r="K346" s="260">
        <f t="shared" si="8"/>
        <v>0</v>
      </c>
    </row>
    <row r="347" spans="1:11" x14ac:dyDescent="0.2">
      <c r="A347" s="190"/>
      <c r="B347" s="8"/>
      <c r="C347" s="9"/>
      <c r="D347" s="8"/>
      <c r="E347" s="245"/>
      <c r="F347" s="10"/>
      <c r="G347" s="1"/>
      <c r="H347" s="1"/>
      <c r="K347" s="260">
        <f t="shared" si="8"/>
        <v>0</v>
      </c>
    </row>
    <row r="348" spans="1:11" x14ac:dyDescent="0.2">
      <c r="A348" s="190"/>
      <c r="B348" s="8"/>
      <c r="C348" s="9"/>
      <c r="D348" s="8"/>
      <c r="E348" s="245"/>
      <c r="F348" s="10"/>
      <c r="G348" s="1"/>
      <c r="H348" s="1"/>
      <c r="K348" s="260">
        <f t="shared" si="8"/>
        <v>0</v>
      </c>
    </row>
    <row r="349" spans="1:11" x14ac:dyDescent="0.2">
      <c r="A349" s="190"/>
      <c r="B349" s="8"/>
      <c r="C349" s="9"/>
      <c r="D349" s="8"/>
      <c r="E349" s="245"/>
      <c r="F349" s="10"/>
      <c r="G349" s="1"/>
      <c r="H349" s="1"/>
      <c r="K349" s="260">
        <f t="shared" si="8"/>
        <v>0</v>
      </c>
    </row>
    <row r="350" spans="1:11" x14ac:dyDescent="0.2">
      <c r="A350" s="190"/>
      <c r="B350" s="8"/>
      <c r="C350" s="9"/>
      <c r="D350" s="8"/>
      <c r="E350" s="245"/>
      <c r="F350" s="10"/>
      <c r="G350" s="1"/>
      <c r="H350" s="1"/>
      <c r="K350" s="260">
        <f t="shared" si="8"/>
        <v>0</v>
      </c>
    </row>
    <row r="351" spans="1:11" x14ac:dyDescent="0.2">
      <c r="A351" s="190"/>
      <c r="B351" s="8"/>
      <c r="C351" s="9"/>
      <c r="D351" s="8"/>
      <c r="E351" s="245"/>
      <c r="F351" s="10"/>
      <c r="G351" s="1"/>
      <c r="H351" s="1"/>
      <c r="K351" s="260">
        <f t="shared" si="8"/>
        <v>0</v>
      </c>
    </row>
    <row r="352" spans="1:11" x14ac:dyDescent="0.2">
      <c r="A352" s="190"/>
      <c r="B352" s="8"/>
      <c r="C352" s="9"/>
      <c r="D352" s="8"/>
      <c r="E352" s="245"/>
      <c r="F352" s="10"/>
      <c r="G352" s="1"/>
      <c r="H352" s="1"/>
      <c r="K352" s="260">
        <f t="shared" si="8"/>
        <v>0</v>
      </c>
    </row>
    <row r="353" spans="1:11" x14ac:dyDescent="0.2">
      <c r="A353" s="190"/>
      <c r="B353" s="8"/>
      <c r="C353" s="9"/>
      <c r="D353" s="8"/>
      <c r="E353" s="245"/>
      <c r="F353" s="10"/>
      <c r="G353" s="1"/>
      <c r="H353" s="1"/>
      <c r="K353" s="260">
        <f t="shared" si="8"/>
        <v>0</v>
      </c>
    </row>
    <row r="354" spans="1:11" x14ac:dyDescent="0.2">
      <c r="A354" s="190"/>
      <c r="B354" s="8"/>
      <c r="C354" s="9"/>
      <c r="D354" s="8"/>
      <c r="E354" s="245"/>
      <c r="F354" s="10"/>
      <c r="G354" s="1"/>
      <c r="H354" s="1"/>
      <c r="K354" s="260">
        <f t="shared" si="8"/>
        <v>0</v>
      </c>
    </row>
    <row r="355" spans="1:11" x14ac:dyDescent="0.2">
      <c r="A355" s="190"/>
      <c r="B355" s="8"/>
      <c r="C355" s="9"/>
      <c r="D355" s="8"/>
      <c r="E355" s="245"/>
      <c r="F355" s="10"/>
      <c r="G355" s="1"/>
      <c r="H355" s="1"/>
      <c r="K355" s="260">
        <f t="shared" si="8"/>
        <v>0</v>
      </c>
    </row>
    <row r="356" spans="1:11" x14ac:dyDescent="0.2">
      <c r="A356" s="190"/>
      <c r="B356" s="8"/>
      <c r="C356" s="9"/>
      <c r="D356" s="8"/>
      <c r="E356" s="245"/>
      <c r="F356" s="10"/>
      <c r="G356" s="1"/>
      <c r="H356" s="1"/>
      <c r="K356" s="260">
        <f t="shared" si="8"/>
        <v>0</v>
      </c>
    </row>
    <row r="357" spans="1:11" x14ac:dyDescent="0.2">
      <c r="A357" s="190"/>
      <c r="B357" s="8"/>
      <c r="C357" s="9"/>
      <c r="D357" s="8"/>
      <c r="E357" s="245"/>
      <c r="F357" s="10"/>
      <c r="G357" s="1"/>
      <c r="H357" s="1"/>
      <c r="K357" s="260">
        <f t="shared" si="8"/>
        <v>0</v>
      </c>
    </row>
    <row r="358" spans="1:11" x14ac:dyDescent="0.2">
      <c r="A358" s="190"/>
      <c r="B358" s="8"/>
      <c r="C358" s="9"/>
      <c r="D358" s="8"/>
      <c r="E358" s="245"/>
      <c r="F358" s="10"/>
      <c r="G358" s="1"/>
      <c r="H358" s="1"/>
      <c r="K358" s="260">
        <f t="shared" si="8"/>
        <v>0</v>
      </c>
    </row>
    <row r="359" spans="1:11" x14ac:dyDescent="0.2">
      <c r="A359" s="190"/>
      <c r="B359" s="8"/>
      <c r="C359" s="9"/>
      <c r="D359" s="8"/>
      <c r="E359" s="245"/>
      <c r="F359" s="10"/>
      <c r="G359" s="1"/>
      <c r="H359" s="1"/>
      <c r="K359" s="260">
        <f t="shared" si="8"/>
        <v>0</v>
      </c>
    </row>
    <row r="360" spans="1:11" x14ac:dyDescent="0.2">
      <c r="A360" s="32" t="s">
        <v>19</v>
      </c>
      <c r="B360" t="s">
        <v>19</v>
      </c>
      <c r="C360" t="s">
        <v>19</v>
      </c>
      <c r="D360" s="246" t="s">
        <v>19</v>
      </c>
      <c r="E360" s="247" t="s">
        <v>19</v>
      </c>
      <c r="F360" s="248" t="s">
        <v>19</v>
      </c>
      <c r="G360" t="s">
        <v>19</v>
      </c>
      <c r="H360" t="s">
        <v>19</v>
      </c>
      <c r="K360" s="260" t="e">
        <f t="shared" si="8"/>
        <v>#VALUE!</v>
      </c>
    </row>
    <row r="361" spans="1:11" x14ac:dyDescent="0.2">
      <c r="K361" s="260">
        <f t="shared" si="8"/>
        <v>0</v>
      </c>
    </row>
    <row r="362" spans="1:11" x14ac:dyDescent="0.2">
      <c r="B362" s="32"/>
      <c r="D362" s="249"/>
      <c r="K362" s="260">
        <f t="shared" si="8"/>
        <v>0</v>
      </c>
    </row>
    <row r="363" spans="1:11" x14ac:dyDescent="0.2">
      <c r="B363" s="32"/>
      <c r="D363" s="250"/>
      <c r="E363" s="63"/>
      <c r="F363" s="251"/>
      <c r="G363" s="63"/>
      <c r="H363" s="63"/>
      <c r="K363" s="260">
        <f t="shared" si="8"/>
        <v>0</v>
      </c>
    </row>
    <row r="364" spans="1:11" x14ac:dyDescent="0.2">
      <c r="B364" s="32"/>
      <c r="K364" s="260">
        <f t="shared" si="8"/>
        <v>0</v>
      </c>
    </row>
    <row r="365" spans="1:11" x14ac:dyDescent="0.2">
      <c r="K365" s="260">
        <f t="shared" si="8"/>
        <v>0</v>
      </c>
    </row>
    <row r="366" spans="1:11" x14ac:dyDescent="0.2">
      <c r="B366" s="32"/>
      <c r="K366" s="260">
        <f t="shared" si="8"/>
        <v>0</v>
      </c>
    </row>
    <row r="367" spans="1:11" x14ac:dyDescent="0.2">
      <c r="A367"/>
      <c r="K367" s="260">
        <f t="shared" si="8"/>
        <v>0</v>
      </c>
    </row>
    <row r="368" spans="1:11" x14ac:dyDescent="0.2">
      <c r="A368"/>
      <c r="K368" s="260">
        <f t="shared" si="8"/>
        <v>0</v>
      </c>
    </row>
    <row r="369" spans="1:11" x14ac:dyDescent="0.2">
      <c r="A369"/>
      <c r="K369" s="260">
        <f t="shared" si="8"/>
        <v>0</v>
      </c>
    </row>
    <row r="370" spans="1:11" x14ac:dyDescent="0.2">
      <c r="A370"/>
      <c r="D370" s="189"/>
      <c r="K370" s="260">
        <f t="shared" si="8"/>
        <v>0</v>
      </c>
    </row>
    <row r="371" spans="1:11" x14ac:dyDescent="0.2">
      <c r="A371"/>
      <c r="D371" s="189"/>
      <c r="K371" s="260">
        <f t="shared" si="8"/>
        <v>0</v>
      </c>
    </row>
    <row r="372" spans="1:11" x14ac:dyDescent="0.2">
      <c r="A372"/>
      <c r="K372" s="260">
        <f t="shared" si="8"/>
        <v>0</v>
      </c>
    </row>
    <row r="373" spans="1:11" x14ac:dyDescent="0.2">
      <c r="A373"/>
      <c r="K373" s="260">
        <f t="shared" si="8"/>
        <v>0</v>
      </c>
    </row>
    <row r="374" spans="1:11" x14ac:dyDescent="0.2">
      <c r="A374"/>
      <c r="K374" s="260">
        <f t="shared" si="8"/>
        <v>0</v>
      </c>
    </row>
    <row r="375" spans="1:11" x14ac:dyDescent="0.2">
      <c r="A375"/>
      <c r="K375" s="260">
        <f t="shared" si="8"/>
        <v>0</v>
      </c>
    </row>
    <row r="376" spans="1:11" x14ac:dyDescent="0.2">
      <c r="K376" s="260">
        <f t="shared" si="8"/>
        <v>0</v>
      </c>
    </row>
    <row r="377" spans="1:11" x14ac:dyDescent="0.2">
      <c r="K377" s="260">
        <f t="shared" si="8"/>
        <v>0</v>
      </c>
    </row>
    <row r="378" spans="1:11" x14ac:dyDescent="0.2">
      <c r="K378" s="260">
        <f t="shared" si="8"/>
        <v>0</v>
      </c>
    </row>
    <row r="379" spans="1:11" x14ac:dyDescent="0.2">
      <c r="K379" s="260">
        <f t="shared" si="8"/>
        <v>0</v>
      </c>
    </row>
    <row r="380" spans="1:11" x14ac:dyDescent="0.2">
      <c r="K380" s="260">
        <f t="shared" si="8"/>
        <v>0</v>
      </c>
    </row>
    <row r="381" spans="1:11" x14ac:dyDescent="0.2">
      <c r="K381" s="260">
        <f t="shared" si="8"/>
        <v>0</v>
      </c>
    </row>
    <row r="382" spans="1:11" x14ac:dyDescent="0.2">
      <c r="K382" s="260">
        <f t="shared" si="8"/>
        <v>0</v>
      </c>
    </row>
    <row r="383" spans="1:11" x14ac:dyDescent="0.2">
      <c r="K383" s="260">
        <f t="shared" si="8"/>
        <v>0</v>
      </c>
    </row>
    <row r="384" spans="1:11" x14ac:dyDescent="0.2">
      <c r="K384" s="260">
        <f t="shared" si="8"/>
        <v>0</v>
      </c>
    </row>
    <row r="385" spans="9:11" x14ac:dyDescent="0.2">
      <c r="K385" s="260">
        <f t="shared" si="8"/>
        <v>0</v>
      </c>
    </row>
    <row r="386" spans="9:11" x14ac:dyDescent="0.2">
      <c r="K386" s="260">
        <f t="shared" si="8"/>
        <v>0</v>
      </c>
    </row>
    <row r="387" spans="9:11" x14ac:dyDescent="0.2">
      <c r="K387" s="260">
        <f t="shared" si="8"/>
        <v>0</v>
      </c>
    </row>
    <row r="388" spans="9:11" x14ac:dyDescent="0.2">
      <c r="I388" s="117"/>
      <c r="J388" s="117"/>
      <c r="K388" s="260">
        <f t="shared" si="8"/>
        <v>0</v>
      </c>
    </row>
    <row r="389" spans="9:11" x14ac:dyDescent="0.2">
      <c r="I389" s="117"/>
      <c r="J389" s="117"/>
      <c r="K389" s="260">
        <f t="shared" si="8"/>
        <v>0</v>
      </c>
    </row>
    <row r="390" spans="9:11" x14ac:dyDescent="0.2">
      <c r="I390" s="117"/>
      <c r="J390" s="117"/>
      <c r="K390" s="260">
        <f t="shared" si="8"/>
        <v>0</v>
      </c>
    </row>
    <row r="391" spans="9:11" x14ac:dyDescent="0.2">
      <c r="I391" s="117"/>
      <c r="J391" s="117"/>
      <c r="K391" s="260">
        <f t="shared" si="8"/>
        <v>0</v>
      </c>
    </row>
    <row r="392" spans="9:11" x14ac:dyDescent="0.2">
      <c r="I392" s="117"/>
      <c r="J392" s="117"/>
      <c r="K392" s="260">
        <f t="shared" si="8"/>
        <v>0</v>
      </c>
    </row>
    <row r="393" spans="9:11" x14ac:dyDescent="0.2">
      <c r="I393" s="117" t="s">
        <v>19</v>
      </c>
      <c r="J393" s="117" t="s">
        <v>19</v>
      </c>
      <c r="K393" s="260">
        <f t="shared" si="8"/>
        <v>0</v>
      </c>
    </row>
    <row r="394" spans="9:11" x14ac:dyDescent="0.2">
      <c r="K394" s="260">
        <f t="shared" si="8"/>
        <v>0</v>
      </c>
    </row>
    <row r="395" spans="9:11" x14ac:dyDescent="0.2">
      <c r="K395" s="260">
        <f t="shared" si="8"/>
        <v>0</v>
      </c>
    </row>
    <row r="396" spans="9:11" x14ac:dyDescent="0.2">
      <c r="K396" s="260">
        <f t="shared" si="8"/>
        <v>0</v>
      </c>
    </row>
    <row r="397" spans="9:11" x14ac:dyDescent="0.2">
      <c r="K397" s="260">
        <f t="shared" si="8"/>
        <v>0</v>
      </c>
    </row>
    <row r="398" spans="9:11" x14ac:dyDescent="0.2">
      <c r="K398" s="260">
        <f t="shared" si="8"/>
        <v>0</v>
      </c>
    </row>
    <row r="399" spans="9:11" x14ac:dyDescent="0.2">
      <c r="K399" s="260">
        <f t="shared" si="8"/>
        <v>0</v>
      </c>
    </row>
    <row r="400" spans="9:11" x14ac:dyDescent="0.2">
      <c r="K400" s="260">
        <f t="shared" si="8"/>
        <v>0</v>
      </c>
    </row>
    <row r="401" spans="11:11" x14ac:dyDescent="0.2">
      <c r="K401" s="260">
        <f t="shared" si="8"/>
        <v>0</v>
      </c>
    </row>
    <row r="402" spans="11:11" x14ac:dyDescent="0.2">
      <c r="K402" s="260">
        <f t="shared" si="8"/>
        <v>0</v>
      </c>
    </row>
    <row r="403" spans="11:11" x14ac:dyDescent="0.2">
      <c r="K403" s="260">
        <f t="shared" ref="K403:K454" si="9">+B403*G403</f>
        <v>0</v>
      </c>
    </row>
    <row r="404" spans="11:11" x14ac:dyDescent="0.2">
      <c r="K404" s="260">
        <f t="shared" si="9"/>
        <v>0</v>
      </c>
    </row>
    <row r="405" spans="11:11" x14ac:dyDescent="0.2">
      <c r="K405" s="260">
        <f t="shared" si="9"/>
        <v>0</v>
      </c>
    </row>
    <row r="406" spans="11:11" x14ac:dyDescent="0.2">
      <c r="K406" s="260">
        <f t="shared" si="9"/>
        <v>0</v>
      </c>
    </row>
    <row r="407" spans="11:11" x14ac:dyDescent="0.2">
      <c r="K407" s="260">
        <f t="shared" si="9"/>
        <v>0</v>
      </c>
    </row>
    <row r="408" spans="11:11" x14ac:dyDescent="0.2">
      <c r="K408" s="260">
        <f t="shared" si="9"/>
        <v>0</v>
      </c>
    </row>
    <row r="409" spans="11:11" x14ac:dyDescent="0.2">
      <c r="K409" s="260">
        <f t="shared" si="9"/>
        <v>0</v>
      </c>
    </row>
    <row r="410" spans="11:11" x14ac:dyDescent="0.2">
      <c r="K410" s="260">
        <f t="shared" si="9"/>
        <v>0</v>
      </c>
    </row>
    <row r="411" spans="11:11" x14ac:dyDescent="0.2">
      <c r="K411" s="260">
        <f t="shared" si="9"/>
        <v>0</v>
      </c>
    </row>
    <row r="412" spans="11:11" x14ac:dyDescent="0.2">
      <c r="K412" s="260">
        <f t="shared" si="9"/>
        <v>0</v>
      </c>
    </row>
    <row r="413" spans="11:11" x14ac:dyDescent="0.2">
      <c r="K413" s="260">
        <f t="shared" si="9"/>
        <v>0</v>
      </c>
    </row>
    <row r="414" spans="11:11" x14ac:dyDescent="0.2">
      <c r="K414" s="260">
        <f t="shared" si="9"/>
        <v>0</v>
      </c>
    </row>
    <row r="415" spans="11:11" x14ac:dyDescent="0.2">
      <c r="K415" s="260">
        <f t="shared" si="9"/>
        <v>0</v>
      </c>
    </row>
    <row r="416" spans="11:11" x14ac:dyDescent="0.2">
      <c r="K416" s="260">
        <f t="shared" si="9"/>
        <v>0</v>
      </c>
    </row>
    <row r="417" spans="11:11" x14ac:dyDescent="0.2">
      <c r="K417" s="260">
        <f t="shared" si="9"/>
        <v>0</v>
      </c>
    </row>
    <row r="418" spans="11:11" x14ac:dyDescent="0.2">
      <c r="K418" s="260">
        <f t="shared" si="9"/>
        <v>0</v>
      </c>
    </row>
    <row r="419" spans="11:11" x14ac:dyDescent="0.2">
      <c r="K419" s="260">
        <f t="shared" si="9"/>
        <v>0</v>
      </c>
    </row>
    <row r="420" spans="11:11" x14ac:dyDescent="0.2">
      <c r="K420" s="260">
        <f t="shared" si="9"/>
        <v>0</v>
      </c>
    </row>
    <row r="421" spans="11:11" x14ac:dyDescent="0.2">
      <c r="K421" s="260">
        <f t="shared" si="9"/>
        <v>0</v>
      </c>
    </row>
    <row r="422" spans="11:11" x14ac:dyDescent="0.2">
      <c r="K422" s="260">
        <f t="shared" si="9"/>
        <v>0</v>
      </c>
    </row>
    <row r="423" spans="11:11" x14ac:dyDescent="0.2">
      <c r="K423" s="260">
        <f t="shared" si="9"/>
        <v>0</v>
      </c>
    </row>
    <row r="424" spans="11:11" x14ac:dyDescent="0.2">
      <c r="K424" s="260">
        <f t="shared" si="9"/>
        <v>0</v>
      </c>
    </row>
    <row r="425" spans="11:11" x14ac:dyDescent="0.2">
      <c r="K425" s="260">
        <f t="shared" si="9"/>
        <v>0</v>
      </c>
    </row>
    <row r="426" spans="11:11" x14ac:dyDescent="0.2">
      <c r="K426" s="260">
        <f t="shared" si="9"/>
        <v>0</v>
      </c>
    </row>
    <row r="427" spans="11:11" x14ac:dyDescent="0.2">
      <c r="K427" s="260">
        <f t="shared" si="9"/>
        <v>0</v>
      </c>
    </row>
    <row r="428" spans="11:11" x14ac:dyDescent="0.2">
      <c r="K428" s="260">
        <f t="shared" si="9"/>
        <v>0</v>
      </c>
    </row>
    <row r="429" spans="11:11" x14ac:dyDescent="0.2">
      <c r="K429" s="260">
        <f t="shared" si="9"/>
        <v>0</v>
      </c>
    </row>
    <row r="430" spans="11:11" x14ac:dyDescent="0.2">
      <c r="K430" s="260">
        <f t="shared" si="9"/>
        <v>0</v>
      </c>
    </row>
    <row r="431" spans="11:11" x14ac:dyDescent="0.2">
      <c r="K431" s="260">
        <f t="shared" si="9"/>
        <v>0</v>
      </c>
    </row>
    <row r="432" spans="11:11" x14ac:dyDescent="0.2">
      <c r="K432" s="260">
        <f t="shared" si="9"/>
        <v>0</v>
      </c>
    </row>
    <row r="433" spans="11:11" x14ac:dyDescent="0.2">
      <c r="K433" s="260">
        <f t="shared" si="9"/>
        <v>0</v>
      </c>
    </row>
    <row r="434" spans="11:11" x14ac:dyDescent="0.2">
      <c r="K434" s="260">
        <f t="shared" si="9"/>
        <v>0</v>
      </c>
    </row>
    <row r="435" spans="11:11" x14ac:dyDescent="0.2">
      <c r="K435" s="260">
        <f t="shared" si="9"/>
        <v>0</v>
      </c>
    </row>
    <row r="436" spans="11:11" x14ac:dyDescent="0.2">
      <c r="K436" s="260">
        <f t="shared" si="9"/>
        <v>0</v>
      </c>
    </row>
    <row r="437" spans="11:11" x14ac:dyDescent="0.2">
      <c r="K437" s="260">
        <f t="shared" si="9"/>
        <v>0</v>
      </c>
    </row>
    <row r="438" spans="11:11" x14ac:dyDescent="0.2">
      <c r="K438" s="260">
        <f t="shared" si="9"/>
        <v>0</v>
      </c>
    </row>
    <row r="439" spans="11:11" x14ac:dyDescent="0.2">
      <c r="K439" s="260">
        <f t="shared" si="9"/>
        <v>0</v>
      </c>
    </row>
    <row r="440" spans="11:11" x14ac:dyDescent="0.2">
      <c r="K440" s="260">
        <f t="shared" si="9"/>
        <v>0</v>
      </c>
    </row>
    <row r="441" spans="11:11" x14ac:dyDescent="0.2">
      <c r="K441" s="260">
        <f t="shared" si="9"/>
        <v>0</v>
      </c>
    </row>
    <row r="442" spans="11:11" x14ac:dyDescent="0.2">
      <c r="K442" s="260">
        <f t="shared" si="9"/>
        <v>0</v>
      </c>
    </row>
    <row r="443" spans="11:11" x14ac:dyDescent="0.2">
      <c r="K443" s="260">
        <f t="shared" si="9"/>
        <v>0</v>
      </c>
    </row>
    <row r="444" spans="11:11" x14ac:dyDescent="0.2">
      <c r="K444" s="260">
        <f t="shared" si="9"/>
        <v>0</v>
      </c>
    </row>
    <row r="445" spans="11:11" x14ac:dyDescent="0.2">
      <c r="K445" s="260">
        <f t="shared" si="9"/>
        <v>0</v>
      </c>
    </row>
    <row r="446" spans="11:11" x14ac:dyDescent="0.2">
      <c r="K446" s="260">
        <f t="shared" si="9"/>
        <v>0</v>
      </c>
    </row>
    <row r="447" spans="11:11" x14ac:dyDescent="0.2">
      <c r="K447" s="260">
        <f t="shared" si="9"/>
        <v>0</v>
      </c>
    </row>
    <row r="448" spans="11:11" x14ac:dyDescent="0.2">
      <c r="K448" s="260">
        <f t="shared" si="9"/>
        <v>0</v>
      </c>
    </row>
    <row r="449" spans="9:11" x14ac:dyDescent="0.2">
      <c r="K449" s="260">
        <f t="shared" si="9"/>
        <v>0</v>
      </c>
    </row>
    <row r="450" spans="9:11" x14ac:dyDescent="0.2">
      <c r="K450" s="260">
        <f t="shared" si="9"/>
        <v>0</v>
      </c>
    </row>
    <row r="451" spans="9:11" x14ac:dyDescent="0.2">
      <c r="K451" s="260">
        <f t="shared" si="9"/>
        <v>0</v>
      </c>
    </row>
    <row r="452" spans="9:11" x14ac:dyDescent="0.2">
      <c r="K452" s="260">
        <f t="shared" si="9"/>
        <v>0</v>
      </c>
    </row>
    <row r="453" spans="9:11" x14ac:dyDescent="0.2">
      <c r="K453" s="260">
        <f t="shared" si="9"/>
        <v>0</v>
      </c>
    </row>
    <row r="454" spans="9:11" x14ac:dyDescent="0.2">
      <c r="I454" s="7" t="s">
        <v>19</v>
      </c>
      <c r="K454" s="260">
        <f t="shared" si="9"/>
        <v>0</v>
      </c>
    </row>
  </sheetData>
  <autoFilter ref="A2:K292" xr:uid="{00000000-0001-0000-0600-000000000000}"/>
  <mergeCells count="1">
    <mergeCell ref="A152:B152"/>
  </mergeCells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6F9E-6835-4A38-A17F-1C1D5DB21787}">
  <sheetPr filterMode="1"/>
  <dimension ref="A2:F451"/>
  <sheetViews>
    <sheetView workbookViewId="0">
      <pane xSplit="1" ySplit="2" topLeftCell="B3" activePane="bottomRight" state="frozen"/>
      <selection activeCell="O12" sqref="O12"/>
      <selection pane="topRight" activeCell="O12" sqref="O12"/>
      <selection pane="bottomLeft" activeCell="O12" sqref="O12"/>
      <selection pane="bottomRight" activeCell="J28" sqref="J28"/>
    </sheetView>
  </sheetViews>
  <sheetFormatPr baseColWidth="10" defaultColWidth="11.42578125" defaultRowHeight="12.75" x14ac:dyDescent="0.2"/>
  <cols>
    <col min="1" max="1" width="30.7109375" customWidth="1"/>
    <col min="2" max="3" width="10.28515625" customWidth="1"/>
    <col min="4" max="4" width="12.28515625" customWidth="1"/>
  </cols>
  <sheetData>
    <row r="2" spans="1:4" x14ac:dyDescent="0.2">
      <c r="A2" s="37" t="s">
        <v>20</v>
      </c>
      <c r="B2" s="37" t="s">
        <v>0</v>
      </c>
      <c r="C2" s="37" t="s">
        <v>24</v>
      </c>
      <c r="D2" s="38" t="s">
        <v>226</v>
      </c>
    </row>
    <row r="3" spans="1:4" hidden="1" x14ac:dyDescent="0.2">
      <c r="A3" s="39" t="s">
        <v>136</v>
      </c>
      <c r="B3" s="40" t="s">
        <v>137</v>
      </c>
      <c r="C3" s="39" t="s">
        <v>37</v>
      </c>
      <c r="D3" s="39" t="s">
        <v>271</v>
      </c>
    </row>
    <row r="4" spans="1:4" hidden="1" x14ac:dyDescent="0.2">
      <c r="A4" s="39" t="s">
        <v>350</v>
      </c>
      <c r="B4" s="40" t="s">
        <v>351</v>
      </c>
      <c r="C4" s="39" t="s">
        <v>39</v>
      </c>
      <c r="D4" s="39" t="s">
        <v>271</v>
      </c>
    </row>
    <row r="5" spans="1:4" hidden="1" x14ac:dyDescent="0.2">
      <c r="A5" s="39" t="s">
        <v>366</v>
      </c>
      <c r="B5" s="40" t="s">
        <v>367</v>
      </c>
      <c r="C5" s="39" t="s">
        <v>39</v>
      </c>
      <c r="D5" s="39" t="s">
        <v>271</v>
      </c>
    </row>
    <row r="6" spans="1:4" hidden="1" x14ac:dyDescent="0.2">
      <c r="A6" s="39" t="s">
        <v>324</v>
      </c>
      <c r="B6" s="40" t="s">
        <v>325</v>
      </c>
      <c r="C6" s="39" t="s">
        <v>29</v>
      </c>
      <c r="D6" s="39" t="s">
        <v>227</v>
      </c>
    </row>
    <row r="7" spans="1:4" hidden="1" x14ac:dyDescent="0.2">
      <c r="A7" s="39" t="s">
        <v>664</v>
      </c>
      <c r="B7" s="40" t="s">
        <v>665</v>
      </c>
      <c r="C7" s="39" t="s">
        <v>29</v>
      </c>
      <c r="D7" s="39" t="s">
        <v>271</v>
      </c>
    </row>
    <row r="8" spans="1:4" hidden="1" x14ac:dyDescent="0.2">
      <c r="A8" s="39" t="s">
        <v>710</v>
      </c>
      <c r="B8" s="40" t="s">
        <v>199</v>
      </c>
      <c r="C8" s="39" t="s">
        <v>29</v>
      </c>
      <c r="D8" s="39" t="s">
        <v>271</v>
      </c>
    </row>
    <row r="9" spans="1:4" hidden="1" x14ac:dyDescent="0.2">
      <c r="A9" s="39" t="s">
        <v>752</v>
      </c>
      <c r="B9" s="40" t="s">
        <v>753</v>
      </c>
      <c r="C9" s="39" t="s">
        <v>39</v>
      </c>
      <c r="D9" s="39" t="s">
        <v>271</v>
      </c>
    </row>
    <row r="10" spans="1:4" hidden="1" x14ac:dyDescent="0.2">
      <c r="A10" s="39" t="s">
        <v>78</v>
      </c>
      <c r="B10" s="40" t="s">
        <v>79</v>
      </c>
      <c r="C10" s="39" t="s">
        <v>37</v>
      </c>
      <c r="D10" s="39" t="s">
        <v>227</v>
      </c>
    </row>
    <row r="11" spans="1:4" hidden="1" x14ac:dyDescent="0.2">
      <c r="A11" s="39" t="s">
        <v>106</v>
      </c>
      <c r="B11" s="40" t="s">
        <v>107</v>
      </c>
      <c r="C11" s="39" t="s">
        <v>37</v>
      </c>
      <c r="D11" s="39" t="s">
        <v>227</v>
      </c>
    </row>
    <row r="12" spans="1:4" hidden="1" x14ac:dyDescent="0.2">
      <c r="A12" s="39" t="s">
        <v>25</v>
      </c>
      <c r="B12" s="40" t="s">
        <v>26</v>
      </c>
      <c r="C12" s="39" t="s">
        <v>27</v>
      </c>
      <c r="D12" s="39" t="s">
        <v>227</v>
      </c>
    </row>
    <row r="13" spans="1:4" hidden="1" x14ac:dyDescent="0.2">
      <c r="A13" s="39" t="s">
        <v>108</v>
      </c>
      <c r="B13" s="40" t="s">
        <v>109</v>
      </c>
      <c r="C13" s="39" t="s">
        <v>37</v>
      </c>
      <c r="D13" s="39" t="s">
        <v>227</v>
      </c>
    </row>
    <row r="14" spans="1:4" hidden="1" x14ac:dyDescent="0.2">
      <c r="A14" s="39" t="s">
        <v>233</v>
      </c>
      <c r="B14" s="40" t="s">
        <v>234</v>
      </c>
      <c r="C14" s="39" t="s">
        <v>29</v>
      </c>
      <c r="D14" s="39" t="s">
        <v>227</v>
      </c>
    </row>
    <row r="15" spans="1:4" hidden="1" x14ac:dyDescent="0.2">
      <c r="A15" s="39" t="s">
        <v>466</v>
      </c>
      <c r="B15" s="40" t="s">
        <v>467</v>
      </c>
      <c r="C15" s="39" t="s">
        <v>39</v>
      </c>
      <c r="D15" s="39" t="s">
        <v>271</v>
      </c>
    </row>
    <row r="16" spans="1:4" hidden="1" x14ac:dyDescent="0.2">
      <c r="A16" s="39" t="s">
        <v>448</v>
      </c>
      <c r="B16" s="40" t="s">
        <v>449</v>
      </c>
      <c r="C16" s="39" t="s">
        <v>37</v>
      </c>
      <c r="D16" s="39" t="s">
        <v>271</v>
      </c>
    </row>
    <row r="17" spans="1:4" hidden="1" x14ac:dyDescent="0.2">
      <c r="A17" s="41" t="s">
        <v>575</v>
      </c>
      <c r="B17" s="40" t="s">
        <v>576</v>
      </c>
      <c r="C17" s="39" t="s">
        <v>37</v>
      </c>
      <c r="D17" s="39" t="s">
        <v>271</v>
      </c>
    </row>
    <row r="18" spans="1:4" hidden="1" x14ac:dyDescent="0.2">
      <c r="A18" s="39" t="s">
        <v>138</v>
      </c>
      <c r="B18" s="40" t="s">
        <v>139</v>
      </c>
      <c r="C18" s="39" t="s">
        <v>37</v>
      </c>
      <c r="D18" s="39" t="s">
        <v>271</v>
      </c>
    </row>
    <row r="19" spans="1:4" hidden="1" x14ac:dyDescent="0.2">
      <c r="A19" s="39" t="s">
        <v>11</v>
      </c>
      <c r="B19" s="40" t="s">
        <v>28</v>
      </c>
      <c r="C19" s="39" t="s">
        <v>29</v>
      </c>
      <c r="D19" s="39" t="s">
        <v>227</v>
      </c>
    </row>
    <row r="20" spans="1:4" hidden="1" x14ac:dyDescent="0.2">
      <c r="A20" s="39" t="s">
        <v>654</v>
      </c>
      <c r="B20" s="40" t="s">
        <v>655</v>
      </c>
      <c r="C20" s="39" t="s">
        <v>29</v>
      </c>
      <c r="D20" s="39" t="s">
        <v>271</v>
      </c>
    </row>
    <row r="21" spans="1:4" hidden="1" x14ac:dyDescent="0.2">
      <c r="A21" s="39" t="s">
        <v>12</v>
      </c>
      <c r="B21" s="40" t="s">
        <v>84</v>
      </c>
      <c r="C21" s="39" t="s">
        <v>37</v>
      </c>
      <c r="D21" s="39" t="s">
        <v>271</v>
      </c>
    </row>
    <row r="22" spans="1:4" hidden="1" x14ac:dyDescent="0.2">
      <c r="A22" s="39" t="s">
        <v>300</v>
      </c>
      <c r="B22" s="40" t="s">
        <v>299</v>
      </c>
      <c r="C22" s="39" t="s">
        <v>37</v>
      </c>
      <c r="D22" s="39" t="s">
        <v>227</v>
      </c>
    </row>
    <row r="23" spans="1:4" hidden="1" x14ac:dyDescent="0.2">
      <c r="A23" s="39" t="s">
        <v>102</v>
      </c>
      <c r="B23" s="40" t="s">
        <v>103</v>
      </c>
      <c r="C23" s="39" t="s">
        <v>29</v>
      </c>
      <c r="D23" s="39" t="s">
        <v>227</v>
      </c>
    </row>
    <row r="24" spans="1:4" hidden="1" x14ac:dyDescent="0.2">
      <c r="A24" s="39" t="s">
        <v>561</v>
      </c>
      <c r="B24" s="40" t="s">
        <v>562</v>
      </c>
      <c r="C24" s="39" t="s">
        <v>37</v>
      </c>
      <c r="D24" s="39" t="s">
        <v>271</v>
      </c>
    </row>
    <row r="25" spans="1:4" hidden="1" x14ac:dyDescent="0.2">
      <c r="A25" s="41" t="s">
        <v>529</v>
      </c>
      <c r="B25" s="40" t="s">
        <v>530</v>
      </c>
      <c r="C25" s="39" t="s">
        <v>29</v>
      </c>
      <c r="D25" s="39" t="s">
        <v>271</v>
      </c>
    </row>
    <row r="26" spans="1:4" hidden="1" x14ac:dyDescent="0.2">
      <c r="A26" s="39" t="s">
        <v>658</v>
      </c>
      <c r="B26" s="40" t="s">
        <v>659</v>
      </c>
      <c r="C26" s="39" t="s">
        <v>29</v>
      </c>
      <c r="D26" s="39" t="s">
        <v>271</v>
      </c>
    </row>
    <row r="27" spans="1:4" hidden="1" x14ac:dyDescent="0.2">
      <c r="A27" s="39" t="s">
        <v>427</v>
      </c>
      <c r="B27" s="40" t="s">
        <v>428</v>
      </c>
      <c r="C27" s="39" t="s">
        <v>29</v>
      </c>
      <c r="D27" s="39" t="s">
        <v>271</v>
      </c>
    </row>
    <row r="28" spans="1:4" hidden="1" x14ac:dyDescent="0.2">
      <c r="A28" s="39" t="s">
        <v>547</v>
      </c>
      <c r="B28" s="40" t="s">
        <v>548</v>
      </c>
      <c r="C28" s="39" t="s">
        <v>37</v>
      </c>
      <c r="D28" s="41" t="s">
        <v>227</v>
      </c>
    </row>
    <row r="29" spans="1:4" hidden="1" x14ac:dyDescent="0.2">
      <c r="A29" s="39" t="s">
        <v>394</v>
      </c>
      <c r="B29" s="40" t="s">
        <v>395</v>
      </c>
      <c r="C29" s="39" t="s">
        <v>29</v>
      </c>
      <c r="D29" s="39" t="s">
        <v>271</v>
      </c>
    </row>
    <row r="30" spans="1:4" hidden="1" x14ac:dyDescent="0.2">
      <c r="A30" s="39" t="s">
        <v>140</v>
      </c>
      <c r="B30" s="40" t="s">
        <v>141</v>
      </c>
      <c r="C30" s="39" t="s">
        <v>37</v>
      </c>
      <c r="D30" s="39" t="s">
        <v>227</v>
      </c>
    </row>
    <row r="31" spans="1:4" hidden="1" x14ac:dyDescent="0.2">
      <c r="A31" s="41" t="s">
        <v>517</v>
      </c>
      <c r="B31" s="40" t="s">
        <v>518</v>
      </c>
      <c r="C31" s="39" t="s">
        <v>29</v>
      </c>
      <c r="D31" s="39" t="s">
        <v>271</v>
      </c>
    </row>
    <row r="32" spans="1:4" hidden="1" x14ac:dyDescent="0.2">
      <c r="A32" s="39" t="s">
        <v>104</v>
      </c>
      <c r="B32" s="40" t="s">
        <v>105</v>
      </c>
      <c r="C32" s="39" t="s">
        <v>37</v>
      </c>
      <c r="D32" s="39" t="s">
        <v>227</v>
      </c>
    </row>
    <row r="33" spans="1:4" hidden="1" x14ac:dyDescent="0.2">
      <c r="A33" s="39" t="s">
        <v>640</v>
      </c>
      <c r="B33" s="40" t="s">
        <v>641</v>
      </c>
      <c r="C33" s="39" t="s">
        <v>29</v>
      </c>
      <c r="D33" s="39" t="s">
        <v>271</v>
      </c>
    </row>
    <row r="34" spans="1:4" hidden="1" x14ac:dyDescent="0.2">
      <c r="A34" s="39" t="s">
        <v>660</v>
      </c>
      <c r="B34" s="40" t="s">
        <v>661</v>
      </c>
      <c r="C34" s="39" t="s">
        <v>29</v>
      </c>
      <c r="D34" s="39" t="s">
        <v>271</v>
      </c>
    </row>
    <row r="35" spans="1:4" hidden="1" x14ac:dyDescent="0.2">
      <c r="A35" s="39" t="s">
        <v>662</v>
      </c>
      <c r="B35" s="40" t="s">
        <v>663</v>
      </c>
      <c r="C35" s="39" t="s">
        <v>29</v>
      </c>
      <c r="D35" s="39" t="s">
        <v>271</v>
      </c>
    </row>
    <row r="36" spans="1:4" hidden="1" x14ac:dyDescent="0.2">
      <c r="A36" s="39" t="s">
        <v>244</v>
      </c>
      <c r="B36" s="40" t="s">
        <v>245</v>
      </c>
      <c r="C36" s="39" t="s">
        <v>37</v>
      </c>
      <c r="D36" s="39" t="s">
        <v>227</v>
      </c>
    </row>
    <row r="37" spans="1:4" hidden="1" x14ac:dyDescent="0.2">
      <c r="A37" s="41" t="s">
        <v>559</v>
      </c>
      <c r="B37" s="40" t="s">
        <v>560</v>
      </c>
      <c r="C37" s="39" t="s">
        <v>37</v>
      </c>
      <c r="D37" s="39" t="s">
        <v>271</v>
      </c>
    </row>
    <row r="38" spans="1:4" hidden="1" x14ac:dyDescent="0.2">
      <c r="A38" s="39" t="s">
        <v>202</v>
      </c>
      <c r="B38" s="40" t="s">
        <v>203</v>
      </c>
      <c r="C38" s="39" t="s">
        <v>37</v>
      </c>
      <c r="D38" s="39" t="s">
        <v>271</v>
      </c>
    </row>
    <row r="39" spans="1:4" hidden="1" x14ac:dyDescent="0.2">
      <c r="A39" s="39" t="s">
        <v>112</v>
      </c>
      <c r="B39" s="60" t="s">
        <v>1110</v>
      </c>
      <c r="C39" s="39" t="s">
        <v>27</v>
      </c>
      <c r="D39" s="39" t="s">
        <v>271</v>
      </c>
    </row>
    <row r="40" spans="1:4" hidden="1" x14ac:dyDescent="0.2">
      <c r="A40" s="39" t="s">
        <v>207</v>
      </c>
      <c r="B40" s="40" t="s">
        <v>208</v>
      </c>
      <c r="C40" s="39" t="s">
        <v>29</v>
      </c>
      <c r="D40" s="39" t="s">
        <v>227</v>
      </c>
    </row>
    <row r="41" spans="1:4" hidden="1" x14ac:dyDescent="0.2">
      <c r="A41" s="41" t="s">
        <v>780</v>
      </c>
      <c r="B41" s="40" t="s">
        <v>781</v>
      </c>
      <c r="C41" s="39" t="s">
        <v>29</v>
      </c>
      <c r="D41" s="39" t="s">
        <v>271</v>
      </c>
    </row>
    <row r="42" spans="1:4" hidden="1" x14ac:dyDescent="0.2">
      <c r="A42" s="39" t="s">
        <v>386</v>
      </c>
      <c r="B42" s="40" t="s">
        <v>387</v>
      </c>
      <c r="C42" s="39" t="s">
        <v>29</v>
      </c>
      <c r="D42" s="39" t="s">
        <v>271</v>
      </c>
    </row>
    <row r="43" spans="1:4" hidden="1" x14ac:dyDescent="0.2">
      <c r="A43" s="39" t="s">
        <v>402</v>
      </c>
      <c r="B43" s="40" t="s">
        <v>403</v>
      </c>
      <c r="C43" s="39" t="s">
        <v>29</v>
      </c>
      <c r="D43" s="39" t="s">
        <v>271</v>
      </c>
    </row>
    <row r="44" spans="1:4" hidden="1" x14ac:dyDescent="0.2">
      <c r="A44" s="39" t="s">
        <v>110</v>
      </c>
      <c r="B44" s="40" t="s">
        <v>111</v>
      </c>
      <c r="C44" s="39" t="s">
        <v>29</v>
      </c>
      <c r="D44" s="39" t="s">
        <v>227</v>
      </c>
    </row>
    <row r="45" spans="1:4" hidden="1" x14ac:dyDescent="0.2">
      <c r="A45" s="39" t="s">
        <v>30</v>
      </c>
      <c r="B45" s="40" t="s">
        <v>31</v>
      </c>
      <c r="C45" s="39" t="s">
        <v>29</v>
      </c>
      <c r="D45" s="39" t="s">
        <v>227</v>
      </c>
    </row>
    <row r="46" spans="1:4" hidden="1" x14ac:dyDescent="0.2">
      <c r="A46" s="41" t="s">
        <v>501</v>
      </c>
      <c r="B46" s="40" t="s">
        <v>502</v>
      </c>
      <c r="C46" s="39" t="s">
        <v>29</v>
      </c>
      <c r="D46" s="39" t="s">
        <v>271</v>
      </c>
    </row>
    <row r="47" spans="1:4" hidden="1" x14ac:dyDescent="0.2">
      <c r="A47" s="39" t="s">
        <v>571</v>
      </c>
      <c r="B47" s="40" t="s">
        <v>572</v>
      </c>
      <c r="C47" s="39" t="s">
        <v>29</v>
      </c>
      <c r="D47" s="39" t="s">
        <v>271</v>
      </c>
    </row>
    <row r="48" spans="1:4" hidden="1" x14ac:dyDescent="0.2">
      <c r="A48" s="41" t="s">
        <v>523</v>
      </c>
      <c r="B48" s="40" t="s">
        <v>524</v>
      </c>
      <c r="C48" s="39" t="s">
        <v>29</v>
      </c>
      <c r="D48" s="39" t="s">
        <v>271</v>
      </c>
    </row>
    <row r="49" spans="1:5" hidden="1" x14ac:dyDescent="0.2">
      <c r="A49" s="42" t="s">
        <v>840</v>
      </c>
      <c r="B49" s="40" t="s">
        <v>841</v>
      </c>
      <c r="C49" s="39" t="s">
        <v>29</v>
      </c>
      <c r="D49" s="39" t="s">
        <v>227</v>
      </c>
    </row>
    <row r="50" spans="1:5" hidden="1" x14ac:dyDescent="0.2">
      <c r="A50" s="41" t="s">
        <v>527</v>
      </c>
      <c r="B50" s="40" t="s">
        <v>528</v>
      </c>
      <c r="C50" s="39" t="s">
        <v>37</v>
      </c>
      <c r="D50" s="39" t="s">
        <v>271</v>
      </c>
    </row>
    <row r="51" spans="1:5" hidden="1" x14ac:dyDescent="0.2">
      <c r="A51" s="39" t="s">
        <v>706</v>
      </c>
      <c r="B51" s="40" t="s">
        <v>707</v>
      </c>
      <c r="C51" s="39" t="s">
        <v>29</v>
      </c>
      <c r="D51" s="39" t="s">
        <v>271</v>
      </c>
    </row>
    <row r="52" spans="1:5" hidden="1" x14ac:dyDescent="0.2">
      <c r="A52" s="39" t="s">
        <v>446</v>
      </c>
      <c r="B52" s="40" t="s">
        <v>447</v>
      </c>
      <c r="C52" s="39" t="s">
        <v>29</v>
      </c>
      <c r="D52" s="39" t="s">
        <v>271</v>
      </c>
    </row>
    <row r="53" spans="1:5" hidden="1" x14ac:dyDescent="0.2">
      <c r="A53" s="39" t="s">
        <v>553</v>
      </c>
      <c r="B53" s="40" t="s">
        <v>554</v>
      </c>
      <c r="C53" s="39" t="s">
        <v>37</v>
      </c>
      <c r="D53" s="39" t="s">
        <v>271</v>
      </c>
      <c r="E53" s="6"/>
    </row>
    <row r="54" spans="1:5" hidden="1" x14ac:dyDescent="0.2">
      <c r="A54" s="39" t="s">
        <v>10</v>
      </c>
      <c r="B54" s="40" t="s">
        <v>279</v>
      </c>
      <c r="C54" s="39" t="s">
        <v>29</v>
      </c>
      <c r="D54" s="39" t="s">
        <v>271</v>
      </c>
    </row>
    <row r="55" spans="1:5" hidden="1" x14ac:dyDescent="0.2">
      <c r="A55" s="39" t="s">
        <v>181</v>
      </c>
      <c r="B55" s="40" t="s">
        <v>182</v>
      </c>
      <c r="C55" s="39" t="s">
        <v>29</v>
      </c>
      <c r="D55" s="39" t="s">
        <v>227</v>
      </c>
      <c r="E55" s="6"/>
    </row>
    <row r="56" spans="1:5" hidden="1" x14ac:dyDescent="0.2">
      <c r="A56" s="39" t="s">
        <v>442</v>
      </c>
      <c r="B56" s="40" t="s">
        <v>443</v>
      </c>
      <c r="C56" s="39" t="s">
        <v>29</v>
      </c>
      <c r="D56" s="39" t="s">
        <v>271</v>
      </c>
    </row>
    <row r="57" spans="1:5" hidden="1" x14ac:dyDescent="0.2">
      <c r="A57" s="39" t="s">
        <v>746</v>
      </c>
      <c r="B57" s="40" t="s">
        <v>747</v>
      </c>
      <c r="C57" s="39" t="s">
        <v>37</v>
      </c>
      <c r="D57" s="39" t="s">
        <v>271</v>
      </c>
    </row>
    <row r="58" spans="1:5" hidden="1" x14ac:dyDescent="0.2">
      <c r="A58" s="39" t="s">
        <v>368</v>
      </c>
      <c r="B58" s="40" t="s">
        <v>369</v>
      </c>
      <c r="C58" s="39" t="s">
        <v>29</v>
      </c>
      <c r="D58" s="39" t="s">
        <v>271</v>
      </c>
      <c r="E58" s="6"/>
    </row>
    <row r="59" spans="1:5" hidden="1" x14ac:dyDescent="0.2">
      <c r="A59" s="39" t="s">
        <v>756</v>
      </c>
      <c r="B59" s="40" t="s">
        <v>757</v>
      </c>
      <c r="C59" s="39" t="s">
        <v>29</v>
      </c>
      <c r="D59" s="39" t="s">
        <v>271</v>
      </c>
    </row>
    <row r="60" spans="1:5" hidden="1" x14ac:dyDescent="0.2">
      <c r="A60" s="39" t="s">
        <v>770</v>
      </c>
      <c r="B60" s="40" t="s">
        <v>771</v>
      </c>
      <c r="C60" s="39" t="s">
        <v>29</v>
      </c>
      <c r="D60" s="39" t="s">
        <v>271</v>
      </c>
    </row>
    <row r="61" spans="1:5" hidden="1" x14ac:dyDescent="0.2">
      <c r="A61" s="39" t="s">
        <v>626</v>
      </c>
      <c r="B61" s="40" t="s">
        <v>627</v>
      </c>
      <c r="C61" s="39" t="s">
        <v>29</v>
      </c>
      <c r="D61" s="39" t="s">
        <v>227</v>
      </c>
    </row>
    <row r="62" spans="1:5" hidden="1" x14ac:dyDescent="0.2">
      <c r="A62" s="39" t="s">
        <v>246</v>
      </c>
      <c r="B62" s="40" t="s">
        <v>247</v>
      </c>
      <c r="C62" s="39" t="s">
        <v>29</v>
      </c>
      <c r="D62" s="41" t="s">
        <v>271</v>
      </c>
      <c r="E62" s="6"/>
    </row>
    <row r="63" spans="1:5" hidden="1" x14ac:dyDescent="0.2">
      <c r="A63" s="39" t="s">
        <v>113</v>
      </c>
      <c r="B63" s="40" t="s">
        <v>114</v>
      </c>
      <c r="C63" s="39" t="s">
        <v>29</v>
      </c>
      <c r="D63" s="39" t="s">
        <v>271</v>
      </c>
    </row>
    <row r="64" spans="1:5" hidden="1" x14ac:dyDescent="0.2">
      <c r="A64" s="41" t="s">
        <v>539</v>
      </c>
      <c r="B64" s="40" t="s">
        <v>540</v>
      </c>
      <c r="C64" s="39" t="s">
        <v>37</v>
      </c>
      <c r="D64" s="39" t="s">
        <v>271</v>
      </c>
    </row>
    <row r="65" spans="1:4" ht="15" hidden="1" x14ac:dyDescent="0.25">
      <c r="A65" s="43" t="s">
        <v>702</v>
      </c>
      <c r="B65" s="29" t="s">
        <v>703</v>
      </c>
      <c r="C65" s="39" t="s">
        <v>37</v>
      </c>
      <c r="D65" s="39" t="s">
        <v>271</v>
      </c>
    </row>
    <row r="66" spans="1:4" ht="15" hidden="1" x14ac:dyDescent="0.25">
      <c r="A66" s="39" t="s">
        <v>269</v>
      </c>
      <c r="B66" s="44" t="s">
        <v>270</v>
      </c>
      <c r="C66" s="39" t="s">
        <v>29</v>
      </c>
      <c r="D66" s="39" t="s">
        <v>227</v>
      </c>
    </row>
    <row r="67" spans="1:4" hidden="1" x14ac:dyDescent="0.2">
      <c r="A67" s="39" t="s">
        <v>378</v>
      </c>
      <c r="B67" s="40" t="s">
        <v>379</v>
      </c>
      <c r="C67" s="39" t="s">
        <v>29</v>
      </c>
      <c r="D67" s="39" t="s">
        <v>271</v>
      </c>
    </row>
    <row r="68" spans="1:4" hidden="1" x14ac:dyDescent="0.2">
      <c r="A68" s="39" t="s">
        <v>719</v>
      </c>
      <c r="B68" s="40" t="s">
        <v>720</v>
      </c>
      <c r="C68" s="39" t="s">
        <v>39</v>
      </c>
      <c r="D68" s="39" t="s">
        <v>271</v>
      </c>
    </row>
    <row r="69" spans="1:4" hidden="1" x14ac:dyDescent="0.2">
      <c r="A69" s="41" t="s">
        <v>590</v>
      </c>
      <c r="B69" s="40" t="s">
        <v>591</v>
      </c>
      <c r="C69" s="39" t="s">
        <v>37</v>
      </c>
      <c r="D69" s="39" t="s">
        <v>271</v>
      </c>
    </row>
    <row r="70" spans="1:4" hidden="1" x14ac:dyDescent="0.2">
      <c r="A70" s="39" t="s">
        <v>320</v>
      </c>
      <c r="B70" s="40" t="s">
        <v>321</v>
      </c>
      <c r="C70" s="39" t="s">
        <v>37</v>
      </c>
      <c r="D70" s="39" t="s">
        <v>227</v>
      </c>
    </row>
    <row r="71" spans="1:4" hidden="1" x14ac:dyDescent="0.2">
      <c r="A71" s="41" t="s">
        <v>318</v>
      </c>
      <c r="B71" s="40" t="s">
        <v>319</v>
      </c>
      <c r="C71" s="39" t="s">
        <v>37</v>
      </c>
      <c r="D71" s="39" t="s">
        <v>227</v>
      </c>
    </row>
    <row r="72" spans="1:4" hidden="1" x14ac:dyDescent="0.2">
      <c r="A72" s="39" t="s">
        <v>3</v>
      </c>
      <c r="B72" s="40" t="s">
        <v>204</v>
      </c>
      <c r="C72" s="39" t="s">
        <v>29</v>
      </c>
      <c r="D72" s="39" t="s">
        <v>271</v>
      </c>
    </row>
    <row r="73" spans="1:4" hidden="1" x14ac:dyDescent="0.2">
      <c r="A73" s="39" t="s">
        <v>217</v>
      </c>
      <c r="B73" s="40" t="s">
        <v>218</v>
      </c>
      <c r="C73" s="39" t="s">
        <v>29</v>
      </c>
      <c r="D73" s="39" t="s">
        <v>271</v>
      </c>
    </row>
    <row r="74" spans="1:4" hidden="1" x14ac:dyDescent="0.2">
      <c r="A74" s="39" t="s">
        <v>788</v>
      </c>
      <c r="B74" s="40" t="s">
        <v>789</v>
      </c>
      <c r="C74" s="39" t="s">
        <v>29</v>
      </c>
      <c r="D74" s="39" t="s">
        <v>271</v>
      </c>
    </row>
    <row r="75" spans="1:4" hidden="1" x14ac:dyDescent="0.2">
      <c r="A75" s="39" t="s">
        <v>794</v>
      </c>
      <c r="B75" s="40" t="s">
        <v>795</v>
      </c>
      <c r="C75" s="39" t="s">
        <v>29</v>
      </c>
      <c r="D75" s="39" t="s">
        <v>271</v>
      </c>
    </row>
    <row r="76" spans="1:4" hidden="1" x14ac:dyDescent="0.2">
      <c r="A76" s="39" t="s">
        <v>326</v>
      </c>
      <c r="B76" s="40" t="s">
        <v>327</v>
      </c>
      <c r="C76" s="39" t="s">
        <v>37</v>
      </c>
      <c r="D76" s="39" t="s">
        <v>227</v>
      </c>
    </row>
    <row r="77" spans="1:4" hidden="1" x14ac:dyDescent="0.2">
      <c r="A77" s="39" t="s">
        <v>750</v>
      </c>
      <c r="B77" s="40" t="s">
        <v>751</v>
      </c>
      <c r="C77" s="39" t="s">
        <v>29</v>
      </c>
      <c r="D77" s="39" t="s">
        <v>271</v>
      </c>
    </row>
    <row r="78" spans="1:4" hidden="1" x14ac:dyDescent="0.2">
      <c r="A78" s="39" t="s">
        <v>115</v>
      </c>
      <c r="B78" s="40" t="s">
        <v>116</v>
      </c>
      <c r="C78" s="39" t="s">
        <v>39</v>
      </c>
      <c r="D78" s="39" t="s">
        <v>227</v>
      </c>
    </row>
    <row r="79" spans="1:4" hidden="1" x14ac:dyDescent="0.2">
      <c r="A79" s="39" t="s">
        <v>792</v>
      </c>
      <c r="B79" s="40" t="s">
        <v>793</v>
      </c>
      <c r="C79" s="39" t="s">
        <v>29</v>
      </c>
      <c r="D79" s="39" t="s">
        <v>271</v>
      </c>
    </row>
    <row r="80" spans="1:4" hidden="1" x14ac:dyDescent="0.2">
      <c r="A80" s="39" t="s">
        <v>221</v>
      </c>
      <c r="B80" s="40" t="s">
        <v>222</v>
      </c>
      <c r="C80" s="39" t="s">
        <v>29</v>
      </c>
      <c r="D80" s="39" t="s">
        <v>227</v>
      </c>
    </row>
    <row r="81" spans="1:4" hidden="1" x14ac:dyDescent="0.2">
      <c r="A81" s="39" t="s">
        <v>784</v>
      </c>
      <c r="B81" s="40" t="s">
        <v>785</v>
      </c>
      <c r="C81" s="39" t="s">
        <v>29</v>
      </c>
      <c r="D81" s="39" t="s">
        <v>271</v>
      </c>
    </row>
    <row r="82" spans="1:4" hidden="1" x14ac:dyDescent="0.2">
      <c r="A82" s="39" t="s">
        <v>484</v>
      </c>
      <c r="B82" s="40" t="s">
        <v>485</v>
      </c>
      <c r="C82" s="39" t="s">
        <v>483</v>
      </c>
      <c r="D82" s="39" t="s">
        <v>271</v>
      </c>
    </row>
    <row r="83" spans="1:4" hidden="1" x14ac:dyDescent="0.2">
      <c r="A83" s="39" t="s">
        <v>490</v>
      </c>
      <c r="B83" s="40" t="s">
        <v>491</v>
      </c>
      <c r="C83" s="39" t="s">
        <v>483</v>
      </c>
      <c r="D83" s="39" t="s">
        <v>271</v>
      </c>
    </row>
    <row r="84" spans="1:4" hidden="1" x14ac:dyDescent="0.2">
      <c r="A84" s="39" t="s">
        <v>488</v>
      </c>
      <c r="B84" s="40" t="s">
        <v>489</v>
      </c>
      <c r="C84" s="39" t="s">
        <v>483</v>
      </c>
      <c r="D84" s="39" t="s">
        <v>271</v>
      </c>
    </row>
    <row r="85" spans="1:4" hidden="1" x14ac:dyDescent="0.2">
      <c r="A85" s="39" t="s">
        <v>481</v>
      </c>
      <c r="B85" s="40" t="s">
        <v>482</v>
      </c>
      <c r="C85" s="39" t="s">
        <v>483</v>
      </c>
      <c r="D85" s="39" t="s">
        <v>271</v>
      </c>
    </row>
    <row r="86" spans="1:4" hidden="1" x14ac:dyDescent="0.2">
      <c r="A86" s="39" t="s">
        <v>494</v>
      </c>
      <c r="B86" s="40" t="s">
        <v>495</v>
      </c>
      <c r="C86" s="39" t="s">
        <v>496</v>
      </c>
      <c r="D86" s="39" t="s">
        <v>271</v>
      </c>
    </row>
    <row r="87" spans="1:4" hidden="1" x14ac:dyDescent="0.2">
      <c r="A87" s="39" t="s">
        <v>193</v>
      </c>
      <c r="B87" s="40" t="s">
        <v>194</v>
      </c>
      <c r="C87" s="39" t="s">
        <v>37</v>
      </c>
      <c r="D87" s="41" t="s">
        <v>271</v>
      </c>
    </row>
    <row r="88" spans="1:4" hidden="1" x14ac:dyDescent="0.2">
      <c r="A88" s="39" t="s">
        <v>668</v>
      </c>
      <c r="B88" s="40" t="s">
        <v>669</v>
      </c>
      <c r="C88" s="39" t="s">
        <v>37</v>
      </c>
      <c r="D88" s="39" t="s">
        <v>271</v>
      </c>
    </row>
    <row r="89" spans="1:4" hidden="1" x14ac:dyDescent="0.2">
      <c r="A89" s="39" t="s">
        <v>666</v>
      </c>
      <c r="B89" s="40" t="s">
        <v>667</v>
      </c>
      <c r="C89" s="39" t="s">
        <v>29</v>
      </c>
      <c r="D89" s="39" t="s">
        <v>271</v>
      </c>
    </row>
    <row r="90" spans="1:4" hidden="1" x14ac:dyDescent="0.2">
      <c r="A90" s="39" t="s">
        <v>688</v>
      </c>
      <c r="B90" s="40" t="s">
        <v>689</v>
      </c>
      <c r="C90" s="39" t="s">
        <v>37</v>
      </c>
      <c r="D90" s="39" t="s">
        <v>271</v>
      </c>
    </row>
    <row r="91" spans="1:4" hidden="1" x14ac:dyDescent="0.2">
      <c r="A91" s="39" t="s">
        <v>316</v>
      </c>
      <c r="B91" s="40" t="s">
        <v>317</v>
      </c>
      <c r="C91" s="39" t="s">
        <v>29</v>
      </c>
      <c r="D91" s="39" t="s">
        <v>227</v>
      </c>
    </row>
    <row r="92" spans="1:4" hidden="1" x14ac:dyDescent="0.2">
      <c r="A92" s="39" t="s">
        <v>614</v>
      </c>
      <c r="B92" s="40" t="s">
        <v>615</v>
      </c>
      <c r="C92" s="39" t="s">
        <v>29</v>
      </c>
      <c r="D92" s="39" t="s">
        <v>271</v>
      </c>
    </row>
    <row r="93" spans="1:4" hidden="1" x14ac:dyDescent="0.2">
      <c r="A93" s="39" t="s">
        <v>310</v>
      </c>
      <c r="B93" s="40" t="s">
        <v>311</v>
      </c>
      <c r="C93" s="39" t="s">
        <v>39</v>
      </c>
      <c r="D93" s="39" t="s">
        <v>227</v>
      </c>
    </row>
    <row r="94" spans="1:4" hidden="1" x14ac:dyDescent="0.2">
      <c r="A94" s="39" t="s">
        <v>406</v>
      </c>
      <c r="B94" s="40" t="s">
        <v>407</v>
      </c>
      <c r="C94" s="39" t="s">
        <v>29</v>
      </c>
      <c r="D94" s="39" t="s">
        <v>271</v>
      </c>
    </row>
    <row r="95" spans="1:4" hidden="1" x14ac:dyDescent="0.2">
      <c r="A95" s="39" t="s">
        <v>408</v>
      </c>
      <c r="B95" s="40" t="s">
        <v>409</v>
      </c>
      <c r="C95" s="39" t="s">
        <v>29</v>
      </c>
      <c r="D95" s="39" t="s">
        <v>271</v>
      </c>
    </row>
    <row r="96" spans="1:4" hidden="1" x14ac:dyDescent="0.2">
      <c r="A96" s="39" t="s">
        <v>398</v>
      </c>
      <c r="B96" s="40" t="s">
        <v>399</v>
      </c>
      <c r="C96" s="39" t="s">
        <v>29</v>
      </c>
      <c r="D96" s="39" t="s">
        <v>271</v>
      </c>
    </row>
    <row r="97" spans="1:4" hidden="1" x14ac:dyDescent="0.2">
      <c r="A97" s="39" t="s">
        <v>396</v>
      </c>
      <c r="B97" s="40" t="s">
        <v>397</v>
      </c>
      <c r="C97" s="39" t="s">
        <v>29</v>
      </c>
      <c r="D97" s="39" t="s">
        <v>271</v>
      </c>
    </row>
    <row r="98" spans="1:4" hidden="1" x14ac:dyDescent="0.2">
      <c r="A98" s="39" t="s">
        <v>384</v>
      </c>
      <c r="B98" s="40" t="s">
        <v>385</v>
      </c>
      <c r="C98" s="39" t="s">
        <v>29</v>
      </c>
      <c r="D98" s="39" t="s">
        <v>271</v>
      </c>
    </row>
    <row r="99" spans="1:4" hidden="1" x14ac:dyDescent="0.2">
      <c r="A99" s="39" t="s">
        <v>376</v>
      </c>
      <c r="B99" s="40" t="s">
        <v>377</v>
      </c>
      <c r="C99" s="39" t="s">
        <v>29</v>
      </c>
      <c r="D99" s="39" t="s">
        <v>271</v>
      </c>
    </row>
    <row r="100" spans="1:4" hidden="1" x14ac:dyDescent="0.2">
      <c r="A100" s="39" t="s">
        <v>374</v>
      </c>
      <c r="B100" s="40" t="s">
        <v>375</v>
      </c>
      <c r="C100" s="39" t="s">
        <v>29</v>
      </c>
      <c r="D100" s="39" t="s">
        <v>271</v>
      </c>
    </row>
    <row r="101" spans="1:4" hidden="1" x14ac:dyDescent="0.2">
      <c r="A101" s="39" t="s">
        <v>119</v>
      </c>
      <c r="B101" s="40" t="s">
        <v>120</v>
      </c>
      <c r="C101" s="39" t="s">
        <v>29</v>
      </c>
      <c r="D101" s="39" t="s">
        <v>227</v>
      </c>
    </row>
    <row r="102" spans="1:4" hidden="1" x14ac:dyDescent="0.2">
      <c r="A102" s="39" t="s">
        <v>380</v>
      </c>
      <c r="B102" s="40" t="s">
        <v>381</v>
      </c>
      <c r="C102" s="39" t="s">
        <v>29</v>
      </c>
      <c r="D102" s="39" t="s">
        <v>271</v>
      </c>
    </row>
    <row r="103" spans="1:4" hidden="1" x14ac:dyDescent="0.2">
      <c r="A103" s="39" t="s">
        <v>230</v>
      </c>
      <c r="B103" s="40" t="s">
        <v>71</v>
      </c>
      <c r="C103" s="39" t="s">
        <v>29</v>
      </c>
      <c r="D103" s="39" t="s">
        <v>227</v>
      </c>
    </row>
    <row r="104" spans="1:4" hidden="1" x14ac:dyDescent="0.2">
      <c r="A104" s="39" t="s">
        <v>764</v>
      </c>
      <c r="B104" s="40" t="s">
        <v>765</v>
      </c>
      <c r="C104" s="39" t="s">
        <v>29</v>
      </c>
      <c r="D104" s="39" t="s">
        <v>271</v>
      </c>
    </row>
    <row r="105" spans="1:4" hidden="1" x14ac:dyDescent="0.2">
      <c r="A105" s="39" t="s">
        <v>382</v>
      </c>
      <c r="B105" s="40" t="s">
        <v>383</v>
      </c>
      <c r="C105" s="39" t="s">
        <v>29</v>
      </c>
      <c r="D105" s="39" t="s">
        <v>271</v>
      </c>
    </row>
    <row r="106" spans="1:4" hidden="1" x14ac:dyDescent="0.2">
      <c r="A106" s="39" t="s">
        <v>711</v>
      </c>
      <c r="B106" s="40" t="s">
        <v>712</v>
      </c>
      <c r="C106" s="39" t="s">
        <v>29</v>
      </c>
      <c r="D106" s="39" t="s">
        <v>271</v>
      </c>
    </row>
    <row r="107" spans="1:4" hidden="1" x14ac:dyDescent="0.2">
      <c r="A107" s="39" t="s">
        <v>117</v>
      </c>
      <c r="B107" s="40" t="s">
        <v>118</v>
      </c>
      <c r="C107" s="39" t="s">
        <v>29</v>
      </c>
      <c r="D107" s="39" t="s">
        <v>271</v>
      </c>
    </row>
    <row r="108" spans="1:4" hidden="1" x14ac:dyDescent="0.2">
      <c r="A108" s="39" t="s">
        <v>732</v>
      </c>
      <c r="B108" s="40" t="s">
        <v>733</v>
      </c>
      <c r="C108" s="39" t="s">
        <v>37</v>
      </c>
      <c r="D108" s="39" t="s">
        <v>271</v>
      </c>
    </row>
    <row r="109" spans="1:4" hidden="1" x14ac:dyDescent="0.2">
      <c r="A109" s="39" t="s">
        <v>622</v>
      </c>
      <c r="B109" s="40" t="s">
        <v>623</v>
      </c>
      <c r="C109" s="39" t="s">
        <v>37</v>
      </c>
      <c r="D109" s="39" t="s">
        <v>271</v>
      </c>
    </row>
    <row r="110" spans="1:4" hidden="1" x14ac:dyDescent="0.2">
      <c r="A110" s="39" t="s">
        <v>610</v>
      </c>
      <c r="B110" s="40" t="s">
        <v>611</v>
      </c>
      <c r="C110" s="39" t="s">
        <v>37</v>
      </c>
      <c r="D110" s="39" t="s">
        <v>271</v>
      </c>
    </row>
    <row r="111" spans="1:4" hidden="1" x14ac:dyDescent="0.2">
      <c r="A111" s="39" t="s">
        <v>628</v>
      </c>
      <c r="B111" s="40" t="s">
        <v>629</v>
      </c>
      <c r="C111" s="39" t="s">
        <v>37</v>
      </c>
      <c r="D111" s="39" t="s">
        <v>271</v>
      </c>
    </row>
    <row r="112" spans="1:4" hidden="1" x14ac:dyDescent="0.2">
      <c r="A112" s="39" t="s">
        <v>176</v>
      </c>
      <c r="B112" s="40" t="s">
        <v>177</v>
      </c>
      <c r="C112" s="39" t="s">
        <v>37</v>
      </c>
      <c r="D112" s="39" t="s">
        <v>271</v>
      </c>
    </row>
    <row r="113" spans="1:4" hidden="1" x14ac:dyDescent="0.2">
      <c r="A113" s="39" t="s">
        <v>503</v>
      </c>
      <c r="B113" s="40" t="s">
        <v>504</v>
      </c>
      <c r="C113" s="39" t="s">
        <v>37</v>
      </c>
      <c r="D113" s="39" t="s">
        <v>271</v>
      </c>
    </row>
    <row r="114" spans="1:4" hidden="1" x14ac:dyDescent="0.2">
      <c r="A114" s="39" t="s">
        <v>174</v>
      </c>
      <c r="B114" s="40" t="s">
        <v>175</v>
      </c>
      <c r="C114" s="39" t="s">
        <v>29</v>
      </c>
      <c r="D114" s="39" t="s">
        <v>227</v>
      </c>
    </row>
    <row r="115" spans="1:4" hidden="1" x14ac:dyDescent="0.2">
      <c r="A115" s="39" t="s">
        <v>715</v>
      </c>
      <c r="B115" s="40" t="s">
        <v>716</v>
      </c>
      <c r="C115" s="39" t="s">
        <v>29</v>
      </c>
      <c r="D115" s="39" t="s">
        <v>271</v>
      </c>
    </row>
    <row r="116" spans="1:4" hidden="1" x14ac:dyDescent="0.2">
      <c r="A116" s="39" t="s">
        <v>32</v>
      </c>
      <c r="B116" s="40" t="s">
        <v>33</v>
      </c>
      <c r="C116" s="39" t="s">
        <v>29</v>
      </c>
      <c r="D116" s="39" t="s">
        <v>271</v>
      </c>
    </row>
    <row r="117" spans="1:4" hidden="1" x14ac:dyDescent="0.2">
      <c r="A117" s="39" t="s">
        <v>121</v>
      </c>
      <c r="B117" s="40" t="s">
        <v>122</v>
      </c>
      <c r="C117" s="39" t="s">
        <v>29</v>
      </c>
      <c r="D117" s="39" t="s">
        <v>227</v>
      </c>
    </row>
    <row r="118" spans="1:4" hidden="1" x14ac:dyDescent="0.2">
      <c r="A118" s="39" t="s">
        <v>215</v>
      </c>
      <c r="B118" s="40" t="s">
        <v>268</v>
      </c>
      <c r="C118" s="39" t="s">
        <v>37</v>
      </c>
      <c r="D118" s="39" t="s">
        <v>227</v>
      </c>
    </row>
    <row r="119" spans="1:4" hidden="1" x14ac:dyDescent="0.2">
      <c r="A119" s="39" t="s">
        <v>257</v>
      </c>
      <c r="B119" s="40" t="s">
        <v>258</v>
      </c>
      <c r="C119" s="39" t="s">
        <v>29</v>
      </c>
      <c r="D119" s="39" t="s">
        <v>271</v>
      </c>
    </row>
    <row r="120" spans="1:4" hidden="1" x14ac:dyDescent="0.2">
      <c r="A120" s="39" t="s">
        <v>142</v>
      </c>
      <c r="B120" s="40" t="s">
        <v>143</v>
      </c>
      <c r="C120" s="39" t="s">
        <v>29</v>
      </c>
      <c r="D120" s="39" t="s">
        <v>271</v>
      </c>
    </row>
    <row r="121" spans="1:4" hidden="1" x14ac:dyDescent="0.2">
      <c r="A121" s="39" t="s">
        <v>579</v>
      </c>
      <c r="B121" s="40" t="s">
        <v>580</v>
      </c>
      <c r="C121" s="39" t="s">
        <v>29</v>
      </c>
      <c r="D121" s="39" t="s">
        <v>271</v>
      </c>
    </row>
    <row r="122" spans="1:4" hidden="1" x14ac:dyDescent="0.2">
      <c r="A122" s="39" t="s">
        <v>362</v>
      </c>
      <c r="B122" s="40" t="s">
        <v>363</v>
      </c>
      <c r="C122" s="39" t="s">
        <v>39</v>
      </c>
      <c r="D122" s="39" t="s">
        <v>271</v>
      </c>
    </row>
    <row r="123" spans="1:4" hidden="1" x14ac:dyDescent="0.2">
      <c r="A123" s="39" t="s">
        <v>187</v>
      </c>
      <c r="B123" s="40" t="s">
        <v>188</v>
      </c>
      <c r="C123" s="39" t="s">
        <v>29</v>
      </c>
      <c r="D123" s="39" t="s">
        <v>271</v>
      </c>
    </row>
    <row r="124" spans="1:4" hidden="1" x14ac:dyDescent="0.2">
      <c r="A124" s="39" t="s">
        <v>730</v>
      </c>
      <c r="B124" s="40" t="s">
        <v>731</v>
      </c>
      <c r="C124" s="39" t="s">
        <v>29</v>
      </c>
      <c r="D124" s="39" t="s">
        <v>271</v>
      </c>
    </row>
    <row r="125" spans="1:4" hidden="1" x14ac:dyDescent="0.2">
      <c r="A125" s="39" t="s">
        <v>390</v>
      </c>
      <c r="B125" s="40" t="s">
        <v>391</v>
      </c>
      <c r="C125" s="39" t="s">
        <v>29</v>
      </c>
      <c r="D125" s="39" t="s">
        <v>271</v>
      </c>
    </row>
    <row r="126" spans="1:4" hidden="1" x14ac:dyDescent="0.2">
      <c r="A126" s="39" t="s">
        <v>195</v>
      </c>
      <c r="B126" s="40" t="s">
        <v>196</v>
      </c>
      <c r="C126" s="39" t="s">
        <v>29</v>
      </c>
      <c r="D126" s="39" t="s">
        <v>271</v>
      </c>
    </row>
    <row r="127" spans="1:4" hidden="1" x14ac:dyDescent="0.2">
      <c r="A127" s="39" t="s">
        <v>72</v>
      </c>
      <c r="B127" s="40" t="s">
        <v>73</v>
      </c>
      <c r="C127" s="39" t="s">
        <v>29</v>
      </c>
      <c r="D127" s="39" t="s">
        <v>227</v>
      </c>
    </row>
    <row r="128" spans="1:4" hidden="1" x14ac:dyDescent="0.2">
      <c r="A128" s="39" t="s">
        <v>644</v>
      </c>
      <c r="B128" s="40" t="s">
        <v>645</v>
      </c>
      <c r="C128" s="39" t="s">
        <v>29</v>
      </c>
      <c r="D128" s="39" t="s">
        <v>271</v>
      </c>
    </row>
    <row r="129" spans="1:5" hidden="1" x14ac:dyDescent="0.2">
      <c r="A129" s="39" t="s">
        <v>248</v>
      </c>
      <c r="B129" s="40" t="s">
        <v>249</v>
      </c>
      <c r="C129" s="39" t="s">
        <v>29</v>
      </c>
      <c r="D129" s="39" t="s">
        <v>227</v>
      </c>
    </row>
    <row r="130" spans="1:5" hidden="1" x14ac:dyDescent="0.2">
      <c r="A130" s="41" t="s">
        <v>505</v>
      </c>
      <c r="B130" s="40" t="s">
        <v>506</v>
      </c>
      <c r="C130" s="39" t="s">
        <v>37</v>
      </c>
      <c r="D130" s="39" t="s">
        <v>271</v>
      </c>
    </row>
    <row r="131" spans="1:5" hidden="1" x14ac:dyDescent="0.2">
      <c r="A131" s="39" t="s">
        <v>497</v>
      </c>
      <c r="B131" s="40" t="s">
        <v>498</v>
      </c>
      <c r="C131" s="39" t="s">
        <v>27</v>
      </c>
      <c r="D131" s="39" t="s">
        <v>271</v>
      </c>
    </row>
    <row r="132" spans="1:5" hidden="1" x14ac:dyDescent="0.2">
      <c r="A132" s="39" t="s">
        <v>280</v>
      </c>
      <c r="B132" s="40" t="s">
        <v>281</v>
      </c>
      <c r="C132" s="39" t="s">
        <v>37</v>
      </c>
      <c r="D132" s="39" t="s">
        <v>271</v>
      </c>
    </row>
    <row r="133" spans="1:5" hidden="1" x14ac:dyDescent="0.2">
      <c r="A133" s="39" t="s">
        <v>734</v>
      </c>
      <c r="B133" s="40" t="s">
        <v>735</v>
      </c>
      <c r="C133" s="39" t="s">
        <v>29</v>
      </c>
      <c r="D133" s="39" t="s">
        <v>271</v>
      </c>
    </row>
    <row r="134" spans="1:5" hidden="1" x14ac:dyDescent="0.2">
      <c r="A134" s="39" t="s">
        <v>567</v>
      </c>
      <c r="B134" s="40" t="s">
        <v>568</v>
      </c>
      <c r="C134" s="39" t="s">
        <v>37</v>
      </c>
      <c r="D134" s="39" t="s">
        <v>271</v>
      </c>
    </row>
    <row r="135" spans="1:5" hidden="1" x14ac:dyDescent="0.2">
      <c r="A135" s="39" t="s">
        <v>253</v>
      </c>
      <c r="B135" s="40" t="s">
        <v>254</v>
      </c>
      <c r="C135" s="39" t="s">
        <v>29</v>
      </c>
      <c r="D135" s="39" t="s">
        <v>227</v>
      </c>
    </row>
    <row r="136" spans="1:5" hidden="1" x14ac:dyDescent="0.2">
      <c r="A136" s="39" t="s">
        <v>74</v>
      </c>
      <c r="B136" s="40" t="s">
        <v>75</v>
      </c>
      <c r="C136" s="39" t="s">
        <v>37</v>
      </c>
      <c r="D136" s="39" t="s">
        <v>271</v>
      </c>
      <c r="E136" s="6"/>
    </row>
    <row r="137" spans="1:5" hidden="1" x14ac:dyDescent="0.2">
      <c r="A137" s="39" t="s">
        <v>736</v>
      </c>
      <c r="B137" s="40" t="s">
        <v>737</v>
      </c>
      <c r="C137" s="39" t="s">
        <v>29</v>
      </c>
      <c r="D137" s="39" t="s">
        <v>271</v>
      </c>
      <c r="E137" s="6"/>
    </row>
    <row r="138" spans="1:5" hidden="1" x14ac:dyDescent="0.2">
      <c r="A138" s="39" t="s">
        <v>69</v>
      </c>
      <c r="B138" s="40" t="s">
        <v>70</v>
      </c>
      <c r="C138" s="39" t="s">
        <v>37</v>
      </c>
      <c r="D138" s="39" t="s">
        <v>271</v>
      </c>
    </row>
    <row r="139" spans="1:5" hidden="1" x14ac:dyDescent="0.2">
      <c r="A139" s="39" t="s">
        <v>727</v>
      </c>
      <c r="B139" s="40" t="s">
        <v>728</v>
      </c>
      <c r="C139" s="39" t="s">
        <v>29</v>
      </c>
      <c r="D139" s="39" t="s">
        <v>271</v>
      </c>
    </row>
    <row r="140" spans="1:5" hidden="1" x14ac:dyDescent="0.2">
      <c r="A140" s="39" t="s">
        <v>606</v>
      </c>
      <c r="B140" s="40" t="s">
        <v>607</v>
      </c>
      <c r="C140" s="39" t="s">
        <v>29</v>
      </c>
      <c r="D140" s="30" t="s">
        <v>227</v>
      </c>
    </row>
    <row r="141" spans="1:5" hidden="1" x14ac:dyDescent="0.2">
      <c r="A141" s="39" t="s">
        <v>429</v>
      </c>
      <c r="B141" s="40" t="s">
        <v>430</v>
      </c>
      <c r="C141" s="39" t="s">
        <v>29</v>
      </c>
      <c r="D141" s="39" t="s">
        <v>271</v>
      </c>
    </row>
    <row r="142" spans="1:5" hidden="1" x14ac:dyDescent="0.2">
      <c r="A142" s="39" t="s">
        <v>782</v>
      </c>
      <c r="B142" s="40" t="s">
        <v>783</v>
      </c>
      <c r="C142" s="39" t="s">
        <v>29</v>
      </c>
      <c r="D142" s="39" t="s">
        <v>271</v>
      </c>
    </row>
    <row r="143" spans="1:5" hidden="1" x14ac:dyDescent="0.2">
      <c r="A143" s="41" t="s">
        <v>594</v>
      </c>
      <c r="B143" s="40" t="s">
        <v>595</v>
      </c>
      <c r="C143" s="39" t="s">
        <v>29</v>
      </c>
      <c r="D143" s="39" t="s">
        <v>271</v>
      </c>
    </row>
    <row r="144" spans="1:5" hidden="1" x14ac:dyDescent="0.2">
      <c r="A144" s="39" t="s">
        <v>80</v>
      </c>
      <c r="B144" s="40" t="s">
        <v>81</v>
      </c>
      <c r="C144" s="39" t="s">
        <v>37</v>
      </c>
      <c r="D144" s="39" t="s">
        <v>227</v>
      </c>
    </row>
    <row r="145" spans="1:4" hidden="1" x14ac:dyDescent="0.2">
      <c r="A145" s="39" t="s">
        <v>634</v>
      </c>
      <c r="B145" s="40" t="s">
        <v>635</v>
      </c>
      <c r="C145" s="39" t="s">
        <v>29</v>
      </c>
      <c r="D145" s="39" t="s">
        <v>271</v>
      </c>
    </row>
    <row r="146" spans="1:4" hidden="1" x14ac:dyDescent="0.2">
      <c r="A146" s="39" t="s">
        <v>551</v>
      </c>
      <c r="B146" s="40" t="s">
        <v>552</v>
      </c>
      <c r="C146" s="39" t="s">
        <v>29</v>
      </c>
      <c r="D146" s="39" t="s">
        <v>271</v>
      </c>
    </row>
    <row r="147" spans="1:4" hidden="1" x14ac:dyDescent="0.2">
      <c r="A147" s="39" t="s">
        <v>592</v>
      </c>
      <c r="B147" s="40" t="s">
        <v>593</v>
      </c>
      <c r="C147" s="39" t="s">
        <v>29</v>
      </c>
      <c r="D147" s="39" t="s">
        <v>271</v>
      </c>
    </row>
    <row r="148" spans="1:4" hidden="1" x14ac:dyDescent="0.2">
      <c r="A148" s="41" t="s">
        <v>541</v>
      </c>
      <c r="B148" s="40" t="s">
        <v>542</v>
      </c>
      <c r="C148" s="39" t="s">
        <v>37</v>
      </c>
      <c r="D148" s="39" t="s">
        <v>271</v>
      </c>
    </row>
    <row r="149" spans="1:4" hidden="1" x14ac:dyDescent="0.2">
      <c r="A149" s="39" t="s">
        <v>144</v>
      </c>
      <c r="B149" s="40" t="s">
        <v>145</v>
      </c>
      <c r="C149" s="39" t="s">
        <v>37</v>
      </c>
      <c r="D149" s="39" t="s">
        <v>271</v>
      </c>
    </row>
    <row r="150" spans="1:4" hidden="1" x14ac:dyDescent="0.2">
      <c r="A150" s="39" t="s">
        <v>340</v>
      </c>
      <c r="B150" s="40" t="s">
        <v>341</v>
      </c>
      <c r="C150" s="39" t="s">
        <v>39</v>
      </c>
      <c r="D150" s="39" t="s">
        <v>271</v>
      </c>
    </row>
    <row r="151" spans="1:4" hidden="1" x14ac:dyDescent="0.2">
      <c r="A151" s="39" t="s">
        <v>228</v>
      </c>
      <c r="B151" s="40" t="s">
        <v>229</v>
      </c>
      <c r="C151" s="39" t="s">
        <v>39</v>
      </c>
      <c r="D151" s="41" t="s">
        <v>227</v>
      </c>
    </row>
    <row r="152" spans="1:4" hidden="1" x14ac:dyDescent="0.2">
      <c r="A152" s="39" t="s">
        <v>261</v>
      </c>
      <c r="B152" s="40" t="s">
        <v>262</v>
      </c>
      <c r="C152" s="39" t="s">
        <v>37</v>
      </c>
      <c r="D152" s="39" t="s">
        <v>227</v>
      </c>
    </row>
    <row r="153" spans="1:4" hidden="1" x14ac:dyDescent="0.2">
      <c r="A153" s="41" t="s">
        <v>537</v>
      </c>
      <c r="B153" s="40" t="s">
        <v>538</v>
      </c>
      <c r="C153" s="39" t="s">
        <v>29</v>
      </c>
      <c r="D153" s="39" t="s">
        <v>271</v>
      </c>
    </row>
    <row r="154" spans="1:4" hidden="1" x14ac:dyDescent="0.2">
      <c r="A154" s="39" t="s">
        <v>543</v>
      </c>
      <c r="B154" s="40" t="s">
        <v>544</v>
      </c>
      <c r="C154" s="39" t="s">
        <v>29</v>
      </c>
      <c r="D154" s="39" t="s">
        <v>271</v>
      </c>
    </row>
    <row r="155" spans="1:4" hidden="1" x14ac:dyDescent="0.2">
      <c r="A155" s="39" t="s">
        <v>412</v>
      </c>
      <c r="B155" s="40" t="s">
        <v>413</v>
      </c>
      <c r="C155" s="39" t="s">
        <v>37</v>
      </c>
      <c r="D155" s="39" t="s">
        <v>271</v>
      </c>
    </row>
    <row r="156" spans="1:4" hidden="1" x14ac:dyDescent="0.2">
      <c r="A156" s="39" t="s">
        <v>744</v>
      </c>
      <c r="B156" s="40" t="s">
        <v>745</v>
      </c>
      <c r="C156" s="39" t="s">
        <v>37</v>
      </c>
      <c r="D156" s="39" t="s">
        <v>271</v>
      </c>
    </row>
    <row r="157" spans="1:4" hidden="1" x14ac:dyDescent="0.2">
      <c r="A157" s="39" t="s">
        <v>742</v>
      </c>
      <c r="B157" s="40" t="s">
        <v>743</v>
      </c>
      <c r="C157" s="39" t="s">
        <v>29</v>
      </c>
      <c r="D157" s="39" t="s">
        <v>271</v>
      </c>
    </row>
    <row r="158" spans="1:4" hidden="1" x14ac:dyDescent="0.2">
      <c r="A158" s="39" t="s">
        <v>392</v>
      </c>
      <c r="B158" s="40" t="s">
        <v>393</v>
      </c>
      <c r="C158" s="39" t="s">
        <v>39</v>
      </c>
      <c r="D158" s="39" t="s">
        <v>271</v>
      </c>
    </row>
    <row r="159" spans="1:4" hidden="1" x14ac:dyDescent="0.2">
      <c r="A159" s="41" t="s">
        <v>499</v>
      </c>
      <c r="B159" s="40" t="s">
        <v>500</v>
      </c>
      <c r="C159" s="39" t="s">
        <v>37</v>
      </c>
      <c r="D159" s="39" t="s">
        <v>271</v>
      </c>
    </row>
    <row r="160" spans="1:4" hidden="1" x14ac:dyDescent="0.2">
      <c r="A160" s="39" t="s">
        <v>330</v>
      </c>
      <c r="B160" s="40" t="s">
        <v>331</v>
      </c>
      <c r="C160" s="39" t="s">
        <v>332</v>
      </c>
      <c r="D160" s="39" t="s">
        <v>271</v>
      </c>
    </row>
    <row r="161" spans="1:4" hidden="1" x14ac:dyDescent="0.2">
      <c r="A161" s="39" t="s">
        <v>638</v>
      </c>
      <c r="B161" s="40" t="s">
        <v>639</v>
      </c>
      <c r="C161" s="39" t="s">
        <v>29</v>
      </c>
      <c r="D161" s="39" t="s">
        <v>271</v>
      </c>
    </row>
    <row r="162" spans="1:4" hidden="1" x14ac:dyDescent="0.2">
      <c r="A162" s="39" t="s">
        <v>656</v>
      </c>
      <c r="B162" s="40" t="s">
        <v>657</v>
      </c>
      <c r="C162" s="39" t="s">
        <v>29</v>
      </c>
      <c r="D162" s="39" t="s">
        <v>271</v>
      </c>
    </row>
    <row r="163" spans="1:4" hidden="1" x14ac:dyDescent="0.2">
      <c r="A163" s="39" t="s">
        <v>648</v>
      </c>
      <c r="B163" s="40" t="s">
        <v>649</v>
      </c>
      <c r="C163" s="39" t="s">
        <v>29</v>
      </c>
      <c r="D163" s="39" t="s">
        <v>271</v>
      </c>
    </row>
    <row r="164" spans="1:4" hidden="1" x14ac:dyDescent="0.2">
      <c r="A164" s="39" t="s">
        <v>545</v>
      </c>
      <c r="B164" s="40" t="s">
        <v>546</v>
      </c>
      <c r="C164" s="39" t="s">
        <v>29</v>
      </c>
      <c r="D164" s="39" t="s">
        <v>271</v>
      </c>
    </row>
    <row r="165" spans="1:4" hidden="1" x14ac:dyDescent="0.2">
      <c r="A165" s="39" t="s">
        <v>632</v>
      </c>
      <c r="B165" s="40" t="s">
        <v>633</v>
      </c>
      <c r="C165" s="39" t="s">
        <v>29</v>
      </c>
      <c r="D165" s="39" t="s">
        <v>271</v>
      </c>
    </row>
    <row r="166" spans="1:4" hidden="1" x14ac:dyDescent="0.2">
      <c r="A166" s="39" t="s">
        <v>474</v>
      </c>
      <c r="B166" s="40" t="s">
        <v>475</v>
      </c>
      <c r="C166" s="39" t="s">
        <v>29</v>
      </c>
      <c r="D166" s="39" t="s">
        <v>271</v>
      </c>
    </row>
    <row r="167" spans="1:4" hidden="1" x14ac:dyDescent="0.2">
      <c r="A167" s="39" t="s">
        <v>456</v>
      </c>
      <c r="B167" s="40" t="s">
        <v>457</v>
      </c>
      <c r="C167" s="39" t="s">
        <v>37</v>
      </c>
      <c r="D167" s="39" t="s">
        <v>271</v>
      </c>
    </row>
    <row r="168" spans="1:4" hidden="1" x14ac:dyDescent="0.2">
      <c r="A168" s="39" t="s">
        <v>458</v>
      </c>
      <c r="B168" s="40" t="s">
        <v>459</v>
      </c>
      <c r="C168" s="39" t="s">
        <v>39</v>
      </c>
      <c r="D168" s="39" t="s">
        <v>271</v>
      </c>
    </row>
    <row r="169" spans="1:4" hidden="1" x14ac:dyDescent="0.2">
      <c r="A169" s="39" t="s">
        <v>766</v>
      </c>
      <c r="B169" s="40" t="s">
        <v>767</v>
      </c>
      <c r="C169" s="39" t="s">
        <v>37</v>
      </c>
      <c r="D169" s="39" t="s">
        <v>271</v>
      </c>
    </row>
    <row r="170" spans="1:4" hidden="1" x14ac:dyDescent="0.2">
      <c r="A170" s="39" t="s">
        <v>372</v>
      </c>
      <c r="B170" s="40" t="s">
        <v>373</v>
      </c>
      <c r="C170" s="39" t="s">
        <v>29</v>
      </c>
      <c r="D170" s="39" t="s">
        <v>271</v>
      </c>
    </row>
    <row r="171" spans="1:4" hidden="1" x14ac:dyDescent="0.2">
      <c r="A171" s="39" t="s">
        <v>437</v>
      </c>
      <c r="B171" s="40" t="s">
        <v>438</v>
      </c>
      <c r="C171" s="39" t="s">
        <v>29</v>
      </c>
      <c r="D171" s="39" t="s">
        <v>271</v>
      </c>
    </row>
    <row r="172" spans="1:4" hidden="1" x14ac:dyDescent="0.2">
      <c r="A172" s="39" t="s">
        <v>337</v>
      </c>
      <c r="B172" s="40" t="s">
        <v>338</v>
      </c>
      <c r="C172" s="39" t="s">
        <v>339</v>
      </c>
      <c r="D172" s="39" t="s">
        <v>271</v>
      </c>
    </row>
    <row r="173" spans="1:4" hidden="1" x14ac:dyDescent="0.2">
      <c r="A173" s="39" t="s">
        <v>642</v>
      </c>
      <c r="B173" s="40" t="s">
        <v>643</v>
      </c>
      <c r="C173" s="39" t="s">
        <v>29</v>
      </c>
      <c r="D173" s="39" t="s">
        <v>271</v>
      </c>
    </row>
    <row r="174" spans="1:4" hidden="1" x14ac:dyDescent="0.2">
      <c r="A174" s="39" t="s">
        <v>704</v>
      </c>
      <c r="B174" s="40" t="s">
        <v>705</v>
      </c>
      <c r="C174" s="39" t="s">
        <v>29</v>
      </c>
      <c r="D174" s="39" t="s">
        <v>271</v>
      </c>
    </row>
    <row r="175" spans="1:4" hidden="1" x14ac:dyDescent="0.2">
      <c r="A175" s="39" t="s">
        <v>738</v>
      </c>
      <c r="B175" s="40" t="s">
        <v>739</v>
      </c>
      <c r="C175" s="39" t="s">
        <v>29</v>
      </c>
      <c r="D175" s="39" t="s">
        <v>271</v>
      </c>
    </row>
    <row r="176" spans="1:4" hidden="1" x14ac:dyDescent="0.2">
      <c r="A176" s="39" t="s">
        <v>843</v>
      </c>
      <c r="B176" s="40" t="s">
        <v>844</v>
      </c>
      <c r="C176" s="39" t="s">
        <v>37</v>
      </c>
      <c r="D176" s="39" t="s">
        <v>227</v>
      </c>
    </row>
    <row r="177" spans="1:5" hidden="1" x14ac:dyDescent="0.2">
      <c r="A177" s="39" t="s">
        <v>165</v>
      </c>
      <c r="B177" s="40" t="s">
        <v>146</v>
      </c>
      <c r="C177" s="39" t="s">
        <v>29</v>
      </c>
      <c r="D177" s="39" t="s">
        <v>271</v>
      </c>
    </row>
    <row r="178" spans="1:5" hidden="1" x14ac:dyDescent="0.2">
      <c r="A178" s="39" t="s">
        <v>672</v>
      </c>
      <c r="B178" s="40" t="s">
        <v>673</v>
      </c>
      <c r="C178" s="39" t="s">
        <v>29</v>
      </c>
      <c r="D178" s="39" t="s">
        <v>271</v>
      </c>
    </row>
    <row r="179" spans="1:5" hidden="1" x14ac:dyDescent="0.2">
      <c r="A179" s="39" t="s">
        <v>151</v>
      </c>
      <c r="B179" s="40" t="s">
        <v>152</v>
      </c>
      <c r="C179" s="39" t="s">
        <v>29</v>
      </c>
      <c r="D179" s="39" t="s">
        <v>271</v>
      </c>
    </row>
    <row r="180" spans="1:5" hidden="1" x14ac:dyDescent="0.2">
      <c r="A180" s="39" t="s">
        <v>153</v>
      </c>
      <c r="B180" s="40" t="s">
        <v>154</v>
      </c>
      <c r="C180" s="39" t="s">
        <v>29</v>
      </c>
      <c r="D180" s="39" t="s">
        <v>271</v>
      </c>
    </row>
    <row r="181" spans="1:5" hidden="1" x14ac:dyDescent="0.2">
      <c r="A181" s="39" t="s">
        <v>50</v>
      </c>
      <c r="B181" s="40" t="s">
        <v>51</v>
      </c>
      <c r="C181" s="39" t="s">
        <v>29</v>
      </c>
      <c r="D181" s="39" t="s">
        <v>227</v>
      </c>
    </row>
    <row r="182" spans="1:5" hidden="1" x14ac:dyDescent="0.2">
      <c r="A182" s="39" t="s">
        <v>155</v>
      </c>
      <c r="B182" s="40" t="s">
        <v>156</v>
      </c>
      <c r="C182" s="39" t="s">
        <v>29</v>
      </c>
      <c r="D182" s="39" t="s">
        <v>271</v>
      </c>
      <c r="E182" s="34" t="s">
        <v>223</v>
      </c>
    </row>
    <row r="183" spans="1:5" hidden="1" x14ac:dyDescent="0.2">
      <c r="A183" s="39" t="s">
        <v>52</v>
      </c>
      <c r="B183" s="40" t="s">
        <v>53</v>
      </c>
      <c r="C183" s="39" t="s">
        <v>29</v>
      </c>
      <c r="D183" s="39" t="s">
        <v>227</v>
      </c>
    </row>
    <row r="184" spans="1:5" hidden="1" x14ac:dyDescent="0.2">
      <c r="A184" s="39" t="s">
        <v>772</v>
      </c>
      <c r="B184" s="40" t="s">
        <v>773</v>
      </c>
      <c r="C184" s="39" t="s">
        <v>37</v>
      </c>
      <c r="D184" s="41" t="s">
        <v>227</v>
      </c>
    </row>
    <row r="185" spans="1:5" hidden="1" x14ac:dyDescent="0.2">
      <c r="A185" s="39" t="s">
        <v>346</v>
      </c>
      <c r="B185" s="40" t="s">
        <v>347</v>
      </c>
      <c r="C185" s="39" t="s">
        <v>29</v>
      </c>
      <c r="D185" s="39" t="s">
        <v>271</v>
      </c>
    </row>
    <row r="186" spans="1:5" hidden="1" x14ac:dyDescent="0.2">
      <c r="A186" s="39" t="s">
        <v>740</v>
      </c>
      <c r="B186" s="40" t="s">
        <v>741</v>
      </c>
      <c r="C186" s="39" t="s">
        <v>29</v>
      </c>
      <c r="D186" s="39" t="s">
        <v>271</v>
      </c>
    </row>
    <row r="187" spans="1:5" hidden="1" x14ac:dyDescent="0.2">
      <c r="A187" s="39" t="s">
        <v>197</v>
      </c>
      <c r="B187" s="40" t="s">
        <v>198</v>
      </c>
      <c r="C187" s="39" t="s">
        <v>29</v>
      </c>
      <c r="D187" s="39" t="s">
        <v>271</v>
      </c>
    </row>
    <row r="188" spans="1:5" hidden="1" x14ac:dyDescent="0.2">
      <c r="A188" s="39" t="s">
        <v>646</v>
      </c>
      <c r="B188" s="40" t="s">
        <v>647</v>
      </c>
      <c r="C188" s="39" t="s">
        <v>29</v>
      </c>
      <c r="D188" s="39" t="s">
        <v>271</v>
      </c>
    </row>
    <row r="189" spans="1:5" hidden="1" x14ac:dyDescent="0.2">
      <c r="A189" s="39" t="s">
        <v>507</v>
      </c>
      <c r="B189" s="40" t="s">
        <v>508</v>
      </c>
      <c r="C189" s="39" t="s">
        <v>37</v>
      </c>
      <c r="D189" s="39" t="s">
        <v>227</v>
      </c>
    </row>
    <row r="190" spans="1:5" hidden="1" x14ac:dyDescent="0.2">
      <c r="A190" s="39" t="s">
        <v>76</v>
      </c>
      <c r="B190" s="40" t="s">
        <v>77</v>
      </c>
      <c r="C190" s="39" t="s">
        <v>29</v>
      </c>
      <c r="D190" s="39" t="s">
        <v>271</v>
      </c>
    </row>
    <row r="191" spans="1:5" hidden="1" x14ac:dyDescent="0.2">
      <c r="A191" s="41" t="s">
        <v>585</v>
      </c>
      <c r="B191" s="40" t="s">
        <v>586</v>
      </c>
      <c r="C191" s="39" t="s">
        <v>37</v>
      </c>
      <c r="D191" s="39" t="s">
        <v>271</v>
      </c>
    </row>
    <row r="192" spans="1:5" hidden="1" x14ac:dyDescent="0.2">
      <c r="A192" s="39" t="s">
        <v>251</v>
      </c>
      <c r="B192" s="40" t="s">
        <v>252</v>
      </c>
      <c r="C192" s="39" t="s">
        <v>29</v>
      </c>
      <c r="D192" s="39" t="s">
        <v>227</v>
      </c>
    </row>
    <row r="193" spans="1:4" hidden="1" x14ac:dyDescent="0.2">
      <c r="A193" s="41" t="s">
        <v>297</v>
      </c>
      <c r="B193" s="40" t="s">
        <v>296</v>
      </c>
      <c r="C193" s="39" t="s">
        <v>29</v>
      </c>
      <c r="D193" s="39" t="s">
        <v>227</v>
      </c>
    </row>
    <row r="194" spans="1:4" hidden="1" x14ac:dyDescent="0.2">
      <c r="A194" s="39" t="s">
        <v>439</v>
      </c>
      <c r="B194" s="40" t="s">
        <v>440</v>
      </c>
      <c r="C194" s="39" t="s">
        <v>441</v>
      </c>
      <c r="D194" s="39" t="s">
        <v>271</v>
      </c>
    </row>
    <row r="195" spans="1:4" hidden="1" x14ac:dyDescent="0.2">
      <c r="A195" s="39" t="s">
        <v>444</v>
      </c>
      <c r="B195" s="40" t="s">
        <v>445</v>
      </c>
      <c r="C195" s="39" t="s">
        <v>39</v>
      </c>
      <c r="D195" s="39" t="s">
        <v>271</v>
      </c>
    </row>
    <row r="196" spans="1:4" hidden="1" x14ac:dyDescent="0.2">
      <c r="A196" s="39" t="s">
        <v>452</v>
      </c>
      <c r="B196" s="40" t="s">
        <v>453</v>
      </c>
      <c r="C196" s="39" t="s">
        <v>37</v>
      </c>
      <c r="D196" s="39" t="s">
        <v>271</v>
      </c>
    </row>
    <row r="197" spans="1:4" hidden="1" x14ac:dyDescent="0.2">
      <c r="A197" s="39" t="s">
        <v>723</v>
      </c>
      <c r="B197" s="40" t="s">
        <v>724</v>
      </c>
      <c r="C197" s="39" t="s">
        <v>29</v>
      </c>
      <c r="D197" s="39" t="s">
        <v>271</v>
      </c>
    </row>
    <row r="198" spans="1:4" hidden="1" x14ac:dyDescent="0.2">
      <c r="A198" s="39" t="s">
        <v>90</v>
      </c>
      <c r="B198" s="40" t="s">
        <v>91</v>
      </c>
      <c r="C198" s="39" t="s">
        <v>29</v>
      </c>
      <c r="D198" s="39" t="s">
        <v>227</v>
      </c>
    </row>
    <row r="199" spans="1:4" hidden="1" x14ac:dyDescent="0.2">
      <c r="A199" s="39" t="s">
        <v>650</v>
      </c>
      <c r="B199" s="40" t="s">
        <v>651</v>
      </c>
      <c r="C199" s="39" t="s">
        <v>29</v>
      </c>
      <c r="D199" s="39" t="s">
        <v>271</v>
      </c>
    </row>
    <row r="200" spans="1:4" hidden="1" x14ac:dyDescent="0.2">
      <c r="A200" s="41" t="s">
        <v>123</v>
      </c>
      <c r="B200" s="40" t="s">
        <v>124</v>
      </c>
      <c r="C200" s="39" t="s">
        <v>37</v>
      </c>
      <c r="D200" s="39" t="s">
        <v>227</v>
      </c>
    </row>
    <row r="201" spans="1:4" hidden="1" x14ac:dyDescent="0.2">
      <c r="A201" s="39" t="s">
        <v>125</v>
      </c>
      <c r="B201" s="40" t="s">
        <v>126</v>
      </c>
      <c r="C201" s="39" t="s">
        <v>37</v>
      </c>
      <c r="D201" s="39" t="s">
        <v>227</v>
      </c>
    </row>
    <row r="202" spans="1:4" hidden="1" x14ac:dyDescent="0.2">
      <c r="A202" s="39" t="s">
        <v>348</v>
      </c>
      <c r="B202" s="40" t="s">
        <v>349</v>
      </c>
      <c r="C202" s="39" t="s">
        <v>39</v>
      </c>
      <c r="D202" s="39" t="s">
        <v>271</v>
      </c>
    </row>
    <row r="203" spans="1:4" hidden="1" x14ac:dyDescent="0.2">
      <c r="A203" s="39" t="s">
        <v>370</v>
      </c>
      <c r="B203" s="40" t="s">
        <v>371</v>
      </c>
      <c r="C203" s="39" t="s">
        <v>29</v>
      </c>
      <c r="D203" s="39" t="s">
        <v>271</v>
      </c>
    </row>
    <row r="204" spans="1:4" hidden="1" x14ac:dyDescent="0.2">
      <c r="A204" s="39" t="s">
        <v>509</v>
      </c>
      <c r="B204" s="40" t="s">
        <v>510</v>
      </c>
      <c r="C204" s="39" t="s">
        <v>29</v>
      </c>
      <c r="D204" s="39" t="s">
        <v>271</v>
      </c>
    </row>
    <row r="205" spans="1:4" hidden="1" x14ac:dyDescent="0.2">
      <c r="A205" s="39" t="s">
        <v>189</v>
      </c>
      <c r="B205" s="40" t="s">
        <v>190</v>
      </c>
      <c r="C205" s="39" t="s">
        <v>29</v>
      </c>
      <c r="D205" s="39" t="s">
        <v>271</v>
      </c>
    </row>
    <row r="206" spans="1:4" hidden="1" x14ac:dyDescent="0.2">
      <c r="A206" s="39" t="s">
        <v>34</v>
      </c>
      <c r="B206" s="40" t="s">
        <v>35</v>
      </c>
      <c r="C206" s="39" t="s">
        <v>29</v>
      </c>
      <c r="D206" s="39" t="s">
        <v>227</v>
      </c>
    </row>
    <row r="207" spans="1:4" hidden="1" x14ac:dyDescent="0.2">
      <c r="A207" s="39" t="s">
        <v>674</v>
      </c>
      <c r="B207" s="40" t="s">
        <v>675</v>
      </c>
      <c r="C207" s="39" t="s">
        <v>37</v>
      </c>
      <c r="D207" s="39" t="s">
        <v>271</v>
      </c>
    </row>
    <row r="208" spans="1:4" hidden="1" x14ac:dyDescent="0.2">
      <c r="A208" s="39" t="s">
        <v>275</v>
      </c>
      <c r="B208" s="40" t="s">
        <v>276</v>
      </c>
      <c r="C208" s="39" t="s">
        <v>29</v>
      </c>
      <c r="D208" s="39" t="s">
        <v>271</v>
      </c>
    </row>
    <row r="209" spans="1:4" hidden="1" x14ac:dyDescent="0.2">
      <c r="A209" s="39" t="s">
        <v>231</v>
      </c>
      <c r="B209" s="40" t="s">
        <v>232</v>
      </c>
      <c r="C209" s="39" t="s">
        <v>29</v>
      </c>
      <c r="D209" s="39" t="s">
        <v>227</v>
      </c>
    </row>
    <row r="210" spans="1:4" hidden="1" x14ac:dyDescent="0.2">
      <c r="A210" s="39" t="s">
        <v>235</v>
      </c>
      <c r="B210" s="40" t="s">
        <v>236</v>
      </c>
      <c r="C210" s="39" t="s">
        <v>29</v>
      </c>
      <c r="D210" s="39" t="s">
        <v>227</v>
      </c>
    </row>
    <row r="211" spans="1:4" hidden="1" x14ac:dyDescent="0.2">
      <c r="A211" s="39" t="s">
        <v>98</v>
      </c>
      <c r="B211" s="40" t="s">
        <v>99</v>
      </c>
      <c r="C211" s="39" t="s">
        <v>29</v>
      </c>
      <c r="D211" s="39" t="s">
        <v>227</v>
      </c>
    </row>
    <row r="212" spans="1:4" hidden="1" x14ac:dyDescent="0.2">
      <c r="A212" s="39" t="s">
        <v>147</v>
      </c>
      <c r="B212" s="40" t="s">
        <v>148</v>
      </c>
      <c r="C212" s="39" t="s">
        <v>37</v>
      </c>
      <c r="D212" s="39" t="s">
        <v>271</v>
      </c>
    </row>
    <row r="213" spans="1:4" hidden="1" x14ac:dyDescent="0.2">
      <c r="A213" s="39" t="s">
        <v>776</v>
      </c>
      <c r="B213" s="40" t="s">
        <v>777</v>
      </c>
      <c r="C213" s="39" t="s">
        <v>37</v>
      </c>
      <c r="D213" s="39" t="s">
        <v>271</v>
      </c>
    </row>
    <row r="214" spans="1:4" hidden="1" x14ac:dyDescent="0.2">
      <c r="A214" s="39" t="s">
        <v>717</v>
      </c>
      <c r="B214" s="40" t="s">
        <v>718</v>
      </c>
      <c r="C214" s="39" t="s">
        <v>29</v>
      </c>
      <c r="D214" s="39" t="s">
        <v>271</v>
      </c>
    </row>
    <row r="215" spans="1:4" hidden="1" x14ac:dyDescent="0.2">
      <c r="A215" s="39" t="s">
        <v>596</v>
      </c>
      <c r="B215" s="40" t="s">
        <v>597</v>
      </c>
      <c r="C215" s="39" t="s">
        <v>37</v>
      </c>
      <c r="D215" s="39" t="s">
        <v>227</v>
      </c>
    </row>
    <row r="216" spans="1:4" hidden="1" x14ac:dyDescent="0.2">
      <c r="A216" s="39" t="s">
        <v>213</v>
      </c>
      <c r="B216" s="40" t="s">
        <v>278</v>
      </c>
      <c r="C216" s="39" t="s">
        <v>37</v>
      </c>
      <c r="D216" s="39" t="s">
        <v>271</v>
      </c>
    </row>
    <row r="217" spans="1:4" hidden="1" x14ac:dyDescent="0.2">
      <c r="A217" s="41" t="s">
        <v>565</v>
      </c>
      <c r="B217" s="40" t="s">
        <v>566</v>
      </c>
      <c r="C217" s="39" t="s">
        <v>29</v>
      </c>
      <c r="D217" s="39" t="s">
        <v>271</v>
      </c>
    </row>
    <row r="218" spans="1:4" hidden="1" x14ac:dyDescent="0.2">
      <c r="A218" s="39" t="s">
        <v>686</v>
      </c>
      <c r="B218" s="40" t="s">
        <v>687</v>
      </c>
      <c r="C218" s="39" t="s">
        <v>29</v>
      </c>
      <c r="D218" s="39" t="s">
        <v>271</v>
      </c>
    </row>
    <row r="219" spans="1:4" hidden="1" x14ac:dyDescent="0.2">
      <c r="A219" s="39" t="s">
        <v>698</v>
      </c>
      <c r="B219" s="40" t="s">
        <v>699</v>
      </c>
      <c r="C219" s="39" t="s">
        <v>29</v>
      </c>
      <c r="D219" s="39" t="s">
        <v>271</v>
      </c>
    </row>
    <row r="220" spans="1:4" hidden="1" x14ac:dyDescent="0.2">
      <c r="A220" s="39" t="s">
        <v>692</v>
      </c>
      <c r="B220" s="40" t="s">
        <v>693</v>
      </c>
      <c r="C220" s="39" t="s">
        <v>29</v>
      </c>
      <c r="D220" s="39" t="s">
        <v>271</v>
      </c>
    </row>
    <row r="221" spans="1:4" hidden="1" x14ac:dyDescent="0.2">
      <c r="A221" s="39" t="s">
        <v>790</v>
      </c>
      <c r="B221" s="40" t="s">
        <v>791</v>
      </c>
      <c r="C221" s="39" t="s">
        <v>29</v>
      </c>
      <c r="D221" s="39" t="s">
        <v>271</v>
      </c>
    </row>
    <row r="222" spans="1:4" hidden="1" x14ac:dyDescent="0.2">
      <c r="A222" s="39" t="s">
        <v>748</v>
      </c>
      <c r="B222" s="40" t="s">
        <v>749</v>
      </c>
      <c r="C222" s="39" t="s">
        <v>37</v>
      </c>
      <c r="D222" s="39" t="s">
        <v>271</v>
      </c>
    </row>
    <row r="223" spans="1:4" hidden="1" x14ac:dyDescent="0.2">
      <c r="A223" s="39" t="s">
        <v>64</v>
      </c>
      <c r="B223" s="40" t="s">
        <v>36</v>
      </c>
      <c r="C223" s="39" t="s">
        <v>37</v>
      </c>
      <c r="D223" s="39" t="s">
        <v>227</v>
      </c>
    </row>
    <row r="224" spans="1:4" hidden="1" x14ac:dyDescent="0.2">
      <c r="A224" s="39" t="s">
        <v>191</v>
      </c>
      <c r="B224" s="40" t="s">
        <v>192</v>
      </c>
      <c r="C224" s="39" t="s">
        <v>29</v>
      </c>
      <c r="D224" s="39" t="s">
        <v>271</v>
      </c>
    </row>
    <row r="225" spans="1:4" hidden="1" x14ac:dyDescent="0.2">
      <c r="A225" s="41" t="s">
        <v>563</v>
      </c>
      <c r="B225" s="40" t="s">
        <v>564</v>
      </c>
      <c r="C225" s="39" t="s">
        <v>37</v>
      </c>
      <c r="D225" s="39" t="s">
        <v>271</v>
      </c>
    </row>
    <row r="226" spans="1:4" hidden="1" x14ac:dyDescent="0.2">
      <c r="A226" s="39" t="s">
        <v>912</v>
      </c>
      <c r="B226" s="40" t="s">
        <v>38</v>
      </c>
      <c r="C226" s="39" t="s">
        <v>39</v>
      </c>
      <c r="D226" s="39" t="s">
        <v>227</v>
      </c>
    </row>
    <row r="227" spans="1:4" hidden="1" x14ac:dyDescent="0.2">
      <c r="A227" s="39" t="s">
        <v>911</v>
      </c>
      <c r="B227" s="40" t="s">
        <v>42</v>
      </c>
      <c r="C227" s="39" t="s">
        <v>39</v>
      </c>
      <c r="D227" s="39" t="s">
        <v>227</v>
      </c>
    </row>
    <row r="228" spans="1:4" hidden="1" x14ac:dyDescent="0.2">
      <c r="A228" s="39" t="s">
        <v>725</v>
      </c>
      <c r="B228" s="40" t="s">
        <v>726</v>
      </c>
      <c r="C228" s="39" t="s">
        <v>29</v>
      </c>
      <c r="D228" s="39" t="s">
        <v>227</v>
      </c>
    </row>
    <row r="229" spans="1:4" hidden="1" x14ac:dyDescent="0.2">
      <c r="A229" s="39" t="s">
        <v>273</v>
      </c>
      <c r="B229" s="40" t="s">
        <v>274</v>
      </c>
      <c r="C229" s="39" t="s">
        <v>29</v>
      </c>
      <c r="D229" s="39" t="s">
        <v>271</v>
      </c>
    </row>
    <row r="230" spans="1:4" hidden="1" x14ac:dyDescent="0.2">
      <c r="A230" s="39" t="s">
        <v>414</v>
      </c>
      <c r="B230" s="40" t="s">
        <v>415</v>
      </c>
      <c r="C230" s="39" t="s">
        <v>29</v>
      </c>
      <c r="D230" s="39" t="s">
        <v>271</v>
      </c>
    </row>
    <row r="231" spans="1:4" hidden="1" x14ac:dyDescent="0.2">
      <c r="A231" s="39" t="s">
        <v>360</v>
      </c>
      <c r="B231" s="40" t="s">
        <v>361</v>
      </c>
      <c r="C231" s="39" t="s">
        <v>37</v>
      </c>
      <c r="D231" s="39" t="s">
        <v>271</v>
      </c>
    </row>
    <row r="232" spans="1:4" hidden="1" x14ac:dyDescent="0.2">
      <c r="A232" s="39" t="s">
        <v>421</v>
      </c>
      <c r="B232" s="40" t="s">
        <v>422</v>
      </c>
      <c r="C232" s="39" t="s">
        <v>29</v>
      </c>
      <c r="D232" s="39" t="s">
        <v>271</v>
      </c>
    </row>
    <row r="233" spans="1:4" hidden="1" x14ac:dyDescent="0.2">
      <c r="A233" s="39" t="s">
        <v>416</v>
      </c>
      <c r="B233" s="40" t="s">
        <v>417</v>
      </c>
      <c r="C233" s="39" t="s">
        <v>29</v>
      </c>
      <c r="D233" s="39" t="s">
        <v>271</v>
      </c>
    </row>
    <row r="234" spans="1:4" hidden="1" x14ac:dyDescent="0.2">
      <c r="A234" s="39" t="s">
        <v>431</v>
      </c>
      <c r="B234" s="40" t="s">
        <v>432</v>
      </c>
      <c r="C234" s="39" t="s">
        <v>37</v>
      </c>
      <c r="D234" s="39" t="s">
        <v>271</v>
      </c>
    </row>
    <row r="235" spans="1:4" hidden="1" x14ac:dyDescent="0.2">
      <c r="A235" s="39" t="s">
        <v>172</v>
      </c>
      <c r="B235" s="40" t="s">
        <v>173</v>
      </c>
      <c r="C235" s="39" t="s">
        <v>29</v>
      </c>
      <c r="D235" s="39" t="s">
        <v>271</v>
      </c>
    </row>
    <row r="236" spans="1:4" hidden="1" x14ac:dyDescent="0.2">
      <c r="A236" s="39" t="s">
        <v>435</v>
      </c>
      <c r="B236" s="40" t="s">
        <v>436</v>
      </c>
      <c r="C236" s="39" t="s">
        <v>29</v>
      </c>
      <c r="D236" s="39" t="s">
        <v>271</v>
      </c>
    </row>
    <row r="237" spans="1:4" hidden="1" x14ac:dyDescent="0.2">
      <c r="A237" s="39" t="s">
        <v>358</v>
      </c>
      <c r="B237" s="40" t="s">
        <v>359</v>
      </c>
      <c r="C237" s="39" t="s">
        <v>37</v>
      </c>
      <c r="D237" s="39" t="s">
        <v>271</v>
      </c>
    </row>
    <row r="238" spans="1:4" hidden="1" x14ac:dyDescent="0.2">
      <c r="A238" s="39" t="s">
        <v>423</v>
      </c>
      <c r="B238" s="40" t="s">
        <v>424</v>
      </c>
      <c r="C238" s="39" t="s">
        <v>29</v>
      </c>
      <c r="D238" s="39" t="s">
        <v>271</v>
      </c>
    </row>
    <row r="239" spans="1:4" hidden="1" x14ac:dyDescent="0.2">
      <c r="A239" s="39" t="s">
        <v>433</v>
      </c>
      <c r="B239" s="40" t="s">
        <v>434</v>
      </c>
      <c r="C239" s="39" t="s">
        <v>29</v>
      </c>
      <c r="D239" s="39" t="s">
        <v>271</v>
      </c>
    </row>
    <row r="240" spans="1:4" hidden="1" x14ac:dyDescent="0.2">
      <c r="A240" s="39" t="s">
        <v>352</v>
      </c>
      <c r="B240" s="40" t="s">
        <v>353</v>
      </c>
      <c r="C240" s="39" t="s">
        <v>37</v>
      </c>
      <c r="D240" s="39" t="s">
        <v>271</v>
      </c>
    </row>
    <row r="241" spans="1:5" hidden="1" x14ac:dyDescent="0.2">
      <c r="A241" s="39" t="s">
        <v>418</v>
      </c>
      <c r="B241" s="40" t="s">
        <v>419</v>
      </c>
      <c r="C241" s="39" t="s">
        <v>29</v>
      </c>
      <c r="D241" s="39" t="s">
        <v>271</v>
      </c>
    </row>
    <row r="242" spans="1:5" hidden="1" x14ac:dyDescent="0.2">
      <c r="A242" s="39" t="s">
        <v>708</v>
      </c>
      <c r="B242" s="40" t="s">
        <v>709</v>
      </c>
      <c r="C242" s="39" t="s">
        <v>29</v>
      </c>
      <c r="D242" s="39" t="s">
        <v>271</v>
      </c>
    </row>
    <row r="243" spans="1:5" hidden="1" x14ac:dyDescent="0.2">
      <c r="A243" s="39" t="s">
        <v>179</v>
      </c>
      <c r="B243" s="40" t="s">
        <v>180</v>
      </c>
      <c r="C243" s="39" t="s">
        <v>37</v>
      </c>
      <c r="D243" s="39" t="s">
        <v>271</v>
      </c>
    </row>
    <row r="244" spans="1:5" hidden="1" x14ac:dyDescent="0.2">
      <c r="A244" s="39" t="s">
        <v>519</v>
      </c>
      <c r="B244" s="40" t="s">
        <v>520</v>
      </c>
      <c r="C244" s="39" t="s">
        <v>29</v>
      </c>
      <c r="D244" s="39" t="s">
        <v>271</v>
      </c>
    </row>
    <row r="245" spans="1:5" hidden="1" x14ac:dyDescent="0.2">
      <c r="A245" s="39" t="s">
        <v>183</v>
      </c>
      <c r="B245" s="40" t="s">
        <v>184</v>
      </c>
      <c r="C245" s="39" t="s">
        <v>29</v>
      </c>
      <c r="D245" s="39" t="s">
        <v>271</v>
      </c>
    </row>
    <row r="246" spans="1:5" hidden="1" x14ac:dyDescent="0.2">
      <c r="A246" s="39" t="s">
        <v>676</v>
      </c>
      <c r="B246" s="40" t="s">
        <v>677</v>
      </c>
      <c r="C246" s="39" t="s">
        <v>37</v>
      </c>
      <c r="D246" s="39" t="s">
        <v>271</v>
      </c>
    </row>
    <row r="247" spans="1:5" hidden="1" x14ac:dyDescent="0.2">
      <c r="A247" s="39" t="s">
        <v>170</v>
      </c>
      <c r="B247" s="40" t="s">
        <v>171</v>
      </c>
      <c r="C247" s="39" t="s">
        <v>37</v>
      </c>
      <c r="D247" s="39" t="s">
        <v>271</v>
      </c>
    </row>
    <row r="248" spans="1:5" hidden="1" x14ac:dyDescent="0.2">
      <c r="A248" s="39" t="s">
        <v>40</v>
      </c>
      <c r="B248" s="40" t="s">
        <v>41</v>
      </c>
      <c r="C248" s="39" t="s">
        <v>39</v>
      </c>
      <c r="D248" s="39" t="s">
        <v>227</v>
      </c>
    </row>
    <row r="249" spans="1:5" hidden="1" x14ac:dyDescent="0.2">
      <c r="A249" s="39" t="s">
        <v>342</v>
      </c>
      <c r="B249" s="40" t="s">
        <v>343</v>
      </c>
      <c r="C249" s="39" t="s">
        <v>39</v>
      </c>
      <c r="D249" s="41" t="s">
        <v>227</v>
      </c>
    </row>
    <row r="250" spans="1:5" hidden="1" x14ac:dyDescent="0.2">
      <c r="A250" s="39" t="s">
        <v>462</v>
      </c>
      <c r="B250" s="40" t="s">
        <v>463</v>
      </c>
      <c r="C250" s="39" t="s">
        <v>37</v>
      </c>
      <c r="D250" s="39" t="s">
        <v>271</v>
      </c>
    </row>
    <row r="251" spans="1:5" hidden="1" x14ac:dyDescent="0.2">
      <c r="A251" s="39" t="s">
        <v>237</v>
      </c>
      <c r="B251" s="40" t="s">
        <v>238</v>
      </c>
      <c r="C251" s="39" t="s">
        <v>37</v>
      </c>
      <c r="D251" s="39" t="s">
        <v>227</v>
      </c>
    </row>
    <row r="252" spans="1:5" hidden="1" x14ac:dyDescent="0.2">
      <c r="A252" s="39" t="s">
        <v>127</v>
      </c>
      <c r="B252" s="40" t="s">
        <v>272</v>
      </c>
      <c r="C252" s="39" t="s">
        <v>39</v>
      </c>
      <c r="D252" s="41" t="s">
        <v>227</v>
      </c>
    </row>
    <row r="253" spans="1:5" hidden="1" x14ac:dyDescent="0.2">
      <c r="A253" s="39" t="s">
        <v>127</v>
      </c>
      <c r="B253" s="40" t="s">
        <v>272</v>
      </c>
      <c r="C253" s="39" t="s">
        <v>39</v>
      </c>
      <c r="D253" s="41" t="s">
        <v>227</v>
      </c>
    </row>
    <row r="254" spans="1:5" hidden="1" x14ac:dyDescent="0.2">
      <c r="A254" s="39" t="s">
        <v>460</v>
      </c>
      <c r="B254" s="40" t="s">
        <v>461</v>
      </c>
      <c r="C254" s="39" t="s">
        <v>29</v>
      </c>
      <c r="D254" s="39" t="s">
        <v>271</v>
      </c>
    </row>
    <row r="255" spans="1:5" hidden="1" x14ac:dyDescent="0.2">
      <c r="A255" s="39" t="s">
        <v>913</v>
      </c>
      <c r="B255" s="40" t="s">
        <v>243</v>
      </c>
      <c r="C255" s="39" t="s">
        <v>37</v>
      </c>
      <c r="D255" s="39" t="s">
        <v>227</v>
      </c>
      <c r="E255" t="s">
        <v>242</v>
      </c>
    </row>
    <row r="256" spans="1:5" hidden="1" x14ac:dyDescent="0.2">
      <c r="A256" s="39" t="s">
        <v>185</v>
      </c>
      <c r="B256" s="40" t="s">
        <v>186</v>
      </c>
      <c r="C256" s="39" t="s">
        <v>29</v>
      </c>
      <c r="D256" s="39" t="s">
        <v>271</v>
      </c>
    </row>
    <row r="257" spans="1:4" hidden="1" x14ac:dyDescent="0.2">
      <c r="A257" s="39" t="s">
        <v>335</v>
      </c>
      <c r="B257" s="40" t="s">
        <v>336</v>
      </c>
      <c r="C257" s="39" t="s">
        <v>39</v>
      </c>
      <c r="D257" s="39" t="s">
        <v>271</v>
      </c>
    </row>
    <row r="258" spans="1:4" hidden="1" x14ac:dyDescent="0.2">
      <c r="A258" s="39" t="s">
        <v>356</v>
      </c>
      <c r="B258" s="40" t="s">
        <v>357</v>
      </c>
      <c r="C258" s="39" t="s">
        <v>37</v>
      </c>
      <c r="D258" s="39" t="s">
        <v>271</v>
      </c>
    </row>
    <row r="259" spans="1:4" hidden="1" x14ac:dyDescent="0.2">
      <c r="A259" s="39" t="s">
        <v>354</v>
      </c>
      <c r="B259" s="40" t="s">
        <v>355</v>
      </c>
      <c r="C259" s="39" t="s">
        <v>37</v>
      </c>
      <c r="D259" s="39" t="s">
        <v>271</v>
      </c>
    </row>
    <row r="260" spans="1:4" hidden="1" x14ac:dyDescent="0.2">
      <c r="A260" s="39" t="s">
        <v>470</v>
      </c>
      <c r="B260" s="40" t="s">
        <v>471</v>
      </c>
      <c r="C260" s="39" t="s">
        <v>37</v>
      </c>
      <c r="D260" s="39" t="s">
        <v>271</v>
      </c>
    </row>
    <row r="261" spans="1:4" hidden="1" x14ac:dyDescent="0.2">
      <c r="A261" s="39" t="s">
        <v>468</v>
      </c>
      <c r="B261" s="40" t="s">
        <v>469</v>
      </c>
      <c r="C261" s="39" t="s">
        <v>37</v>
      </c>
      <c r="D261" s="39" t="s">
        <v>271</v>
      </c>
    </row>
    <row r="262" spans="1:4" hidden="1" x14ac:dyDescent="0.2">
      <c r="A262" s="39" t="s">
        <v>464</v>
      </c>
      <c r="B262" s="40" t="s">
        <v>465</v>
      </c>
      <c r="C262" s="39" t="s">
        <v>39</v>
      </c>
      <c r="D262" s="39" t="s">
        <v>271</v>
      </c>
    </row>
    <row r="263" spans="1:4" hidden="1" x14ac:dyDescent="0.2">
      <c r="A263" s="41" t="s">
        <v>598</v>
      </c>
      <c r="B263" s="40" t="s">
        <v>599</v>
      </c>
      <c r="C263" s="39" t="s">
        <v>37</v>
      </c>
      <c r="D263" s="39" t="s">
        <v>271</v>
      </c>
    </row>
    <row r="264" spans="1:4" hidden="1" x14ac:dyDescent="0.2">
      <c r="A264" s="41" t="s">
        <v>549</v>
      </c>
      <c r="B264" s="40" t="s">
        <v>550</v>
      </c>
      <c r="C264" s="39" t="s">
        <v>29</v>
      </c>
      <c r="D264" s="39" t="s">
        <v>271</v>
      </c>
    </row>
    <row r="265" spans="1:4" hidden="1" x14ac:dyDescent="0.2">
      <c r="A265" s="39" t="s">
        <v>786</v>
      </c>
      <c r="B265" s="40" t="s">
        <v>787</v>
      </c>
      <c r="C265" s="39" t="s">
        <v>37</v>
      </c>
      <c r="D265" s="39" t="s">
        <v>271</v>
      </c>
    </row>
    <row r="266" spans="1:4" hidden="1" x14ac:dyDescent="0.2">
      <c r="A266" s="39" t="s">
        <v>224</v>
      </c>
      <c r="B266" s="40" t="s">
        <v>298</v>
      </c>
      <c r="C266" s="39" t="s">
        <v>29</v>
      </c>
      <c r="D266" s="1" t="s">
        <v>227</v>
      </c>
    </row>
    <row r="267" spans="1:4" hidden="1" x14ac:dyDescent="0.2">
      <c r="A267" s="39" t="s">
        <v>209</v>
      </c>
      <c r="B267" s="40" t="s">
        <v>210</v>
      </c>
      <c r="C267" s="39" t="s">
        <v>37</v>
      </c>
      <c r="D267" s="39" t="s">
        <v>271</v>
      </c>
    </row>
    <row r="268" spans="1:4" hidden="1" x14ac:dyDescent="0.2">
      <c r="A268" s="39" t="s">
        <v>690</v>
      </c>
      <c r="B268" s="40" t="s">
        <v>691</v>
      </c>
      <c r="C268" s="39" t="s">
        <v>29</v>
      </c>
      <c r="D268" s="39" t="s">
        <v>271</v>
      </c>
    </row>
    <row r="269" spans="1:4" hidden="1" x14ac:dyDescent="0.2">
      <c r="A269" s="39" t="s">
        <v>214</v>
      </c>
      <c r="B269" s="40" t="s">
        <v>250</v>
      </c>
      <c r="C269" s="39" t="s">
        <v>37</v>
      </c>
      <c r="D269" s="39" t="s">
        <v>227</v>
      </c>
    </row>
    <row r="270" spans="1:4" hidden="1" x14ac:dyDescent="0.2">
      <c r="A270" s="39" t="s">
        <v>602</v>
      </c>
      <c r="B270" s="40" t="s">
        <v>603</v>
      </c>
      <c r="C270" s="39" t="s">
        <v>37</v>
      </c>
      <c r="D270" s="39" t="s">
        <v>271</v>
      </c>
    </row>
    <row r="271" spans="1:4" hidden="1" x14ac:dyDescent="0.2">
      <c r="A271" s="39" t="s">
        <v>486</v>
      </c>
      <c r="B271" s="40" t="s">
        <v>487</v>
      </c>
      <c r="C271" s="39" t="s">
        <v>480</v>
      </c>
      <c r="D271" s="39" t="s">
        <v>271</v>
      </c>
    </row>
    <row r="272" spans="1:4" hidden="1" x14ac:dyDescent="0.2">
      <c r="A272" s="39" t="s">
        <v>478</v>
      </c>
      <c r="B272" s="40" t="s">
        <v>479</v>
      </c>
      <c r="C272" s="39" t="s">
        <v>480</v>
      </c>
      <c r="D272" s="39" t="s">
        <v>271</v>
      </c>
    </row>
    <row r="273" spans="1:4" hidden="1" x14ac:dyDescent="0.2">
      <c r="A273" s="39" t="s">
        <v>678</v>
      </c>
      <c r="B273" s="40" t="s">
        <v>679</v>
      </c>
      <c r="C273" s="39" t="s">
        <v>37</v>
      </c>
      <c r="D273" s="39" t="s">
        <v>271</v>
      </c>
    </row>
    <row r="274" spans="1:4" hidden="1" x14ac:dyDescent="0.2">
      <c r="A274" s="39" t="s">
        <v>43</v>
      </c>
      <c r="B274" s="40" t="s">
        <v>44</v>
      </c>
      <c r="C274" s="39" t="s">
        <v>29</v>
      </c>
      <c r="D274" s="39" t="s">
        <v>227</v>
      </c>
    </row>
    <row r="275" spans="1:4" hidden="1" x14ac:dyDescent="0.2">
      <c r="A275" s="39" t="s">
        <v>410</v>
      </c>
      <c r="B275" s="40" t="s">
        <v>411</v>
      </c>
      <c r="C275" s="39" t="s">
        <v>29</v>
      </c>
      <c r="D275" s="39" t="s">
        <v>271</v>
      </c>
    </row>
    <row r="276" spans="1:4" hidden="1" x14ac:dyDescent="0.2">
      <c r="A276" s="39" t="s">
        <v>845</v>
      </c>
      <c r="B276" s="40" t="s">
        <v>239</v>
      </c>
      <c r="C276" s="39" t="s">
        <v>29</v>
      </c>
      <c r="D276" s="39" t="s">
        <v>227</v>
      </c>
    </row>
    <row r="277" spans="1:4" hidden="1" x14ac:dyDescent="0.2">
      <c r="A277" s="39" t="s">
        <v>149</v>
      </c>
      <c r="B277" s="40" t="s">
        <v>150</v>
      </c>
      <c r="C277" s="39" t="s">
        <v>37</v>
      </c>
      <c r="D277" s="39" t="s">
        <v>271</v>
      </c>
    </row>
    <row r="278" spans="1:4" hidden="1" x14ac:dyDescent="0.2">
      <c r="A278" s="39" t="s">
        <v>525</v>
      </c>
      <c r="B278" s="40" t="s">
        <v>526</v>
      </c>
      <c r="C278" s="39" t="s">
        <v>29</v>
      </c>
      <c r="D278" s="39" t="s">
        <v>271</v>
      </c>
    </row>
    <row r="279" spans="1:4" hidden="1" x14ac:dyDescent="0.2">
      <c r="A279" s="39" t="s">
        <v>264</v>
      </c>
      <c r="B279" s="40" t="s">
        <v>265</v>
      </c>
      <c r="C279" s="39" t="s">
        <v>29</v>
      </c>
      <c r="D279" s="39" t="s">
        <v>227</v>
      </c>
    </row>
    <row r="280" spans="1:4" hidden="1" x14ac:dyDescent="0.2">
      <c r="A280" s="39" t="s">
        <v>680</v>
      </c>
      <c r="B280" s="40" t="s">
        <v>681</v>
      </c>
      <c r="C280" s="39" t="s">
        <v>37</v>
      </c>
      <c r="D280" s="39" t="s">
        <v>271</v>
      </c>
    </row>
    <row r="281" spans="1:4" hidden="1" x14ac:dyDescent="0.2">
      <c r="A281" s="39" t="s">
        <v>515</v>
      </c>
      <c r="B281" s="40" t="s">
        <v>516</v>
      </c>
      <c r="C281" s="39" t="s">
        <v>37</v>
      </c>
      <c r="D281" s="39" t="s">
        <v>271</v>
      </c>
    </row>
    <row r="282" spans="1:4" hidden="1" x14ac:dyDescent="0.2">
      <c r="A282" s="39" t="s">
        <v>754</v>
      </c>
      <c r="B282" s="40" t="s">
        <v>755</v>
      </c>
      <c r="C282" s="39" t="s">
        <v>496</v>
      </c>
      <c r="D282" s="39" t="s">
        <v>271</v>
      </c>
    </row>
    <row r="283" spans="1:4" hidden="1" x14ac:dyDescent="0.2">
      <c r="A283" s="39" t="s">
        <v>758</v>
      </c>
      <c r="B283" s="40" t="s">
        <v>759</v>
      </c>
      <c r="C283" s="39" t="s">
        <v>496</v>
      </c>
      <c r="D283" s="39" t="s">
        <v>271</v>
      </c>
    </row>
    <row r="284" spans="1:4" hidden="1" x14ac:dyDescent="0.2">
      <c r="A284" s="39" t="s">
        <v>45</v>
      </c>
      <c r="B284" s="40" t="s">
        <v>46</v>
      </c>
      <c r="C284" s="39" t="s">
        <v>37</v>
      </c>
      <c r="D284" s="39" t="s">
        <v>227</v>
      </c>
    </row>
    <row r="285" spans="1:4" hidden="1" x14ac:dyDescent="0.2">
      <c r="A285" s="39" t="s">
        <v>388</v>
      </c>
      <c r="B285" s="40" t="s">
        <v>389</v>
      </c>
      <c r="C285" s="39" t="s">
        <v>29</v>
      </c>
      <c r="D285" s="39" t="s">
        <v>271</v>
      </c>
    </row>
    <row r="286" spans="1:4" hidden="1" x14ac:dyDescent="0.2">
      <c r="A286" s="39" t="s">
        <v>454</v>
      </c>
      <c r="B286" s="40" t="s">
        <v>455</v>
      </c>
      <c r="C286" s="39" t="s">
        <v>29</v>
      </c>
      <c r="D286" s="39" t="s">
        <v>271</v>
      </c>
    </row>
    <row r="287" spans="1:4" hidden="1" x14ac:dyDescent="0.2">
      <c r="A287" s="39" t="s">
        <v>92</v>
      </c>
      <c r="B287" s="40" t="s">
        <v>93</v>
      </c>
      <c r="C287" s="39" t="s">
        <v>29</v>
      </c>
      <c r="D287" s="39" t="s">
        <v>227</v>
      </c>
    </row>
    <row r="288" spans="1:4" hidden="1" x14ac:dyDescent="0.2">
      <c r="A288" s="39" t="s">
        <v>47</v>
      </c>
      <c r="B288" s="40" t="s">
        <v>48</v>
      </c>
      <c r="C288" s="39" t="s">
        <v>37</v>
      </c>
      <c r="D288" s="39" t="s">
        <v>271</v>
      </c>
    </row>
    <row r="289" spans="1:4" hidden="1" x14ac:dyDescent="0.2">
      <c r="A289" s="39" t="s">
        <v>2</v>
      </c>
      <c r="B289" s="40" t="s">
        <v>49</v>
      </c>
      <c r="C289" s="39" t="s">
        <v>29</v>
      </c>
      <c r="D289" s="39" t="s">
        <v>227</v>
      </c>
    </row>
    <row r="290" spans="1:4" hidden="1" x14ac:dyDescent="0.2">
      <c r="A290" s="39" t="s">
        <v>620</v>
      </c>
      <c r="B290" s="40" t="s">
        <v>621</v>
      </c>
      <c r="C290" s="39" t="s">
        <v>29</v>
      </c>
      <c r="D290" s="39" t="s">
        <v>271</v>
      </c>
    </row>
    <row r="291" spans="1:4" hidden="1" x14ac:dyDescent="0.2">
      <c r="A291" s="39" t="s">
        <v>581</v>
      </c>
      <c r="B291" s="40" t="s">
        <v>582</v>
      </c>
      <c r="C291" s="39" t="s">
        <v>29</v>
      </c>
      <c r="D291" s="39" t="s">
        <v>271</v>
      </c>
    </row>
    <row r="292" spans="1:4" hidden="1" x14ac:dyDescent="0.2">
      <c r="A292" s="39" t="s">
        <v>652</v>
      </c>
      <c r="B292" s="40" t="s">
        <v>653</v>
      </c>
      <c r="C292" s="39" t="s">
        <v>29</v>
      </c>
      <c r="D292" s="39" t="s">
        <v>271</v>
      </c>
    </row>
    <row r="293" spans="1:4" hidden="1" x14ac:dyDescent="0.2">
      <c r="A293" s="39" t="s">
        <v>211</v>
      </c>
      <c r="B293" s="40" t="s">
        <v>212</v>
      </c>
      <c r="C293" s="39" t="s">
        <v>29</v>
      </c>
      <c r="D293" s="39" t="s">
        <v>227</v>
      </c>
    </row>
    <row r="294" spans="1:4" hidden="1" x14ac:dyDescent="0.2">
      <c r="A294" s="39" t="s">
        <v>909</v>
      </c>
      <c r="B294" s="40" t="s">
        <v>420</v>
      </c>
      <c r="C294" s="39" t="s">
        <v>29</v>
      </c>
      <c r="D294" s="39" t="s">
        <v>271</v>
      </c>
    </row>
    <row r="295" spans="1:4" hidden="1" x14ac:dyDescent="0.2">
      <c r="A295" s="39" t="s">
        <v>577</v>
      </c>
      <c r="B295" s="40" t="s">
        <v>578</v>
      </c>
      <c r="C295" s="39" t="s">
        <v>37</v>
      </c>
      <c r="D295" s="39" t="s">
        <v>271</v>
      </c>
    </row>
    <row r="296" spans="1:4" hidden="1" x14ac:dyDescent="0.2">
      <c r="A296" s="39" t="s">
        <v>630</v>
      </c>
      <c r="B296" s="40" t="s">
        <v>631</v>
      </c>
      <c r="C296" s="39" t="s">
        <v>29</v>
      </c>
      <c r="D296" s="39" t="s">
        <v>271</v>
      </c>
    </row>
    <row r="297" spans="1:4" hidden="1" x14ac:dyDescent="0.2">
      <c r="A297" s="39" t="s">
        <v>100</v>
      </c>
      <c r="B297" s="40" t="s">
        <v>263</v>
      </c>
      <c r="C297" s="39" t="s">
        <v>29</v>
      </c>
      <c r="D297" s="39" t="s">
        <v>227</v>
      </c>
    </row>
    <row r="298" spans="1:4" hidden="1" x14ac:dyDescent="0.2">
      <c r="A298" s="39" t="s">
        <v>729</v>
      </c>
      <c r="B298" s="40" t="s">
        <v>101</v>
      </c>
      <c r="C298" s="39" t="s">
        <v>37</v>
      </c>
      <c r="D298" s="39" t="s">
        <v>271</v>
      </c>
    </row>
    <row r="299" spans="1:4" hidden="1" x14ac:dyDescent="0.2">
      <c r="A299" s="39" t="s">
        <v>266</v>
      </c>
      <c r="B299" s="40" t="s">
        <v>267</v>
      </c>
      <c r="C299" s="39" t="s">
        <v>37</v>
      </c>
      <c r="D299" s="39" t="s">
        <v>227</v>
      </c>
    </row>
    <row r="300" spans="1:4" hidden="1" x14ac:dyDescent="0.2">
      <c r="A300" s="39" t="s">
        <v>128</v>
      </c>
      <c r="B300" s="40" t="s">
        <v>129</v>
      </c>
      <c r="C300" s="39" t="s">
        <v>29</v>
      </c>
      <c r="D300" s="39" t="s">
        <v>227</v>
      </c>
    </row>
    <row r="301" spans="1:4" hidden="1" x14ac:dyDescent="0.2">
      <c r="A301" s="39" t="s">
        <v>846</v>
      </c>
      <c r="B301" s="40" t="s">
        <v>178</v>
      </c>
      <c r="C301" s="39" t="s">
        <v>37</v>
      </c>
      <c r="D301" s="39" t="s">
        <v>227</v>
      </c>
    </row>
    <row r="302" spans="1:4" hidden="1" x14ac:dyDescent="0.2">
      <c r="A302" s="39" t="s">
        <v>157</v>
      </c>
      <c r="B302" s="40" t="s">
        <v>158</v>
      </c>
      <c r="C302" s="39" t="s">
        <v>29</v>
      </c>
      <c r="D302" s="39" t="s">
        <v>227</v>
      </c>
    </row>
    <row r="303" spans="1:4" hidden="1" x14ac:dyDescent="0.2">
      <c r="A303" s="39" t="s">
        <v>636</v>
      </c>
      <c r="B303" s="40" t="s">
        <v>637</v>
      </c>
      <c r="C303" s="39" t="s">
        <v>37</v>
      </c>
      <c r="D303" s="39" t="s">
        <v>271</v>
      </c>
    </row>
    <row r="304" spans="1:4" hidden="1" x14ac:dyDescent="0.2">
      <c r="A304" s="39" t="s">
        <v>54</v>
      </c>
      <c r="B304" s="40" t="s">
        <v>55</v>
      </c>
      <c r="C304" s="39" t="s">
        <v>29</v>
      </c>
      <c r="D304" s="39" t="s">
        <v>271</v>
      </c>
    </row>
    <row r="305" spans="1:4" hidden="1" x14ac:dyDescent="0.2">
      <c r="A305" s="39" t="s">
        <v>219</v>
      </c>
      <c r="B305" s="40" t="s">
        <v>220</v>
      </c>
      <c r="C305" s="39" t="s">
        <v>37</v>
      </c>
      <c r="D305" s="39" t="s">
        <v>227</v>
      </c>
    </row>
    <row r="306" spans="1:4" hidden="1" x14ac:dyDescent="0.2">
      <c r="A306" s="39" t="s">
        <v>521</v>
      </c>
      <c r="B306" s="40" t="s">
        <v>522</v>
      </c>
      <c r="C306" s="39" t="s">
        <v>29</v>
      </c>
      <c r="D306" s="39" t="s">
        <v>271</v>
      </c>
    </row>
    <row r="307" spans="1:4" hidden="1" x14ac:dyDescent="0.2">
      <c r="A307" s="39" t="s">
        <v>694</v>
      </c>
      <c r="B307" s="40" t="s">
        <v>695</v>
      </c>
      <c r="C307" s="39" t="s">
        <v>29</v>
      </c>
      <c r="D307" s="39" t="s">
        <v>271</v>
      </c>
    </row>
    <row r="308" spans="1:4" hidden="1" x14ac:dyDescent="0.2">
      <c r="A308" s="39" t="s">
        <v>721</v>
      </c>
      <c r="B308" s="40" t="s">
        <v>722</v>
      </c>
      <c r="C308" s="39" t="s">
        <v>29</v>
      </c>
      <c r="D308" s="39" t="s">
        <v>271</v>
      </c>
    </row>
    <row r="309" spans="1:4" hidden="1" x14ac:dyDescent="0.2">
      <c r="A309" s="41" t="s">
        <v>573</v>
      </c>
      <c r="B309" s="40" t="s">
        <v>574</v>
      </c>
      <c r="C309" s="39" t="s">
        <v>29</v>
      </c>
      <c r="D309" s="39" t="s">
        <v>271</v>
      </c>
    </row>
    <row r="310" spans="1:4" hidden="1" x14ac:dyDescent="0.2">
      <c r="A310" s="39" t="s">
        <v>159</v>
      </c>
      <c r="B310" s="40" t="s">
        <v>160</v>
      </c>
      <c r="C310" s="39" t="s">
        <v>29</v>
      </c>
      <c r="D310" s="39" t="s">
        <v>271</v>
      </c>
    </row>
    <row r="311" spans="1:4" hidden="1" x14ac:dyDescent="0.2">
      <c r="A311" s="39" t="s">
        <v>94</v>
      </c>
      <c r="B311" s="40" t="s">
        <v>95</v>
      </c>
      <c r="C311" s="39" t="s">
        <v>29</v>
      </c>
      <c r="D311" s="39" t="s">
        <v>227</v>
      </c>
    </row>
    <row r="312" spans="1:4" hidden="1" x14ac:dyDescent="0.2">
      <c r="A312" s="39" t="s">
        <v>608</v>
      </c>
      <c r="B312" s="40" t="s">
        <v>609</v>
      </c>
      <c r="C312" s="39" t="s">
        <v>29</v>
      </c>
      <c r="D312" s="39" t="s">
        <v>271</v>
      </c>
    </row>
    <row r="313" spans="1:4" hidden="1" x14ac:dyDescent="0.2">
      <c r="A313" s="39" t="s">
        <v>314</v>
      </c>
      <c r="B313" s="40" t="s">
        <v>315</v>
      </c>
      <c r="C313" s="39" t="s">
        <v>39</v>
      </c>
      <c r="D313" s="39" t="s">
        <v>227</v>
      </c>
    </row>
    <row r="314" spans="1:4" hidden="1" x14ac:dyDescent="0.2">
      <c r="A314" s="39" t="s">
        <v>161</v>
      </c>
      <c r="B314" s="40" t="s">
        <v>162</v>
      </c>
      <c r="C314" s="39" t="s">
        <v>29</v>
      </c>
      <c r="D314" s="39" t="s">
        <v>271</v>
      </c>
    </row>
    <row r="315" spans="1:4" hidden="1" x14ac:dyDescent="0.2">
      <c r="A315" s="39" t="s">
        <v>205</v>
      </c>
      <c r="B315" s="40" t="s">
        <v>206</v>
      </c>
      <c r="C315" s="39" t="s">
        <v>29</v>
      </c>
      <c r="D315" s="39" t="s">
        <v>227</v>
      </c>
    </row>
    <row r="316" spans="1:4" hidden="1" x14ac:dyDescent="0.2">
      <c r="A316" s="39" t="s">
        <v>768</v>
      </c>
      <c r="B316" s="40" t="s">
        <v>769</v>
      </c>
      <c r="C316" s="39" t="s">
        <v>29</v>
      </c>
      <c r="D316" s="39" t="s">
        <v>271</v>
      </c>
    </row>
    <row r="317" spans="1:4" hidden="1" x14ac:dyDescent="0.2">
      <c r="A317" s="39" t="s">
        <v>476</v>
      </c>
      <c r="B317" s="40" t="s">
        <v>477</v>
      </c>
      <c r="C317" s="39" t="s">
        <v>37</v>
      </c>
      <c r="D317" s="39" t="s">
        <v>271</v>
      </c>
    </row>
    <row r="318" spans="1:4" hidden="1" x14ac:dyDescent="0.2">
      <c r="A318" s="39" t="s">
        <v>56</v>
      </c>
      <c r="B318" s="40" t="s">
        <v>57</v>
      </c>
      <c r="C318" s="39" t="s">
        <v>29</v>
      </c>
      <c r="D318" s="39" t="s">
        <v>271</v>
      </c>
    </row>
    <row r="319" spans="1:4" hidden="1" x14ac:dyDescent="0.2">
      <c r="A319" s="39" t="s">
        <v>255</v>
      </c>
      <c r="B319" s="40" t="s">
        <v>256</v>
      </c>
      <c r="C319" s="39" t="s">
        <v>37</v>
      </c>
      <c r="D319" s="39" t="s">
        <v>271</v>
      </c>
    </row>
    <row r="320" spans="1:4" hidden="1" x14ac:dyDescent="0.2">
      <c r="A320" s="41" t="s">
        <v>130</v>
      </c>
      <c r="B320" s="40" t="s">
        <v>131</v>
      </c>
      <c r="C320" s="39" t="s">
        <v>37</v>
      </c>
      <c r="D320" s="39" t="s">
        <v>227</v>
      </c>
    </row>
    <row r="321" spans="1:4" hidden="1" x14ac:dyDescent="0.2">
      <c r="A321" s="39" t="s">
        <v>404</v>
      </c>
      <c r="B321" s="40" t="s">
        <v>405</v>
      </c>
      <c r="C321" s="39" t="s">
        <v>29</v>
      </c>
      <c r="D321" s="39" t="s">
        <v>271</v>
      </c>
    </row>
    <row r="322" spans="1:4" hidden="1" x14ac:dyDescent="0.2">
      <c r="A322" s="41" t="s">
        <v>533</v>
      </c>
      <c r="B322" s="40" t="s">
        <v>534</v>
      </c>
      <c r="C322" s="39" t="s">
        <v>37</v>
      </c>
      <c r="D322" s="39" t="s">
        <v>271</v>
      </c>
    </row>
    <row r="323" spans="1:4" hidden="1" x14ac:dyDescent="0.2">
      <c r="A323" s="39" t="s">
        <v>400</v>
      </c>
      <c r="B323" s="40" t="s">
        <v>401</v>
      </c>
      <c r="C323" s="39" t="s">
        <v>29</v>
      </c>
      <c r="D323" s="39" t="s">
        <v>271</v>
      </c>
    </row>
    <row r="324" spans="1:4" hidden="1" x14ac:dyDescent="0.2">
      <c r="A324" s="39" t="s">
        <v>168</v>
      </c>
      <c r="B324" s="40" t="s">
        <v>169</v>
      </c>
      <c r="C324" s="39" t="s">
        <v>37</v>
      </c>
      <c r="D324" s="39" t="s">
        <v>271</v>
      </c>
    </row>
    <row r="325" spans="1:4" hidden="1" x14ac:dyDescent="0.2">
      <c r="A325" s="39" t="s">
        <v>472</v>
      </c>
      <c r="B325" s="40" t="s">
        <v>473</v>
      </c>
      <c r="C325" s="39" t="s">
        <v>37</v>
      </c>
      <c r="D325" s="39" t="s">
        <v>271</v>
      </c>
    </row>
    <row r="326" spans="1:4" hidden="1" x14ac:dyDescent="0.2">
      <c r="A326" s="39" t="s">
        <v>96</v>
      </c>
      <c r="B326" s="40" t="s">
        <v>97</v>
      </c>
      <c r="C326" s="39" t="s">
        <v>39</v>
      </c>
      <c r="D326" s="39" t="s">
        <v>227</v>
      </c>
    </row>
    <row r="327" spans="1:4" hidden="1" x14ac:dyDescent="0.2">
      <c r="A327" s="39" t="s">
        <v>333</v>
      </c>
      <c r="B327" s="40" t="s">
        <v>334</v>
      </c>
      <c r="C327" s="39" t="s">
        <v>39</v>
      </c>
      <c r="D327" s="39" t="s">
        <v>271</v>
      </c>
    </row>
    <row r="328" spans="1:4" hidden="1" x14ac:dyDescent="0.2">
      <c r="A328" s="39" t="s">
        <v>58</v>
      </c>
      <c r="B328" s="40" t="s">
        <v>59</v>
      </c>
      <c r="C328" s="39" t="s">
        <v>39</v>
      </c>
      <c r="D328" s="39" t="s">
        <v>227</v>
      </c>
    </row>
    <row r="329" spans="1:4" hidden="1" x14ac:dyDescent="0.2">
      <c r="A329" s="39" t="s">
        <v>328</v>
      </c>
      <c r="B329" s="40" t="s">
        <v>329</v>
      </c>
      <c r="C329" s="39" t="s">
        <v>39</v>
      </c>
      <c r="D329" s="39" t="s">
        <v>271</v>
      </c>
    </row>
    <row r="330" spans="1:4" hidden="1" x14ac:dyDescent="0.2">
      <c r="A330" s="39" t="s">
        <v>67</v>
      </c>
      <c r="B330" s="40" t="s">
        <v>68</v>
      </c>
      <c r="C330" s="39" t="s">
        <v>37</v>
      </c>
      <c r="D330" s="39" t="s">
        <v>227</v>
      </c>
    </row>
    <row r="331" spans="1:4" hidden="1" x14ac:dyDescent="0.2">
      <c r="A331" s="39" t="s">
        <v>364</v>
      </c>
      <c r="B331" s="40" t="s">
        <v>365</v>
      </c>
      <c r="C331" s="39" t="s">
        <v>39</v>
      </c>
      <c r="D331" s="39" t="s">
        <v>271</v>
      </c>
    </row>
    <row r="332" spans="1:4" hidden="1" x14ac:dyDescent="0.2">
      <c r="A332" s="39" t="s">
        <v>166</v>
      </c>
      <c r="B332" s="40" t="s">
        <v>167</v>
      </c>
      <c r="C332" s="39" t="s">
        <v>37</v>
      </c>
      <c r="D332" s="39" t="s">
        <v>271</v>
      </c>
    </row>
    <row r="333" spans="1:4" hidden="1" x14ac:dyDescent="0.2">
      <c r="A333" s="39" t="s">
        <v>65</v>
      </c>
      <c r="B333" s="40" t="s">
        <v>66</v>
      </c>
      <c r="C333" s="39" t="s">
        <v>37</v>
      </c>
      <c r="D333" s="39" t="s">
        <v>227</v>
      </c>
    </row>
    <row r="334" spans="1:4" hidden="1" x14ac:dyDescent="0.2">
      <c r="A334" s="39" t="s">
        <v>600</v>
      </c>
      <c r="B334" s="40" t="s">
        <v>601</v>
      </c>
      <c r="C334" s="39" t="s">
        <v>29</v>
      </c>
      <c r="D334" s="39" t="s">
        <v>271</v>
      </c>
    </row>
    <row r="335" spans="1:4" hidden="1" x14ac:dyDescent="0.2">
      <c r="A335" s="39" t="s">
        <v>713</v>
      </c>
      <c r="B335" s="40" t="s">
        <v>714</v>
      </c>
      <c r="C335" s="39" t="s">
        <v>29</v>
      </c>
      <c r="D335" s="41" t="s">
        <v>227</v>
      </c>
    </row>
    <row r="336" spans="1:4" hidden="1" x14ac:dyDescent="0.2">
      <c r="A336" s="39" t="s">
        <v>425</v>
      </c>
      <c r="B336" s="40" t="s">
        <v>426</v>
      </c>
      <c r="C336" s="39" t="s">
        <v>29</v>
      </c>
      <c r="D336" s="39" t="s">
        <v>271</v>
      </c>
    </row>
    <row r="337" spans="1:4" hidden="1" x14ac:dyDescent="0.2">
      <c r="A337" s="39" t="s">
        <v>492</v>
      </c>
      <c r="B337" s="40" t="s">
        <v>493</v>
      </c>
      <c r="C337" s="39" t="s">
        <v>480</v>
      </c>
      <c r="D337" s="39" t="s">
        <v>271</v>
      </c>
    </row>
    <row r="338" spans="1:4" hidden="1" x14ac:dyDescent="0.2">
      <c r="A338" s="39" t="s">
        <v>612</v>
      </c>
      <c r="B338" s="40" t="s">
        <v>613</v>
      </c>
      <c r="C338" s="39" t="s">
        <v>37</v>
      </c>
      <c r="D338" s="41" t="s">
        <v>227</v>
      </c>
    </row>
    <row r="339" spans="1:4" hidden="1" x14ac:dyDescent="0.2">
      <c r="A339" s="39" t="s">
        <v>216</v>
      </c>
      <c r="B339" s="40" t="s">
        <v>277</v>
      </c>
      <c r="C339" s="39" t="s">
        <v>37</v>
      </c>
      <c r="D339" s="39" t="s">
        <v>271</v>
      </c>
    </row>
    <row r="340" spans="1:4" hidden="1" x14ac:dyDescent="0.2">
      <c r="A340" s="41" t="s">
        <v>964</v>
      </c>
      <c r="B340" s="40" t="s">
        <v>587</v>
      </c>
      <c r="C340" s="39" t="s">
        <v>29</v>
      </c>
      <c r="D340" s="39" t="s">
        <v>227</v>
      </c>
    </row>
    <row r="341" spans="1:4" hidden="1" x14ac:dyDescent="0.2">
      <c r="A341" s="39" t="s">
        <v>618</v>
      </c>
      <c r="B341" s="40" t="s">
        <v>619</v>
      </c>
      <c r="C341" s="39" t="s">
        <v>29</v>
      </c>
      <c r="D341" s="39" t="s">
        <v>271</v>
      </c>
    </row>
    <row r="342" spans="1:4" hidden="1" x14ac:dyDescent="0.2">
      <c r="A342" s="39" t="s">
        <v>450</v>
      </c>
      <c r="B342" s="40" t="s">
        <v>451</v>
      </c>
      <c r="C342" s="39" t="s">
        <v>37</v>
      </c>
      <c r="D342" s="39" t="s">
        <v>271</v>
      </c>
    </row>
    <row r="343" spans="1:4" hidden="1" x14ac:dyDescent="0.2">
      <c r="A343" s="39" t="s">
        <v>670</v>
      </c>
      <c r="B343" s="40" t="s">
        <v>671</v>
      </c>
      <c r="C343" s="39" t="s">
        <v>29</v>
      </c>
      <c r="D343" s="39" t="s">
        <v>271</v>
      </c>
    </row>
    <row r="344" spans="1:4" hidden="1" x14ac:dyDescent="0.2">
      <c r="A344" s="39" t="s">
        <v>604</v>
      </c>
      <c r="B344" s="40" t="s">
        <v>605</v>
      </c>
      <c r="C344" s="39" t="s">
        <v>29</v>
      </c>
      <c r="D344" s="39" t="s">
        <v>271</v>
      </c>
    </row>
    <row r="345" spans="1:4" hidden="1" x14ac:dyDescent="0.2">
      <c r="A345" s="41" t="s">
        <v>569</v>
      </c>
      <c r="B345" s="40" t="s">
        <v>570</v>
      </c>
      <c r="C345" s="39" t="s">
        <v>29</v>
      </c>
      <c r="D345" s="39" t="s">
        <v>271</v>
      </c>
    </row>
    <row r="346" spans="1:4" hidden="1" x14ac:dyDescent="0.2">
      <c r="A346" s="39" t="s">
        <v>86</v>
      </c>
      <c r="B346" s="40" t="s">
        <v>87</v>
      </c>
      <c r="C346" s="39" t="s">
        <v>29</v>
      </c>
      <c r="D346" s="39" t="s">
        <v>227</v>
      </c>
    </row>
    <row r="347" spans="1:4" hidden="1" x14ac:dyDescent="0.2">
      <c r="A347" s="39" t="s">
        <v>696</v>
      </c>
      <c r="B347" s="40" t="s">
        <v>697</v>
      </c>
      <c r="C347" s="39" t="s">
        <v>29</v>
      </c>
      <c r="D347" s="39" t="s">
        <v>271</v>
      </c>
    </row>
    <row r="348" spans="1:4" hidden="1" x14ac:dyDescent="0.2">
      <c r="A348" s="39" t="s">
        <v>555</v>
      </c>
      <c r="B348" s="40" t="s">
        <v>556</v>
      </c>
      <c r="C348" s="39" t="s">
        <v>29</v>
      </c>
      <c r="D348" s="41" t="s">
        <v>227</v>
      </c>
    </row>
    <row r="349" spans="1:4" hidden="1" x14ac:dyDescent="0.2">
      <c r="A349" s="39" t="s">
        <v>240</v>
      </c>
      <c r="B349" s="40" t="s">
        <v>241</v>
      </c>
      <c r="C349" s="39" t="s">
        <v>37</v>
      </c>
      <c r="D349" s="39" t="s">
        <v>227</v>
      </c>
    </row>
    <row r="350" spans="1:4" hidden="1" x14ac:dyDescent="0.2">
      <c r="A350" s="41" t="s">
        <v>588</v>
      </c>
      <c r="B350" s="40" t="s">
        <v>589</v>
      </c>
      <c r="C350" s="39" t="s">
        <v>37</v>
      </c>
      <c r="D350" s="39" t="s">
        <v>271</v>
      </c>
    </row>
    <row r="351" spans="1:4" hidden="1" x14ac:dyDescent="0.2">
      <c r="A351" s="39" t="s">
        <v>682</v>
      </c>
      <c r="B351" s="40" t="s">
        <v>683</v>
      </c>
      <c r="C351" s="39" t="s">
        <v>29</v>
      </c>
      <c r="D351" s="39" t="s">
        <v>271</v>
      </c>
    </row>
    <row r="352" spans="1:4" hidden="1" x14ac:dyDescent="0.2">
      <c r="A352" s="39" t="s">
        <v>82</v>
      </c>
      <c r="B352" s="40" t="s">
        <v>83</v>
      </c>
      <c r="C352" s="39" t="s">
        <v>37</v>
      </c>
      <c r="D352" s="39" t="s">
        <v>271</v>
      </c>
    </row>
    <row r="353" spans="1:4" hidden="1" x14ac:dyDescent="0.2">
      <c r="A353" s="39" t="s">
        <v>616</v>
      </c>
      <c r="B353" s="40" t="s">
        <v>617</v>
      </c>
      <c r="C353" s="39" t="s">
        <v>29</v>
      </c>
      <c r="D353" s="39" t="s">
        <v>271</v>
      </c>
    </row>
    <row r="354" spans="1:4" hidden="1" x14ac:dyDescent="0.2">
      <c r="A354" s="39" t="s">
        <v>531</v>
      </c>
      <c r="B354" s="40" t="s">
        <v>532</v>
      </c>
      <c r="C354" s="39" t="s">
        <v>29</v>
      </c>
      <c r="D354" s="39" t="s">
        <v>271</v>
      </c>
    </row>
    <row r="355" spans="1:4" hidden="1" x14ac:dyDescent="0.2">
      <c r="A355" s="39" t="s">
        <v>511</v>
      </c>
      <c r="B355" s="40" t="s">
        <v>512</v>
      </c>
      <c r="C355" s="39" t="s">
        <v>37</v>
      </c>
      <c r="D355" s="39" t="s">
        <v>271</v>
      </c>
    </row>
    <row r="356" spans="1:4" hidden="1" x14ac:dyDescent="0.2">
      <c r="A356" s="39" t="s">
        <v>513</v>
      </c>
      <c r="B356" s="40" t="s">
        <v>514</v>
      </c>
      <c r="C356" s="39" t="s">
        <v>29</v>
      </c>
      <c r="D356" s="39" t="s">
        <v>271</v>
      </c>
    </row>
    <row r="357" spans="1:4" hidden="1" x14ac:dyDescent="0.2">
      <c r="A357" s="39" t="s">
        <v>163</v>
      </c>
      <c r="B357" s="40" t="s">
        <v>164</v>
      </c>
      <c r="C357" s="39" t="s">
        <v>29</v>
      </c>
      <c r="D357" s="39" t="s">
        <v>271</v>
      </c>
    </row>
    <row r="358" spans="1:4" hidden="1" x14ac:dyDescent="0.2">
      <c r="A358" s="39" t="s">
        <v>700</v>
      </c>
      <c r="B358" s="40" t="s">
        <v>701</v>
      </c>
      <c r="C358" s="39" t="s">
        <v>29</v>
      </c>
      <c r="D358" s="39" t="s">
        <v>271</v>
      </c>
    </row>
    <row r="359" spans="1:4" hidden="1" x14ac:dyDescent="0.2">
      <c r="A359" s="39" t="s">
        <v>132</v>
      </c>
      <c r="B359" s="40" t="s">
        <v>133</v>
      </c>
      <c r="C359" s="39" t="s">
        <v>29</v>
      </c>
      <c r="D359" s="39" t="s">
        <v>227</v>
      </c>
    </row>
    <row r="360" spans="1:4" hidden="1" x14ac:dyDescent="0.2">
      <c r="A360" s="39" t="s">
        <v>200</v>
      </c>
      <c r="B360" s="40" t="s">
        <v>201</v>
      </c>
      <c r="C360" s="39" t="s">
        <v>29</v>
      </c>
      <c r="D360" s="39" t="s">
        <v>227</v>
      </c>
    </row>
    <row r="361" spans="1:4" hidden="1" x14ac:dyDescent="0.2">
      <c r="A361" s="41" t="s">
        <v>774</v>
      </c>
      <c r="B361" s="40" t="s">
        <v>775</v>
      </c>
      <c r="C361" s="39" t="s">
        <v>37</v>
      </c>
      <c r="D361" s="39" t="s">
        <v>271</v>
      </c>
    </row>
    <row r="362" spans="1:4" hidden="1" x14ac:dyDescent="0.2">
      <c r="A362" s="42" t="s">
        <v>839</v>
      </c>
      <c r="B362" s="40" t="s">
        <v>796</v>
      </c>
      <c r="C362" s="39" t="s">
        <v>29</v>
      </c>
      <c r="D362" s="39" t="s">
        <v>227</v>
      </c>
    </row>
    <row r="363" spans="1:4" hidden="1" x14ac:dyDescent="0.2">
      <c r="A363" s="39" t="s">
        <v>624</v>
      </c>
      <c r="B363" s="40" t="s">
        <v>625</v>
      </c>
      <c r="C363" s="39" t="s">
        <v>29</v>
      </c>
      <c r="D363" s="39" t="s">
        <v>271</v>
      </c>
    </row>
    <row r="364" spans="1:4" hidden="1" x14ac:dyDescent="0.2">
      <c r="A364" s="39" t="s">
        <v>60</v>
      </c>
      <c r="B364" s="40" t="s">
        <v>61</v>
      </c>
      <c r="C364" s="39" t="s">
        <v>37</v>
      </c>
      <c r="D364" s="39" t="s">
        <v>271</v>
      </c>
    </row>
    <row r="365" spans="1:4" hidden="1" x14ac:dyDescent="0.2">
      <c r="A365" s="39" t="s">
        <v>312</v>
      </c>
      <c r="B365" s="40" t="s">
        <v>313</v>
      </c>
      <c r="C365" s="39" t="s">
        <v>39</v>
      </c>
      <c r="D365" s="39" t="s">
        <v>227</v>
      </c>
    </row>
    <row r="366" spans="1:4" hidden="1" x14ac:dyDescent="0.2">
      <c r="A366" s="39" t="s">
        <v>259</v>
      </c>
      <c r="B366" s="40" t="s">
        <v>260</v>
      </c>
      <c r="C366" s="39" t="s">
        <v>37</v>
      </c>
      <c r="D366" s="39" t="s">
        <v>227</v>
      </c>
    </row>
    <row r="367" spans="1:4" hidden="1" x14ac:dyDescent="0.2">
      <c r="A367" s="39" t="s">
        <v>344</v>
      </c>
      <c r="B367" s="40" t="s">
        <v>345</v>
      </c>
      <c r="C367" s="39" t="s">
        <v>37</v>
      </c>
      <c r="D367" s="39" t="s">
        <v>271</v>
      </c>
    </row>
    <row r="368" spans="1:4" hidden="1" x14ac:dyDescent="0.2">
      <c r="A368" s="39" t="s">
        <v>760</v>
      </c>
      <c r="B368" s="40" t="s">
        <v>761</v>
      </c>
      <c r="C368" s="39" t="s">
        <v>39</v>
      </c>
      <c r="D368" s="39" t="s">
        <v>271</v>
      </c>
    </row>
    <row r="369" spans="1:5" hidden="1" x14ac:dyDescent="0.2">
      <c r="A369" s="39" t="s">
        <v>557</v>
      </c>
      <c r="B369" s="40" t="s">
        <v>558</v>
      </c>
      <c r="C369" s="39" t="s">
        <v>29</v>
      </c>
      <c r="D369" s="39" t="s">
        <v>271</v>
      </c>
    </row>
    <row r="370" spans="1:5" hidden="1" x14ac:dyDescent="0.2">
      <c r="A370" s="39" t="s">
        <v>62</v>
      </c>
      <c r="B370" s="40" t="s">
        <v>63</v>
      </c>
      <c r="C370" s="39" t="s">
        <v>29</v>
      </c>
      <c r="D370" s="39" t="s">
        <v>227</v>
      </c>
    </row>
    <row r="371" spans="1:5" hidden="1" x14ac:dyDescent="0.2">
      <c r="A371" s="39" t="s">
        <v>684</v>
      </c>
      <c r="B371" s="40" t="s">
        <v>685</v>
      </c>
      <c r="C371" s="39" t="s">
        <v>29</v>
      </c>
      <c r="D371" s="39" t="s">
        <v>271</v>
      </c>
    </row>
    <row r="372" spans="1:5" hidden="1" x14ac:dyDescent="0.2">
      <c r="A372" s="39" t="s">
        <v>88</v>
      </c>
      <c r="B372" s="40" t="s">
        <v>89</v>
      </c>
      <c r="C372" s="39" t="s">
        <v>29</v>
      </c>
      <c r="D372" s="39" t="s">
        <v>271</v>
      </c>
    </row>
    <row r="373" spans="1:5" hidden="1" x14ac:dyDescent="0.2">
      <c r="A373" s="41" t="s">
        <v>778</v>
      </c>
      <c r="B373" s="40" t="s">
        <v>779</v>
      </c>
      <c r="C373" s="39" t="s">
        <v>29</v>
      </c>
      <c r="D373" s="39" t="s">
        <v>271</v>
      </c>
    </row>
    <row r="374" spans="1:5" hidden="1" x14ac:dyDescent="0.2">
      <c r="A374" s="39" t="s">
        <v>134</v>
      </c>
      <c r="B374" s="40" t="s">
        <v>135</v>
      </c>
      <c r="C374" s="39" t="s">
        <v>37</v>
      </c>
      <c r="D374" s="39" t="s">
        <v>227</v>
      </c>
    </row>
    <row r="375" spans="1:5" hidden="1" x14ac:dyDescent="0.2">
      <c r="A375" s="41" t="s">
        <v>322</v>
      </c>
      <c r="B375" s="40" t="s">
        <v>323</v>
      </c>
      <c r="C375" s="39" t="s">
        <v>29</v>
      </c>
      <c r="D375" s="39" t="s">
        <v>227</v>
      </c>
    </row>
    <row r="376" spans="1:5" hidden="1" x14ac:dyDescent="0.2">
      <c r="A376" s="39" t="s">
        <v>583</v>
      </c>
      <c r="B376" s="40" t="s">
        <v>584</v>
      </c>
      <c r="C376" s="39" t="s">
        <v>29</v>
      </c>
      <c r="D376" s="39" t="s">
        <v>271</v>
      </c>
    </row>
    <row r="377" spans="1:5" hidden="1" x14ac:dyDescent="0.2">
      <c r="A377" s="39" t="s">
        <v>762</v>
      </c>
      <c r="B377" s="40" t="s">
        <v>763</v>
      </c>
      <c r="C377" s="39" t="s">
        <v>39</v>
      </c>
      <c r="D377" s="39" t="s">
        <v>271</v>
      </c>
    </row>
    <row r="378" spans="1:5" hidden="1" x14ac:dyDescent="0.2">
      <c r="A378" s="41" t="s">
        <v>535</v>
      </c>
      <c r="B378" s="40" t="s">
        <v>536</v>
      </c>
      <c r="C378" s="39" t="s">
        <v>29</v>
      </c>
      <c r="D378" s="39" t="s">
        <v>271</v>
      </c>
    </row>
    <row r="379" spans="1:5" ht="15" hidden="1" x14ac:dyDescent="0.25">
      <c r="A379" s="30" t="s">
        <v>847</v>
      </c>
      <c r="B379" s="29" t="s">
        <v>848</v>
      </c>
      <c r="C379" s="1" t="s">
        <v>29</v>
      </c>
      <c r="D379" s="1" t="s">
        <v>227</v>
      </c>
    </row>
    <row r="380" spans="1:5" ht="15" hidden="1" x14ac:dyDescent="0.25">
      <c r="A380" s="45" t="s">
        <v>849</v>
      </c>
      <c r="B380" s="1" t="s">
        <v>850</v>
      </c>
      <c r="C380" s="1" t="s">
        <v>29</v>
      </c>
      <c r="D380" s="30" t="s">
        <v>227</v>
      </c>
      <c r="E380" s="35" t="s">
        <v>223</v>
      </c>
    </row>
    <row r="381" spans="1:5" hidden="1" x14ac:dyDescent="0.2">
      <c r="A381" s="42" t="s">
        <v>851</v>
      </c>
      <c r="B381" s="40" t="s">
        <v>852</v>
      </c>
      <c r="C381" s="39" t="s">
        <v>29</v>
      </c>
      <c r="D381" s="39" t="s">
        <v>227</v>
      </c>
    </row>
    <row r="382" spans="1:5" hidden="1" x14ac:dyDescent="0.2">
      <c r="A382" s="39" t="s">
        <v>853</v>
      </c>
      <c r="B382" s="40" t="s">
        <v>854</v>
      </c>
      <c r="C382" s="39" t="s">
        <v>37</v>
      </c>
      <c r="D382" s="39" t="s">
        <v>227</v>
      </c>
    </row>
    <row r="383" spans="1:5" hidden="1" x14ac:dyDescent="0.2">
      <c r="A383" s="39" t="s">
        <v>855</v>
      </c>
      <c r="B383" s="40" t="s">
        <v>856</v>
      </c>
      <c r="C383" s="39" t="s">
        <v>37</v>
      </c>
      <c r="D383" s="1" t="s">
        <v>227</v>
      </c>
    </row>
    <row r="384" spans="1:5" hidden="1" x14ac:dyDescent="0.2">
      <c r="A384" s="39" t="s">
        <v>857</v>
      </c>
      <c r="B384" s="40" t="s">
        <v>858</v>
      </c>
      <c r="C384" s="39" t="s">
        <v>85</v>
      </c>
      <c r="D384" s="39" t="s">
        <v>227</v>
      </c>
    </row>
    <row r="385" spans="1:4" hidden="1" x14ac:dyDescent="0.2">
      <c r="A385" s="39" t="s">
        <v>859</v>
      </c>
      <c r="B385" s="40" t="s">
        <v>860</v>
      </c>
      <c r="C385" s="39" t="s">
        <v>37</v>
      </c>
      <c r="D385" s="39" t="s">
        <v>227</v>
      </c>
    </row>
    <row r="386" spans="1:4" hidden="1" x14ac:dyDescent="0.2">
      <c r="A386" s="39" t="s">
        <v>861</v>
      </c>
      <c r="B386" s="40" t="s">
        <v>862</v>
      </c>
      <c r="C386" s="39" t="s">
        <v>29</v>
      </c>
      <c r="D386" s="39" t="s">
        <v>227</v>
      </c>
    </row>
    <row r="387" spans="1:4" hidden="1" x14ac:dyDescent="0.2">
      <c r="A387" s="39" t="s">
        <v>863</v>
      </c>
      <c r="B387" s="40" t="s">
        <v>864</v>
      </c>
      <c r="C387" s="39" t="s">
        <v>29</v>
      </c>
      <c r="D387" s="39" t="s">
        <v>227</v>
      </c>
    </row>
    <row r="388" spans="1:4" hidden="1" x14ac:dyDescent="0.2">
      <c r="A388" s="39" t="s">
        <v>865</v>
      </c>
      <c r="B388" s="40" t="s">
        <v>866</v>
      </c>
      <c r="C388" s="39" t="s">
        <v>37</v>
      </c>
      <c r="D388" s="39" t="s">
        <v>227</v>
      </c>
    </row>
    <row r="389" spans="1:4" hidden="1" x14ac:dyDescent="0.2">
      <c r="A389" s="39" t="s">
        <v>867</v>
      </c>
      <c r="B389" s="40" t="s">
        <v>868</v>
      </c>
      <c r="C389" s="39" t="s">
        <v>29</v>
      </c>
      <c r="D389" s="39" t="s">
        <v>227</v>
      </c>
    </row>
    <row r="390" spans="1:4" hidden="1" x14ac:dyDescent="0.2">
      <c r="A390" s="40" t="s">
        <v>869</v>
      </c>
      <c r="B390" s="39" t="s">
        <v>870</v>
      </c>
      <c r="C390" s="39" t="s">
        <v>29</v>
      </c>
      <c r="D390" s="39" t="s">
        <v>227</v>
      </c>
    </row>
    <row r="391" spans="1:4" hidden="1" x14ac:dyDescent="0.2">
      <c r="A391" s="39" t="s">
        <v>871</v>
      </c>
      <c r="B391" s="40" t="s">
        <v>872</v>
      </c>
      <c r="C391" s="39" t="s">
        <v>29</v>
      </c>
      <c r="D391" s="39" t="s">
        <v>227</v>
      </c>
    </row>
    <row r="392" spans="1:4" hidden="1" x14ac:dyDescent="0.2">
      <c r="A392" s="39" t="s">
        <v>873</v>
      </c>
      <c r="B392" s="40" t="s">
        <v>874</v>
      </c>
      <c r="C392" s="39" t="s">
        <v>29</v>
      </c>
      <c r="D392" s="39" t="s">
        <v>227</v>
      </c>
    </row>
    <row r="393" spans="1:4" hidden="1" x14ac:dyDescent="0.2">
      <c r="A393" s="39" t="s">
        <v>875</v>
      </c>
      <c r="B393" s="40" t="s">
        <v>876</v>
      </c>
      <c r="C393" s="39" t="s">
        <v>37</v>
      </c>
      <c r="D393" s="39" t="s">
        <v>227</v>
      </c>
    </row>
    <row r="394" spans="1:4" hidden="1" x14ac:dyDescent="0.2">
      <c r="A394" s="39" t="s">
        <v>877</v>
      </c>
      <c r="B394" s="40" t="s">
        <v>797</v>
      </c>
      <c r="C394" s="39" t="s">
        <v>39</v>
      </c>
      <c r="D394" s="39" t="s">
        <v>227</v>
      </c>
    </row>
    <row r="395" spans="1:4" hidden="1" x14ac:dyDescent="0.2">
      <c r="A395" s="39" t="s">
        <v>878</v>
      </c>
      <c r="B395" s="40" t="s">
        <v>879</v>
      </c>
      <c r="C395" s="39" t="s">
        <v>39</v>
      </c>
      <c r="D395" s="39" t="s">
        <v>227</v>
      </c>
    </row>
    <row r="396" spans="1:4" hidden="1" x14ac:dyDescent="0.2">
      <c r="A396" s="39" t="s">
        <v>880</v>
      </c>
      <c r="B396" s="40" t="s">
        <v>881</v>
      </c>
      <c r="C396" s="39" t="s">
        <v>37</v>
      </c>
      <c r="D396" s="39" t="s">
        <v>227</v>
      </c>
    </row>
    <row r="397" spans="1:4" hidden="1" x14ac:dyDescent="0.2">
      <c r="A397" s="39" t="s">
        <v>882</v>
      </c>
      <c r="B397" s="40" t="s">
        <v>883</v>
      </c>
      <c r="C397" s="39" t="s">
        <v>37</v>
      </c>
      <c r="D397" s="39" t="s">
        <v>227</v>
      </c>
    </row>
    <row r="398" spans="1:4" hidden="1" x14ac:dyDescent="0.2">
      <c r="A398" s="39" t="s">
        <v>884</v>
      </c>
      <c r="B398" s="40" t="s">
        <v>885</v>
      </c>
      <c r="C398" s="39" t="s">
        <v>39</v>
      </c>
      <c r="D398" s="39" t="s">
        <v>227</v>
      </c>
    </row>
    <row r="399" spans="1:4" hidden="1" x14ac:dyDescent="0.2">
      <c r="A399" s="39" t="s">
        <v>886</v>
      </c>
      <c r="B399" s="40" t="s">
        <v>887</v>
      </c>
      <c r="C399" s="39" t="s">
        <v>27</v>
      </c>
      <c r="D399" s="39" t="s">
        <v>227</v>
      </c>
    </row>
    <row r="400" spans="1:4" hidden="1" x14ac:dyDescent="0.2">
      <c r="A400" s="39" t="s">
        <v>888</v>
      </c>
      <c r="B400" s="40" t="s">
        <v>889</v>
      </c>
      <c r="C400" s="46" t="s">
        <v>37</v>
      </c>
      <c r="D400" s="39" t="s">
        <v>227</v>
      </c>
    </row>
    <row r="401" spans="1:4" hidden="1" x14ac:dyDescent="0.2">
      <c r="A401" s="39" t="s">
        <v>914</v>
      </c>
      <c r="B401" s="40" t="s">
        <v>243</v>
      </c>
      <c r="C401" s="39" t="s">
        <v>37</v>
      </c>
      <c r="D401" s="39" t="s">
        <v>227</v>
      </c>
    </row>
    <row r="402" spans="1:4" x14ac:dyDescent="0.2">
      <c r="A402" s="1" t="s">
        <v>917</v>
      </c>
      <c r="B402" s="1" t="s">
        <v>1221</v>
      </c>
      <c r="C402" s="46" t="s">
        <v>37</v>
      </c>
      <c r="D402" s="39" t="s">
        <v>227</v>
      </c>
    </row>
    <row r="403" spans="1:4" hidden="1" x14ac:dyDescent="0.2">
      <c r="A403" s="30" t="s">
        <v>918</v>
      </c>
      <c r="B403" s="31" t="s">
        <v>852</v>
      </c>
      <c r="C403" s="1"/>
      <c r="D403" s="1"/>
    </row>
    <row r="404" spans="1:4" hidden="1" x14ac:dyDescent="0.2">
      <c r="A404" s="1"/>
      <c r="B404" s="31"/>
      <c r="C404" s="1"/>
      <c r="D404" s="1"/>
    </row>
    <row r="405" spans="1:4" x14ac:dyDescent="0.2">
      <c r="A405" s="1"/>
      <c r="B405" s="31"/>
      <c r="C405" s="1"/>
      <c r="D405" s="1"/>
    </row>
    <row r="406" spans="1:4" x14ac:dyDescent="0.2">
      <c r="A406" s="1"/>
      <c r="B406" s="31"/>
      <c r="C406" s="1"/>
      <c r="D406" s="1"/>
    </row>
    <row r="407" spans="1:4" x14ac:dyDescent="0.2">
      <c r="A407" s="1"/>
      <c r="B407" s="31"/>
      <c r="C407" s="1"/>
      <c r="D407" s="1"/>
    </row>
    <row r="408" spans="1:4" x14ac:dyDescent="0.2">
      <c r="A408" s="1"/>
      <c r="B408" s="31"/>
      <c r="C408" s="1"/>
      <c r="D408" s="1"/>
    </row>
    <row r="409" spans="1:4" x14ac:dyDescent="0.2">
      <c r="A409" s="1"/>
      <c r="B409" s="31"/>
      <c r="C409" s="1"/>
      <c r="D409" s="1"/>
    </row>
    <row r="410" spans="1:4" x14ac:dyDescent="0.2">
      <c r="A410" s="1"/>
      <c r="B410" s="31"/>
      <c r="C410" s="1"/>
      <c r="D410" s="1"/>
    </row>
    <row r="411" spans="1:4" x14ac:dyDescent="0.2">
      <c r="A411" s="1"/>
      <c r="B411" s="31"/>
      <c r="C411" s="1"/>
      <c r="D411" s="1"/>
    </row>
    <row r="412" spans="1:4" x14ac:dyDescent="0.2">
      <c r="A412" s="1"/>
      <c r="B412" s="31"/>
      <c r="C412" s="1"/>
      <c r="D412" s="1"/>
    </row>
    <row r="413" spans="1:4" x14ac:dyDescent="0.2">
      <c r="A413" s="1"/>
      <c r="B413" s="31"/>
      <c r="C413" s="1"/>
      <c r="D413" s="1"/>
    </row>
    <row r="414" spans="1:4" x14ac:dyDescent="0.2">
      <c r="A414" s="1"/>
      <c r="B414" s="31"/>
      <c r="C414" s="1"/>
      <c r="D414" s="1"/>
    </row>
    <row r="415" spans="1:4" x14ac:dyDescent="0.2">
      <c r="A415" s="1"/>
      <c r="B415" s="31"/>
      <c r="C415" s="1"/>
      <c r="D415" s="1"/>
    </row>
    <row r="416" spans="1:4" x14ac:dyDescent="0.2">
      <c r="A416" s="1"/>
      <c r="B416" s="31"/>
      <c r="C416" s="1"/>
      <c r="D416" s="1"/>
    </row>
    <row r="417" spans="1:4" x14ac:dyDescent="0.2">
      <c r="A417" s="1"/>
      <c r="B417" s="31"/>
      <c r="C417" s="1"/>
      <c r="D417" s="1"/>
    </row>
    <row r="418" spans="1:4" x14ac:dyDescent="0.2">
      <c r="A418" s="1"/>
      <c r="B418" s="31"/>
      <c r="C418" s="1"/>
      <c r="D418" s="1"/>
    </row>
    <row r="419" spans="1:4" x14ac:dyDescent="0.2">
      <c r="A419" s="1"/>
      <c r="B419" s="31"/>
      <c r="C419" s="1"/>
      <c r="D419" s="1"/>
    </row>
    <row r="420" spans="1:4" x14ac:dyDescent="0.2">
      <c r="A420" s="1"/>
      <c r="B420" s="31"/>
      <c r="C420" s="1"/>
      <c r="D420" s="1"/>
    </row>
    <row r="421" spans="1:4" x14ac:dyDescent="0.2">
      <c r="A421" s="1"/>
      <c r="B421" s="31"/>
      <c r="C421" s="1"/>
      <c r="D421" s="1"/>
    </row>
    <row r="422" spans="1:4" x14ac:dyDescent="0.2">
      <c r="A422" s="1"/>
      <c r="B422" s="31"/>
      <c r="C422" s="1"/>
      <c r="D422" s="1"/>
    </row>
    <row r="423" spans="1:4" x14ac:dyDescent="0.2">
      <c r="A423" s="1"/>
      <c r="B423" s="31"/>
      <c r="C423" s="1"/>
      <c r="D423" s="1"/>
    </row>
    <row r="424" spans="1:4" x14ac:dyDescent="0.2">
      <c r="A424" s="1"/>
      <c r="B424" s="31"/>
      <c r="C424" s="1"/>
      <c r="D424" s="1"/>
    </row>
    <row r="425" spans="1:4" x14ac:dyDescent="0.2">
      <c r="A425" s="1"/>
      <c r="B425" s="31"/>
      <c r="C425" s="1"/>
      <c r="D425" s="1"/>
    </row>
    <row r="426" spans="1:4" x14ac:dyDescent="0.2">
      <c r="A426" s="1"/>
      <c r="B426" s="31"/>
      <c r="C426" s="1"/>
      <c r="D426" s="1"/>
    </row>
    <row r="427" spans="1:4" x14ac:dyDescent="0.2">
      <c r="A427" s="1"/>
      <c r="B427" s="31"/>
      <c r="C427" s="1"/>
      <c r="D427" s="1"/>
    </row>
    <row r="428" spans="1:4" x14ac:dyDescent="0.2">
      <c r="A428" s="1"/>
      <c r="B428" s="31"/>
      <c r="C428" s="1"/>
      <c r="D428" s="1"/>
    </row>
    <row r="429" spans="1:4" x14ac:dyDescent="0.2">
      <c r="A429" s="1"/>
      <c r="B429" s="31"/>
      <c r="C429" s="1"/>
      <c r="D429" s="1"/>
    </row>
    <row r="430" spans="1:4" x14ac:dyDescent="0.2">
      <c r="A430" s="1"/>
      <c r="B430" s="31"/>
      <c r="C430" s="1"/>
      <c r="D430" s="1"/>
    </row>
    <row r="431" spans="1:4" x14ac:dyDescent="0.2">
      <c r="A431" s="1"/>
      <c r="B431" s="31"/>
      <c r="C431" s="1"/>
      <c r="D431" s="1"/>
    </row>
    <row r="432" spans="1:4" x14ac:dyDescent="0.2">
      <c r="A432" s="1"/>
      <c r="B432" s="31"/>
      <c r="C432" s="1"/>
      <c r="D432" s="1"/>
    </row>
    <row r="433" spans="1:6" x14ac:dyDescent="0.2">
      <c r="A433" s="1"/>
      <c r="B433" s="31"/>
      <c r="C433" s="1"/>
      <c r="D433" s="1"/>
    </row>
    <row r="434" spans="1:6" x14ac:dyDescent="0.2">
      <c r="A434" s="1"/>
      <c r="B434" s="31"/>
      <c r="C434" s="1"/>
      <c r="D434" s="1"/>
    </row>
    <row r="435" spans="1:6" x14ac:dyDescent="0.2">
      <c r="A435" s="1"/>
      <c r="B435" s="31"/>
      <c r="C435" s="1"/>
      <c r="D435" s="1"/>
    </row>
    <row r="436" spans="1:6" x14ac:dyDescent="0.2">
      <c r="A436" s="1"/>
      <c r="B436" s="31"/>
      <c r="C436" s="1"/>
      <c r="D436" s="1"/>
    </row>
    <row r="437" spans="1:6" x14ac:dyDescent="0.2">
      <c r="A437" s="1"/>
      <c r="B437" s="31"/>
      <c r="C437" s="1"/>
      <c r="D437" s="1"/>
    </row>
    <row r="438" spans="1:6" x14ac:dyDescent="0.2">
      <c r="A438" s="1"/>
      <c r="B438" s="31"/>
      <c r="C438" s="1"/>
      <c r="D438" s="1"/>
    </row>
    <row r="439" spans="1:6" x14ac:dyDescent="0.2">
      <c r="A439" s="1"/>
      <c r="B439" s="31"/>
      <c r="C439" s="1"/>
      <c r="D439" s="1"/>
      <c r="F439" s="32"/>
    </row>
    <row r="440" spans="1:6" x14ac:dyDescent="0.2">
      <c r="A440" s="1"/>
      <c r="B440" s="31"/>
      <c r="C440" s="1"/>
      <c r="D440" s="1"/>
    </row>
    <row r="441" spans="1:6" x14ac:dyDescent="0.2">
      <c r="A441" s="1"/>
      <c r="B441" s="31"/>
      <c r="C441" s="1"/>
      <c r="D441" s="1"/>
    </row>
    <row r="442" spans="1:6" x14ac:dyDescent="0.2">
      <c r="A442" s="1"/>
      <c r="B442" s="31"/>
      <c r="C442" s="1"/>
      <c r="D442" s="1"/>
    </row>
    <row r="443" spans="1:6" x14ac:dyDescent="0.2">
      <c r="A443" s="1"/>
      <c r="B443" s="31"/>
      <c r="C443" s="1"/>
      <c r="D443" s="1"/>
    </row>
    <row r="444" spans="1:6" x14ac:dyDescent="0.2">
      <c r="A444" s="1"/>
      <c r="B444" s="31"/>
      <c r="C444" s="1"/>
      <c r="D444" s="1"/>
    </row>
    <row r="445" spans="1:6" x14ac:dyDescent="0.2">
      <c r="A445" s="1"/>
      <c r="B445" s="31"/>
      <c r="C445" s="1"/>
      <c r="D445" s="1"/>
    </row>
    <row r="446" spans="1:6" x14ac:dyDescent="0.2">
      <c r="A446" s="1"/>
      <c r="B446" s="31"/>
      <c r="C446" s="1"/>
      <c r="D446" s="1"/>
    </row>
    <row r="447" spans="1:6" x14ac:dyDescent="0.2">
      <c r="A447" s="1"/>
      <c r="B447" s="31"/>
      <c r="C447" s="1"/>
      <c r="D447" s="1"/>
    </row>
    <row r="448" spans="1:6" x14ac:dyDescent="0.2">
      <c r="A448" s="1"/>
      <c r="B448" s="31"/>
      <c r="C448" s="1"/>
      <c r="D448" s="1"/>
    </row>
    <row r="449" spans="1:4" x14ac:dyDescent="0.2">
      <c r="A449" s="1"/>
      <c r="B449" s="31"/>
      <c r="C449" s="1"/>
      <c r="D449" s="1"/>
    </row>
    <row r="450" spans="1:4" x14ac:dyDescent="0.2">
      <c r="A450" s="1"/>
      <c r="B450" s="31"/>
      <c r="C450" s="1"/>
      <c r="D450" s="1"/>
    </row>
    <row r="451" spans="1:4" x14ac:dyDescent="0.2">
      <c r="A451" s="7" t="s">
        <v>223</v>
      </c>
      <c r="B451" s="7" t="s">
        <v>223</v>
      </c>
      <c r="C451" s="7" t="s">
        <v>223</v>
      </c>
      <c r="D451" s="7" t="s">
        <v>223</v>
      </c>
    </row>
  </sheetData>
  <autoFilter ref="A2:F404" xr:uid="{00000000-0009-0000-0000-000005000000}">
    <filterColumn colId="0">
      <filters>
        <filter val="Muriato de k blanco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5:S58"/>
  <sheetViews>
    <sheetView topLeftCell="B1" workbookViewId="0">
      <selection activeCell="O7" sqref="O7:S43"/>
    </sheetView>
  </sheetViews>
  <sheetFormatPr baseColWidth="10" defaultRowHeight="12.75" x14ac:dyDescent="0.2"/>
  <sheetData>
    <row r="5" spans="2:19" ht="22.5" x14ac:dyDescent="0.2">
      <c r="B5" s="78" t="s">
        <v>1</v>
      </c>
      <c r="C5" s="78" t="s">
        <v>303</v>
      </c>
      <c r="D5" s="78" t="s">
        <v>1194</v>
      </c>
      <c r="E5" s="78" t="s">
        <v>301</v>
      </c>
      <c r="F5" s="78" t="s">
        <v>283</v>
      </c>
      <c r="I5" s="78" t="s">
        <v>1</v>
      </c>
      <c r="J5" s="78" t="s">
        <v>303</v>
      </c>
      <c r="K5" s="78" t="s">
        <v>1194</v>
      </c>
      <c r="L5" s="78" t="s">
        <v>301</v>
      </c>
      <c r="M5" s="78" t="s">
        <v>283</v>
      </c>
      <c r="O5" s="78" t="s">
        <v>1</v>
      </c>
      <c r="P5" s="78" t="s">
        <v>303</v>
      </c>
      <c r="Q5" s="78" t="s">
        <v>1194</v>
      </c>
      <c r="R5" s="78" t="s">
        <v>301</v>
      </c>
      <c r="S5" s="78" t="s">
        <v>283</v>
      </c>
    </row>
    <row r="7" spans="2:19" x14ac:dyDescent="0.2">
      <c r="B7" s="58" t="s">
        <v>933</v>
      </c>
      <c r="C7" s="58">
        <v>1945</v>
      </c>
      <c r="D7" s="58" t="s">
        <v>287</v>
      </c>
      <c r="E7" s="58" t="s">
        <v>929</v>
      </c>
      <c r="F7" s="58" t="s">
        <v>1109</v>
      </c>
      <c r="I7" s="58">
        <v>59</v>
      </c>
      <c r="J7" s="58">
        <v>1947</v>
      </c>
      <c r="K7" s="58" t="s">
        <v>225</v>
      </c>
      <c r="L7" s="58" t="s">
        <v>922</v>
      </c>
      <c r="M7" s="58" t="s">
        <v>286</v>
      </c>
      <c r="O7" s="58" t="s">
        <v>956</v>
      </c>
      <c r="P7" s="58">
        <v>1948</v>
      </c>
      <c r="Q7" s="58" t="s">
        <v>288</v>
      </c>
      <c r="R7" s="58" t="s">
        <v>922</v>
      </c>
      <c r="S7" s="58" t="s">
        <v>1109</v>
      </c>
    </row>
    <row r="8" spans="2:19" x14ac:dyDescent="0.2">
      <c r="B8" s="58" t="s">
        <v>932</v>
      </c>
      <c r="C8" s="58">
        <v>1945</v>
      </c>
      <c r="D8" s="58" t="s">
        <v>287</v>
      </c>
      <c r="E8" s="58" t="s">
        <v>929</v>
      </c>
      <c r="F8" s="58" t="s">
        <v>1109</v>
      </c>
      <c r="I8" s="58">
        <v>60</v>
      </c>
      <c r="J8" s="58">
        <v>1947</v>
      </c>
      <c r="K8" s="58" t="s">
        <v>225</v>
      </c>
      <c r="L8" s="58" t="s">
        <v>922</v>
      </c>
      <c r="M8" s="58" t="s">
        <v>286</v>
      </c>
      <c r="O8" s="58" t="s">
        <v>1117</v>
      </c>
      <c r="P8" s="58">
        <v>1949</v>
      </c>
      <c r="Q8" s="58" t="s">
        <v>288</v>
      </c>
      <c r="R8" s="58" t="s">
        <v>929</v>
      </c>
      <c r="S8" s="58" t="s">
        <v>1216</v>
      </c>
    </row>
    <row r="9" spans="2:19" x14ac:dyDescent="0.2">
      <c r="B9" s="58">
        <v>338</v>
      </c>
      <c r="C9" s="58">
        <v>1946</v>
      </c>
      <c r="D9" s="58" t="s">
        <v>287</v>
      </c>
      <c r="E9" s="58" t="s">
        <v>923</v>
      </c>
      <c r="F9" s="58" t="s">
        <v>980</v>
      </c>
      <c r="I9" s="58">
        <v>60</v>
      </c>
      <c r="J9" s="58">
        <v>1947</v>
      </c>
      <c r="K9" s="58" t="s">
        <v>225</v>
      </c>
      <c r="L9" s="58" t="s">
        <v>922</v>
      </c>
      <c r="M9" s="58">
        <v>6025</v>
      </c>
      <c r="O9" s="58" t="s">
        <v>1118</v>
      </c>
      <c r="P9" s="58">
        <v>1949</v>
      </c>
      <c r="Q9" s="58" t="s">
        <v>288</v>
      </c>
      <c r="R9" s="58" t="s">
        <v>929</v>
      </c>
      <c r="S9" s="58" t="s">
        <v>1216</v>
      </c>
    </row>
    <row r="10" spans="2:19" x14ac:dyDescent="0.2">
      <c r="B10" s="58" t="s">
        <v>930</v>
      </c>
      <c r="C10" s="58">
        <v>1946</v>
      </c>
      <c r="D10" s="58" t="s">
        <v>287</v>
      </c>
      <c r="E10" s="58" t="s">
        <v>922</v>
      </c>
      <c r="F10" s="58" t="s">
        <v>1109</v>
      </c>
      <c r="I10" s="58">
        <v>61</v>
      </c>
      <c r="J10" s="58">
        <v>1947</v>
      </c>
      <c r="K10" s="58" t="s">
        <v>225</v>
      </c>
      <c r="L10" s="58" t="s">
        <v>922</v>
      </c>
      <c r="M10" s="58" t="s">
        <v>286</v>
      </c>
      <c r="O10" s="58" t="s">
        <v>1119</v>
      </c>
      <c r="P10" s="58">
        <v>1949</v>
      </c>
      <c r="Q10" s="58" t="s">
        <v>288</v>
      </c>
      <c r="R10" s="58" t="s">
        <v>929</v>
      </c>
      <c r="S10" s="58" t="s">
        <v>1216</v>
      </c>
    </row>
    <row r="11" spans="2:19" x14ac:dyDescent="0.2">
      <c r="B11" s="58">
        <v>310</v>
      </c>
      <c r="C11" s="58">
        <v>1947</v>
      </c>
      <c r="D11" s="58" t="s">
        <v>287</v>
      </c>
      <c r="E11" s="58" t="s">
        <v>929</v>
      </c>
      <c r="F11" s="58" t="s">
        <v>980</v>
      </c>
      <c r="I11" s="58">
        <v>62</v>
      </c>
      <c r="J11" s="58">
        <v>1947</v>
      </c>
      <c r="K11" s="58" t="s">
        <v>225</v>
      </c>
      <c r="L11" s="58" t="s">
        <v>922</v>
      </c>
      <c r="M11" s="58" t="s">
        <v>286</v>
      </c>
      <c r="O11" s="58" t="s">
        <v>1120</v>
      </c>
      <c r="P11" s="58">
        <v>1949</v>
      </c>
      <c r="Q11" s="58" t="s">
        <v>288</v>
      </c>
      <c r="R11" s="58" t="s">
        <v>922</v>
      </c>
      <c r="S11" s="58" t="s">
        <v>1109</v>
      </c>
    </row>
    <row r="12" spans="2:19" x14ac:dyDescent="0.2">
      <c r="B12" s="58">
        <v>320</v>
      </c>
      <c r="C12" s="58">
        <v>1947</v>
      </c>
      <c r="D12" s="58" t="s">
        <v>287</v>
      </c>
      <c r="E12" s="58" t="s">
        <v>923</v>
      </c>
      <c r="F12" s="58" t="s">
        <v>980</v>
      </c>
      <c r="I12" s="58">
        <v>83</v>
      </c>
      <c r="J12" s="58">
        <v>1947</v>
      </c>
      <c r="K12" s="58" t="s">
        <v>225</v>
      </c>
      <c r="L12" s="58" t="s">
        <v>842</v>
      </c>
      <c r="M12" s="58" t="s">
        <v>286</v>
      </c>
      <c r="O12" s="58" t="s">
        <v>1121</v>
      </c>
      <c r="P12" s="58">
        <v>1949</v>
      </c>
      <c r="Q12" s="58" t="s">
        <v>288</v>
      </c>
      <c r="R12" s="58" t="s">
        <v>922</v>
      </c>
      <c r="S12" s="58" t="s">
        <v>1109</v>
      </c>
    </row>
    <row r="13" spans="2:19" x14ac:dyDescent="0.2">
      <c r="B13" s="58">
        <v>316</v>
      </c>
      <c r="C13" s="58">
        <v>1948</v>
      </c>
      <c r="D13" s="58" t="s">
        <v>287</v>
      </c>
      <c r="E13" s="58" t="s">
        <v>929</v>
      </c>
      <c r="F13" s="58" t="s">
        <v>980</v>
      </c>
      <c r="I13" s="58">
        <v>84</v>
      </c>
      <c r="J13" s="58">
        <v>1947</v>
      </c>
      <c r="K13" s="58" t="s">
        <v>225</v>
      </c>
      <c r="L13" s="58" t="s">
        <v>842</v>
      </c>
      <c r="M13" s="58" t="s">
        <v>286</v>
      </c>
      <c r="O13" s="58" t="s">
        <v>962</v>
      </c>
      <c r="P13" s="58">
        <v>1950</v>
      </c>
      <c r="Q13" s="58" t="s">
        <v>288</v>
      </c>
      <c r="R13" s="58" t="s">
        <v>923</v>
      </c>
      <c r="S13" s="58" t="s">
        <v>1216</v>
      </c>
    </row>
    <row r="14" spans="2:19" x14ac:dyDescent="0.2">
      <c r="B14" s="58">
        <v>318</v>
      </c>
      <c r="C14" s="58">
        <v>1948</v>
      </c>
      <c r="D14" s="58" t="s">
        <v>287</v>
      </c>
      <c r="E14" s="58" t="s">
        <v>923</v>
      </c>
      <c r="F14" s="58" t="s">
        <v>980</v>
      </c>
      <c r="I14" s="58">
        <v>81</v>
      </c>
      <c r="J14" s="58">
        <v>1948</v>
      </c>
      <c r="K14" s="58" t="s">
        <v>225</v>
      </c>
      <c r="L14" s="58" t="s">
        <v>842</v>
      </c>
      <c r="M14" s="58" t="s">
        <v>286</v>
      </c>
      <c r="O14" s="58">
        <v>214</v>
      </c>
      <c r="P14" s="58">
        <v>1951</v>
      </c>
      <c r="Q14" s="58" t="s">
        <v>288</v>
      </c>
      <c r="R14" s="58" t="s">
        <v>922</v>
      </c>
      <c r="S14" s="58" t="s">
        <v>286</v>
      </c>
    </row>
    <row r="15" spans="2:19" x14ac:dyDescent="0.2">
      <c r="B15" s="58">
        <v>318</v>
      </c>
      <c r="C15" s="58">
        <v>1948</v>
      </c>
      <c r="D15" s="58" t="s">
        <v>287</v>
      </c>
      <c r="E15" s="58" t="s">
        <v>923</v>
      </c>
      <c r="F15" s="58">
        <v>6025</v>
      </c>
      <c r="I15" s="58">
        <v>82</v>
      </c>
      <c r="J15" s="58">
        <v>1948</v>
      </c>
      <c r="K15" s="58" t="s">
        <v>225</v>
      </c>
      <c r="L15" s="58" t="s">
        <v>842</v>
      </c>
      <c r="M15" s="58" t="s">
        <v>286</v>
      </c>
      <c r="O15" s="58" t="s">
        <v>946</v>
      </c>
      <c r="P15" s="58">
        <v>1951</v>
      </c>
      <c r="Q15" s="58" t="s">
        <v>288</v>
      </c>
      <c r="R15" s="58" t="s">
        <v>923</v>
      </c>
      <c r="S15" s="58" t="s">
        <v>1109</v>
      </c>
    </row>
    <row r="16" spans="2:19" x14ac:dyDescent="0.2">
      <c r="B16" s="58">
        <v>319</v>
      </c>
      <c r="C16" s="58">
        <v>1948</v>
      </c>
      <c r="D16" s="58" t="s">
        <v>287</v>
      </c>
      <c r="E16" s="58" t="s">
        <v>923</v>
      </c>
      <c r="F16" s="58" t="s">
        <v>980</v>
      </c>
      <c r="I16" s="58">
        <v>70</v>
      </c>
      <c r="J16" s="58">
        <v>1949</v>
      </c>
      <c r="K16" s="58" t="s">
        <v>225</v>
      </c>
      <c r="L16" s="58" t="s">
        <v>922</v>
      </c>
      <c r="M16" s="58" t="s">
        <v>286</v>
      </c>
      <c r="O16" s="58">
        <v>221</v>
      </c>
      <c r="P16" s="58">
        <v>1952</v>
      </c>
      <c r="Q16" s="58" t="s">
        <v>288</v>
      </c>
      <c r="R16" s="58" t="s">
        <v>922</v>
      </c>
      <c r="S16" s="58" t="s">
        <v>286</v>
      </c>
    </row>
    <row r="17" spans="2:19" x14ac:dyDescent="0.2">
      <c r="B17" s="58">
        <v>319</v>
      </c>
      <c r="C17" s="58">
        <v>1948</v>
      </c>
      <c r="D17" s="58" t="s">
        <v>287</v>
      </c>
      <c r="E17" s="58" t="s">
        <v>923</v>
      </c>
      <c r="F17" s="58">
        <v>6025</v>
      </c>
      <c r="I17" s="58">
        <v>75</v>
      </c>
      <c r="J17" s="58">
        <v>1950</v>
      </c>
      <c r="K17" s="58" t="s">
        <v>225</v>
      </c>
      <c r="L17" s="58" t="s">
        <v>1125</v>
      </c>
      <c r="M17" s="58" t="s">
        <v>286</v>
      </c>
      <c r="O17" s="58" t="s">
        <v>947</v>
      </c>
      <c r="P17" s="58">
        <v>1952</v>
      </c>
      <c r="Q17" s="58" t="s">
        <v>288</v>
      </c>
      <c r="R17" s="58" t="s">
        <v>923</v>
      </c>
      <c r="S17" s="58" t="s">
        <v>1109</v>
      </c>
    </row>
    <row r="18" spans="2:19" x14ac:dyDescent="0.2">
      <c r="B18" s="58" t="s">
        <v>931</v>
      </c>
      <c r="C18" s="58">
        <v>1948</v>
      </c>
      <c r="D18" s="58" t="s">
        <v>287</v>
      </c>
      <c r="E18" s="58" t="s">
        <v>922</v>
      </c>
      <c r="F18" s="58" t="s">
        <v>1109</v>
      </c>
      <c r="I18" s="58">
        <v>9</v>
      </c>
      <c r="J18" s="58">
        <v>1951</v>
      </c>
      <c r="K18" s="58" t="s">
        <v>225</v>
      </c>
      <c r="L18" s="58" t="s">
        <v>928</v>
      </c>
      <c r="M18" s="58" t="s">
        <v>286</v>
      </c>
      <c r="O18" s="58" t="s">
        <v>905</v>
      </c>
      <c r="P18" s="58">
        <v>1952</v>
      </c>
      <c r="Q18" s="58" t="s">
        <v>288</v>
      </c>
      <c r="R18" s="58" t="s">
        <v>929</v>
      </c>
      <c r="S18" s="58" t="s">
        <v>1216</v>
      </c>
    </row>
    <row r="19" spans="2:19" x14ac:dyDescent="0.2">
      <c r="B19" s="58">
        <v>317</v>
      </c>
      <c r="C19" s="58">
        <v>1949</v>
      </c>
      <c r="D19" s="58" t="s">
        <v>287</v>
      </c>
      <c r="E19" s="58" t="s">
        <v>923</v>
      </c>
      <c r="F19" s="58" t="s">
        <v>980</v>
      </c>
      <c r="I19" s="58">
        <v>351</v>
      </c>
      <c r="J19" s="58">
        <v>1951</v>
      </c>
      <c r="K19" s="58" t="s">
        <v>225</v>
      </c>
      <c r="L19" s="58" t="s">
        <v>923</v>
      </c>
      <c r="M19" s="58" t="s">
        <v>980</v>
      </c>
      <c r="O19" s="58" t="s">
        <v>906</v>
      </c>
      <c r="P19" s="58">
        <v>1952</v>
      </c>
      <c r="Q19" s="58" t="s">
        <v>288</v>
      </c>
      <c r="R19" s="58" t="s">
        <v>929</v>
      </c>
      <c r="S19" s="58" t="s">
        <v>1216</v>
      </c>
    </row>
    <row r="20" spans="2:19" x14ac:dyDescent="0.2">
      <c r="B20" s="58">
        <v>317</v>
      </c>
      <c r="C20" s="58">
        <v>1949</v>
      </c>
      <c r="D20" s="58" t="s">
        <v>287</v>
      </c>
      <c r="E20" s="58" t="s">
        <v>923</v>
      </c>
      <c r="F20" s="58">
        <v>6025</v>
      </c>
      <c r="I20" s="58">
        <v>351</v>
      </c>
      <c r="J20" s="58">
        <v>1951</v>
      </c>
      <c r="K20" s="58" t="s">
        <v>225</v>
      </c>
      <c r="L20" s="58" t="s">
        <v>923</v>
      </c>
      <c r="M20" s="58">
        <v>6025</v>
      </c>
      <c r="O20" s="58" t="s">
        <v>961</v>
      </c>
      <c r="P20" s="58">
        <v>1952</v>
      </c>
      <c r="Q20" s="58" t="s">
        <v>288</v>
      </c>
      <c r="R20" s="58" t="s">
        <v>923</v>
      </c>
      <c r="S20" s="58" t="s">
        <v>1216</v>
      </c>
    </row>
    <row r="21" spans="2:19" x14ac:dyDescent="0.2">
      <c r="B21" s="58">
        <v>29</v>
      </c>
      <c r="C21" s="58">
        <v>1951</v>
      </c>
      <c r="D21" s="58" t="s">
        <v>287</v>
      </c>
      <c r="E21" s="58" t="s">
        <v>1125</v>
      </c>
      <c r="F21" s="58" t="s">
        <v>286</v>
      </c>
      <c r="I21" s="58">
        <v>64</v>
      </c>
      <c r="J21" s="58">
        <v>1952</v>
      </c>
      <c r="K21" s="58" t="s">
        <v>225</v>
      </c>
      <c r="L21" s="58" t="s">
        <v>1125</v>
      </c>
      <c r="M21" s="58" t="s">
        <v>286</v>
      </c>
      <c r="O21" s="58" t="s">
        <v>952</v>
      </c>
      <c r="P21" s="58">
        <v>2001</v>
      </c>
      <c r="Q21" s="58" t="s">
        <v>288</v>
      </c>
      <c r="R21" s="58" t="s">
        <v>923</v>
      </c>
      <c r="S21" s="58" t="s">
        <v>1109</v>
      </c>
    </row>
    <row r="22" spans="2:19" x14ac:dyDescent="0.2">
      <c r="B22" s="58">
        <v>309</v>
      </c>
      <c r="C22" s="58">
        <v>1952</v>
      </c>
      <c r="D22" s="58" t="s">
        <v>287</v>
      </c>
      <c r="E22" s="58" t="s">
        <v>922</v>
      </c>
      <c r="F22" s="58" t="s">
        <v>286</v>
      </c>
      <c r="I22" s="58" t="s">
        <v>924</v>
      </c>
      <c r="J22" s="58">
        <v>1952</v>
      </c>
      <c r="K22" s="58" t="s">
        <v>225</v>
      </c>
      <c r="L22" s="58" t="s">
        <v>1125</v>
      </c>
      <c r="M22" s="58" t="s">
        <v>286</v>
      </c>
      <c r="O22" s="58">
        <v>212</v>
      </c>
      <c r="P22" s="58">
        <v>2002</v>
      </c>
      <c r="Q22" s="58" t="s">
        <v>288</v>
      </c>
      <c r="R22" s="58" t="s">
        <v>480</v>
      </c>
      <c r="S22" s="58" t="s">
        <v>286</v>
      </c>
    </row>
    <row r="23" spans="2:19" x14ac:dyDescent="0.2">
      <c r="B23" s="58">
        <v>308</v>
      </c>
      <c r="C23" s="58">
        <v>1952</v>
      </c>
      <c r="D23" s="58" t="s">
        <v>287</v>
      </c>
      <c r="E23" s="58" t="s">
        <v>923</v>
      </c>
      <c r="F23" s="58" t="s">
        <v>980</v>
      </c>
      <c r="I23" s="58" t="s">
        <v>925</v>
      </c>
      <c r="J23" s="58">
        <v>1952</v>
      </c>
      <c r="K23" s="58" t="s">
        <v>225</v>
      </c>
      <c r="L23" s="58" t="s">
        <v>1125</v>
      </c>
      <c r="M23" s="58" t="s">
        <v>286</v>
      </c>
      <c r="O23" s="58">
        <v>201</v>
      </c>
      <c r="P23" s="58">
        <v>2002</v>
      </c>
      <c r="Q23" s="58" t="s">
        <v>288</v>
      </c>
      <c r="R23" s="58" t="s">
        <v>923</v>
      </c>
      <c r="S23" s="58" t="s">
        <v>980</v>
      </c>
    </row>
    <row r="24" spans="2:19" x14ac:dyDescent="0.2">
      <c r="B24" s="58">
        <v>314</v>
      </c>
      <c r="C24" s="58">
        <v>1952</v>
      </c>
      <c r="D24" s="58" t="s">
        <v>287</v>
      </c>
      <c r="E24" s="58" t="s">
        <v>923</v>
      </c>
      <c r="F24" s="58" t="s">
        <v>1109</v>
      </c>
      <c r="I24" s="58">
        <v>76</v>
      </c>
      <c r="J24" s="58">
        <v>2001</v>
      </c>
      <c r="K24" s="58" t="s">
        <v>225</v>
      </c>
      <c r="L24" s="58" t="s">
        <v>1125</v>
      </c>
      <c r="M24" s="58" t="s">
        <v>286</v>
      </c>
      <c r="O24" s="58" t="s">
        <v>953</v>
      </c>
      <c r="P24" s="58">
        <v>2002</v>
      </c>
      <c r="Q24" s="58" t="s">
        <v>288</v>
      </c>
      <c r="R24" s="58" t="s">
        <v>923</v>
      </c>
      <c r="S24" s="58" t="s">
        <v>1109</v>
      </c>
    </row>
    <row r="25" spans="2:19" x14ac:dyDescent="0.2">
      <c r="B25" s="58">
        <v>325</v>
      </c>
      <c r="C25" s="58">
        <v>2001</v>
      </c>
      <c r="D25" s="58" t="s">
        <v>287</v>
      </c>
      <c r="E25" s="58" t="s">
        <v>1125</v>
      </c>
      <c r="F25" s="58" t="s">
        <v>286</v>
      </c>
      <c r="I25" s="58">
        <v>106</v>
      </c>
      <c r="J25" s="58">
        <v>2001</v>
      </c>
      <c r="K25" s="58" t="s">
        <v>225</v>
      </c>
      <c r="L25" s="58" t="s">
        <v>923</v>
      </c>
      <c r="M25" s="58" t="s">
        <v>980</v>
      </c>
      <c r="O25" s="58">
        <v>226</v>
      </c>
      <c r="P25" s="58">
        <v>2003</v>
      </c>
      <c r="Q25" s="58" t="s">
        <v>288</v>
      </c>
      <c r="R25" s="58" t="s">
        <v>922</v>
      </c>
      <c r="S25" s="58" t="s">
        <v>286</v>
      </c>
    </row>
    <row r="26" spans="2:19" x14ac:dyDescent="0.2">
      <c r="B26" s="58">
        <v>315</v>
      </c>
      <c r="C26" s="58">
        <v>2001</v>
      </c>
      <c r="D26" s="58" t="s">
        <v>287</v>
      </c>
      <c r="E26" s="58" t="s">
        <v>923</v>
      </c>
      <c r="F26" s="58" t="s">
        <v>980</v>
      </c>
      <c r="I26" s="58" t="s">
        <v>926</v>
      </c>
      <c r="J26" s="58">
        <v>2002</v>
      </c>
      <c r="K26" s="58" t="s">
        <v>225</v>
      </c>
      <c r="L26" s="58" t="s">
        <v>922</v>
      </c>
      <c r="M26" s="58" t="s">
        <v>286</v>
      </c>
      <c r="O26" s="58" t="s">
        <v>1129</v>
      </c>
      <c r="P26" s="58">
        <v>2003</v>
      </c>
      <c r="Q26" s="58" t="s">
        <v>288</v>
      </c>
      <c r="R26" s="58" t="s">
        <v>923</v>
      </c>
      <c r="S26" s="58" t="s">
        <v>1109</v>
      </c>
    </row>
    <row r="27" spans="2:19" x14ac:dyDescent="0.2">
      <c r="B27" s="58">
        <v>315</v>
      </c>
      <c r="C27" s="58">
        <v>2001</v>
      </c>
      <c r="D27" s="58" t="s">
        <v>287</v>
      </c>
      <c r="E27" s="58" t="s">
        <v>923</v>
      </c>
      <c r="F27" s="58">
        <v>6025</v>
      </c>
      <c r="I27" s="58" t="s">
        <v>927</v>
      </c>
      <c r="J27" s="58">
        <v>2002</v>
      </c>
      <c r="K27" s="58" t="s">
        <v>225</v>
      </c>
      <c r="L27" s="58" t="s">
        <v>922</v>
      </c>
      <c r="M27" s="58" t="s">
        <v>286</v>
      </c>
      <c r="O27" s="58" t="s">
        <v>959</v>
      </c>
      <c r="P27" s="58">
        <v>2003</v>
      </c>
      <c r="Q27" s="58" t="s">
        <v>288</v>
      </c>
      <c r="R27" s="58" t="s">
        <v>923</v>
      </c>
      <c r="S27" s="58" t="s">
        <v>1216</v>
      </c>
    </row>
    <row r="28" spans="2:19" x14ac:dyDescent="0.2">
      <c r="B28" s="58">
        <v>322</v>
      </c>
      <c r="C28" s="58">
        <v>2001</v>
      </c>
      <c r="D28" s="58" t="s">
        <v>287</v>
      </c>
      <c r="E28" s="58" t="s">
        <v>929</v>
      </c>
      <c r="F28" s="58" t="s">
        <v>980</v>
      </c>
      <c r="I28" s="58">
        <v>77</v>
      </c>
      <c r="J28" s="58">
        <v>2003</v>
      </c>
      <c r="K28" s="58" t="s">
        <v>225</v>
      </c>
      <c r="L28" s="58" t="s">
        <v>922</v>
      </c>
      <c r="M28" s="58" t="s">
        <v>286</v>
      </c>
      <c r="O28" s="58">
        <v>211</v>
      </c>
      <c r="P28" s="58">
        <v>2004</v>
      </c>
      <c r="Q28" s="58" t="s">
        <v>288</v>
      </c>
      <c r="R28" s="58" t="s">
        <v>480</v>
      </c>
      <c r="S28" s="58" t="s">
        <v>286</v>
      </c>
    </row>
    <row r="29" spans="2:19" x14ac:dyDescent="0.2">
      <c r="B29" s="58">
        <v>6</v>
      </c>
      <c r="C29" s="58">
        <v>2001</v>
      </c>
      <c r="D29" s="58" t="s">
        <v>287</v>
      </c>
      <c r="E29" s="58" t="s">
        <v>929</v>
      </c>
      <c r="F29" s="58" t="s">
        <v>1109</v>
      </c>
      <c r="I29" s="58">
        <v>2</v>
      </c>
      <c r="J29" s="58">
        <v>2003</v>
      </c>
      <c r="K29" s="58" t="s">
        <v>225</v>
      </c>
      <c r="L29" s="58" t="s">
        <v>923</v>
      </c>
      <c r="M29" s="58" t="s">
        <v>980</v>
      </c>
      <c r="O29" s="58" t="s">
        <v>954</v>
      </c>
      <c r="P29" s="58">
        <v>2004</v>
      </c>
      <c r="Q29" s="58" t="s">
        <v>288</v>
      </c>
      <c r="R29" s="58" t="s">
        <v>929</v>
      </c>
      <c r="S29" s="58" t="s">
        <v>1109</v>
      </c>
    </row>
    <row r="30" spans="2:19" x14ac:dyDescent="0.2">
      <c r="B30" s="58">
        <v>332</v>
      </c>
      <c r="C30" s="58">
        <v>2002</v>
      </c>
      <c r="D30" s="58" t="s">
        <v>287</v>
      </c>
      <c r="E30" s="58" t="s">
        <v>928</v>
      </c>
      <c r="F30" s="58" t="s">
        <v>286</v>
      </c>
      <c r="I30" s="58">
        <v>2</v>
      </c>
      <c r="J30" s="58">
        <v>2003</v>
      </c>
      <c r="K30" s="58" t="s">
        <v>225</v>
      </c>
      <c r="L30" s="58" t="s">
        <v>923</v>
      </c>
      <c r="M30" s="58">
        <v>6025</v>
      </c>
      <c r="O30" s="58" t="s">
        <v>955</v>
      </c>
      <c r="P30" s="58">
        <v>2004</v>
      </c>
      <c r="Q30" s="58" t="s">
        <v>288</v>
      </c>
      <c r="R30" s="58" t="s">
        <v>929</v>
      </c>
      <c r="S30" s="58" t="s">
        <v>1109</v>
      </c>
    </row>
    <row r="31" spans="2:19" x14ac:dyDescent="0.2">
      <c r="B31" s="58">
        <v>313</v>
      </c>
      <c r="C31" s="58">
        <v>2002</v>
      </c>
      <c r="D31" s="58" t="s">
        <v>287</v>
      </c>
      <c r="E31" s="58" t="s">
        <v>923</v>
      </c>
      <c r="F31" s="58" t="s">
        <v>980</v>
      </c>
      <c r="I31" s="58">
        <v>101</v>
      </c>
      <c r="J31" s="58">
        <v>2003</v>
      </c>
      <c r="K31" s="58" t="s">
        <v>225</v>
      </c>
      <c r="L31" s="58" t="s">
        <v>923</v>
      </c>
      <c r="M31" s="58" t="s">
        <v>980</v>
      </c>
      <c r="O31" s="58" t="s">
        <v>960</v>
      </c>
      <c r="P31" s="58">
        <v>2004</v>
      </c>
      <c r="Q31" s="58" t="s">
        <v>288</v>
      </c>
      <c r="R31" s="58" t="s">
        <v>923</v>
      </c>
      <c r="S31" s="58" t="s">
        <v>1216</v>
      </c>
    </row>
    <row r="32" spans="2:19" x14ac:dyDescent="0.2">
      <c r="B32" s="58">
        <v>313</v>
      </c>
      <c r="C32" s="58">
        <v>2002</v>
      </c>
      <c r="D32" s="58" t="s">
        <v>287</v>
      </c>
      <c r="E32" s="58" t="s">
        <v>923</v>
      </c>
      <c r="F32" s="58">
        <v>6025</v>
      </c>
      <c r="I32" s="58">
        <v>101</v>
      </c>
      <c r="J32" s="58">
        <v>2003</v>
      </c>
      <c r="K32" s="58" t="s">
        <v>225</v>
      </c>
      <c r="L32" s="58" t="s">
        <v>923</v>
      </c>
      <c r="M32" s="58">
        <v>6025</v>
      </c>
      <c r="O32" s="58">
        <v>210</v>
      </c>
      <c r="P32" s="58">
        <v>2005</v>
      </c>
      <c r="Q32" s="58" t="s">
        <v>288</v>
      </c>
      <c r="R32" s="58" t="s">
        <v>480</v>
      </c>
      <c r="S32" s="58" t="s">
        <v>286</v>
      </c>
    </row>
    <row r="33" spans="2:19" x14ac:dyDescent="0.2">
      <c r="B33" s="58">
        <v>323</v>
      </c>
      <c r="C33" s="58">
        <v>2002</v>
      </c>
      <c r="D33" s="58" t="s">
        <v>287</v>
      </c>
      <c r="E33" s="58" t="s">
        <v>929</v>
      </c>
      <c r="F33" s="58" t="s">
        <v>980</v>
      </c>
      <c r="I33" s="58">
        <v>102</v>
      </c>
      <c r="J33" s="58">
        <v>2004</v>
      </c>
      <c r="K33" s="58" t="s">
        <v>225</v>
      </c>
      <c r="L33" s="58" t="s">
        <v>923</v>
      </c>
      <c r="M33" s="58" t="s">
        <v>980</v>
      </c>
      <c r="O33" s="58" t="s">
        <v>1127</v>
      </c>
      <c r="P33" s="58">
        <v>2005</v>
      </c>
      <c r="Q33" s="58" t="s">
        <v>288</v>
      </c>
      <c r="R33" s="58" t="s">
        <v>923</v>
      </c>
      <c r="S33" s="88" t="s">
        <v>286</v>
      </c>
    </row>
    <row r="34" spans="2:19" x14ac:dyDescent="0.2">
      <c r="B34" s="58">
        <v>324</v>
      </c>
      <c r="C34" s="58">
        <v>2002</v>
      </c>
      <c r="D34" s="58" t="s">
        <v>287</v>
      </c>
      <c r="E34" s="58" t="s">
        <v>929</v>
      </c>
      <c r="F34" s="58" t="s">
        <v>980</v>
      </c>
      <c r="I34" s="58">
        <v>102</v>
      </c>
      <c r="J34" s="58">
        <v>2004</v>
      </c>
      <c r="K34" s="58" t="s">
        <v>225</v>
      </c>
      <c r="L34" s="58" t="s">
        <v>923</v>
      </c>
      <c r="M34" s="58">
        <v>6025</v>
      </c>
      <c r="O34" s="58" t="s">
        <v>1128</v>
      </c>
      <c r="P34" s="58">
        <v>2005</v>
      </c>
      <c r="Q34" s="58" t="s">
        <v>288</v>
      </c>
      <c r="R34" s="58" t="s">
        <v>923</v>
      </c>
      <c r="S34" s="58" t="s">
        <v>286</v>
      </c>
    </row>
    <row r="35" spans="2:19" x14ac:dyDescent="0.2">
      <c r="B35" s="58">
        <v>324</v>
      </c>
      <c r="C35" s="58">
        <v>2002</v>
      </c>
      <c r="D35" s="58" t="s">
        <v>287</v>
      </c>
      <c r="E35" s="58" t="s">
        <v>929</v>
      </c>
      <c r="F35" s="58">
        <v>6025</v>
      </c>
      <c r="I35" s="58">
        <v>22</v>
      </c>
      <c r="J35" s="58">
        <v>2005</v>
      </c>
      <c r="K35" s="58" t="s">
        <v>225</v>
      </c>
      <c r="L35" s="58" t="s">
        <v>923</v>
      </c>
      <c r="M35" s="58" t="s">
        <v>980</v>
      </c>
      <c r="O35" s="58" t="s">
        <v>950</v>
      </c>
      <c r="P35" s="58">
        <v>2005</v>
      </c>
      <c r="Q35" s="58" t="s">
        <v>288</v>
      </c>
      <c r="R35" s="58" t="s">
        <v>923</v>
      </c>
      <c r="S35" s="58" t="s">
        <v>1216</v>
      </c>
    </row>
    <row r="36" spans="2:19" x14ac:dyDescent="0.2">
      <c r="B36" s="58">
        <v>11</v>
      </c>
      <c r="C36" s="58">
        <v>2002</v>
      </c>
      <c r="D36" s="58" t="s">
        <v>287</v>
      </c>
      <c r="E36" s="58" t="s">
        <v>480</v>
      </c>
      <c r="F36" s="58" t="s">
        <v>286</v>
      </c>
      <c r="I36" s="58">
        <v>22</v>
      </c>
      <c r="J36" s="58">
        <v>2005</v>
      </c>
      <c r="K36" s="58" t="s">
        <v>225</v>
      </c>
      <c r="L36" s="58" t="s">
        <v>923</v>
      </c>
      <c r="M36" s="58">
        <v>6025</v>
      </c>
      <c r="O36" s="58" t="s">
        <v>951</v>
      </c>
      <c r="P36" s="58">
        <v>2005</v>
      </c>
      <c r="Q36" s="58" t="s">
        <v>288</v>
      </c>
      <c r="R36" s="58" t="s">
        <v>923</v>
      </c>
      <c r="S36" s="58" t="s">
        <v>1216</v>
      </c>
    </row>
    <row r="37" spans="2:19" x14ac:dyDescent="0.2">
      <c r="B37" s="58">
        <v>333</v>
      </c>
      <c r="C37" s="58">
        <v>2003</v>
      </c>
      <c r="D37" s="58" t="s">
        <v>287</v>
      </c>
      <c r="E37" s="58" t="s">
        <v>929</v>
      </c>
      <c r="F37" s="58" t="s">
        <v>980</v>
      </c>
      <c r="I37" s="58">
        <v>14</v>
      </c>
      <c r="J37" s="58">
        <v>2006</v>
      </c>
      <c r="K37" s="58" t="s">
        <v>225</v>
      </c>
      <c r="L37" s="58" t="s">
        <v>480</v>
      </c>
      <c r="M37" s="58" t="s">
        <v>286</v>
      </c>
      <c r="O37" s="58" t="s">
        <v>1114</v>
      </c>
      <c r="P37" s="58">
        <v>2005</v>
      </c>
      <c r="Q37" s="58" t="s">
        <v>288</v>
      </c>
      <c r="R37" s="58" t="s">
        <v>929</v>
      </c>
      <c r="S37" s="58" t="s">
        <v>1216</v>
      </c>
    </row>
    <row r="38" spans="2:19" x14ac:dyDescent="0.2">
      <c r="B38" s="58">
        <v>335</v>
      </c>
      <c r="C38" s="58">
        <v>2004</v>
      </c>
      <c r="D38" s="58" t="s">
        <v>287</v>
      </c>
      <c r="E38" s="58" t="s">
        <v>929</v>
      </c>
      <c r="F38" s="58" t="s">
        <v>980</v>
      </c>
      <c r="I38" s="58">
        <v>16</v>
      </c>
      <c r="J38" s="58">
        <v>2006</v>
      </c>
      <c r="K38" s="58" t="s">
        <v>225</v>
      </c>
      <c r="L38" s="58" t="s">
        <v>480</v>
      </c>
      <c r="M38" s="58" t="s">
        <v>286</v>
      </c>
      <c r="O38" s="58">
        <v>204</v>
      </c>
      <c r="P38" s="58">
        <v>2006</v>
      </c>
      <c r="Q38" s="58" t="s">
        <v>288</v>
      </c>
      <c r="R38" s="58" t="s">
        <v>922</v>
      </c>
      <c r="S38" s="58" t="s">
        <v>286</v>
      </c>
    </row>
    <row r="39" spans="2:19" x14ac:dyDescent="0.2">
      <c r="B39" s="58">
        <v>13</v>
      </c>
      <c r="C39" s="58">
        <v>2004</v>
      </c>
      <c r="D39" s="58" t="s">
        <v>287</v>
      </c>
      <c r="E39" s="58" t="s">
        <v>480</v>
      </c>
      <c r="F39" s="58" t="s">
        <v>286</v>
      </c>
      <c r="I39" s="58" t="s">
        <v>1123</v>
      </c>
      <c r="J39" s="58">
        <v>2006</v>
      </c>
      <c r="K39" s="58" t="s">
        <v>225</v>
      </c>
      <c r="L39" s="58" t="s">
        <v>923</v>
      </c>
      <c r="M39" s="88" t="s">
        <v>286</v>
      </c>
      <c r="O39" s="58">
        <v>220</v>
      </c>
      <c r="P39" s="58">
        <v>2009</v>
      </c>
      <c r="Q39" s="58" t="s">
        <v>288</v>
      </c>
      <c r="R39" s="58" t="s">
        <v>480</v>
      </c>
      <c r="S39" s="58" t="s">
        <v>286</v>
      </c>
    </row>
    <row r="40" spans="2:19" x14ac:dyDescent="0.2">
      <c r="B40" s="58">
        <v>19</v>
      </c>
      <c r="C40" s="58">
        <v>2005</v>
      </c>
      <c r="D40" s="58" t="s">
        <v>287</v>
      </c>
      <c r="E40" s="58" t="s">
        <v>480</v>
      </c>
      <c r="F40" s="58" t="s">
        <v>286</v>
      </c>
      <c r="I40" s="58">
        <v>108</v>
      </c>
      <c r="J40" s="58">
        <v>2006</v>
      </c>
      <c r="K40" s="58" t="s">
        <v>225</v>
      </c>
      <c r="L40" s="58" t="s">
        <v>929</v>
      </c>
      <c r="M40" s="58" t="s">
        <v>980</v>
      </c>
      <c r="O40" s="58">
        <v>223</v>
      </c>
      <c r="P40" s="58">
        <v>2009</v>
      </c>
      <c r="Q40" s="58" t="s">
        <v>288</v>
      </c>
      <c r="R40" s="58" t="s">
        <v>923</v>
      </c>
      <c r="S40" s="58" t="s">
        <v>1109</v>
      </c>
    </row>
    <row r="41" spans="2:19" x14ac:dyDescent="0.2">
      <c r="B41" s="58">
        <v>20</v>
      </c>
      <c r="C41" s="58">
        <v>2005</v>
      </c>
      <c r="D41" s="58" t="s">
        <v>287</v>
      </c>
      <c r="E41" s="58" t="s">
        <v>480</v>
      </c>
      <c r="F41" s="58" t="s">
        <v>286</v>
      </c>
      <c r="I41" s="58">
        <v>1</v>
      </c>
      <c r="J41" s="58">
        <v>2007</v>
      </c>
      <c r="K41" s="58" t="s">
        <v>225</v>
      </c>
      <c r="L41" s="58" t="s">
        <v>480</v>
      </c>
      <c r="M41" s="58" t="s">
        <v>286</v>
      </c>
      <c r="O41" s="58">
        <v>215</v>
      </c>
      <c r="P41" s="58">
        <v>2010</v>
      </c>
      <c r="Q41" s="58" t="s">
        <v>288</v>
      </c>
      <c r="R41" s="58" t="s">
        <v>922</v>
      </c>
      <c r="S41" s="58" t="s">
        <v>286</v>
      </c>
    </row>
    <row r="42" spans="2:19" x14ac:dyDescent="0.2">
      <c r="B42" s="58">
        <v>26</v>
      </c>
      <c r="C42" s="58">
        <v>2005</v>
      </c>
      <c r="D42" s="58" t="s">
        <v>287</v>
      </c>
      <c r="E42" s="58" t="s">
        <v>480</v>
      </c>
      <c r="F42" s="58" t="s">
        <v>286</v>
      </c>
      <c r="I42" s="58">
        <v>7</v>
      </c>
      <c r="J42" s="58">
        <v>2007</v>
      </c>
      <c r="K42" s="58" t="s">
        <v>225</v>
      </c>
      <c r="L42" s="58" t="s">
        <v>922</v>
      </c>
      <c r="M42" s="58" t="s">
        <v>286</v>
      </c>
      <c r="O42" s="58" t="s">
        <v>1115</v>
      </c>
      <c r="P42" s="58">
        <v>2010</v>
      </c>
      <c r="Q42" s="58" t="s">
        <v>288</v>
      </c>
      <c r="R42" s="58" t="s">
        <v>929</v>
      </c>
      <c r="S42" s="58" t="s">
        <v>1216</v>
      </c>
    </row>
    <row r="43" spans="2:19" x14ac:dyDescent="0.2">
      <c r="B43" s="58">
        <v>327</v>
      </c>
      <c r="C43" s="58">
        <v>2005</v>
      </c>
      <c r="D43" s="58" t="s">
        <v>287</v>
      </c>
      <c r="E43" s="58" t="s">
        <v>922</v>
      </c>
      <c r="F43" s="58" t="s">
        <v>286</v>
      </c>
      <c r="I43" s="58" t="s">
        <v>1122</v>
      </c>
      <c r="J43" s="58">
        <v>2007</v>
      </c>
      <c r="K43" s="58" t="s">
        <v>225</v>
      </c>
      <c r="L43" s="58" t="s">
        <v>923</v>
      </c>
      <c r="M43" s="58" t="s">
        <v>286</v>
      </c>
      <c r="O43" s="58" t="s">
        <v>1116</v>
      </c>
      <c r="P43" s="58">
        <v>2010</v>
      </c>
      <c r="Q43" s="58" t="s">
        <v>288</v>
      </c>
      <c r="R43" s="58" t="s">
        <v>929</v>
      </c>
      <c r="S43" s="58" t="s">
        <v>1216</v>
      </c>
    </row>
    <row r="44" spans="2:19" x14ac:dyDescent="0.2">
      <c r="B44" s="58">
        <v>334</v>
      </c>
      <c r="C44" s="58">
        <v>2005</v>
      </c>
      <c r="D44" s="58" t="s">
        <v>287</v>
      </c>
      <c r="E44" s="58" t="s">
        <v>929</v>
      </c>
      <c r="F44" s="58" t="s">
        <v>980</v>
      </c>
      <c r="I44" s="58" t="s">
        <v>1124</v>
      </c>
      <c r="J44" s="58">
        <v>2007</v>
      </c>
      <c r="K44" s="58" t="s">
        <v>225</v>
      </c>
      <c r="L44" s="58" t="s">
        <v>923</v>
      </c>
      <c r="M44" s="88" t="s">
        <v>286</v>
      </c>
      <c r="O44" s="58"/>
      <c r="P44" s="58"/>
      <c r="Q44" s="58"/>
      <c r="R44" s="58"/>
      <c r="S44" s="58"/>
    </row>
    <row r="45" spans="2:19" x14ac:dyDescent="0.2">
      <c r="B45" s="58">
        <v>4</v>
      </c>
      <c r="C45" s="58">
        <v>2006</v>
      </c>
      <c r="D45" s="58" t="s">
        <v>287</v>
      </c>
      <c r="E45" s="58" t="s">
        <v>480</v>
      </c>
      <c r="F45" s="58" t="s">
        <v>286</v>
      </c>
      <c r="I45" s="58">
        <v>105</v>
      </c>
      <c r="J45" s="58">
        <v>2007</v>
      </c>
      <c r="K45" s="58" t="s">
        <v>225</v>
      </c>
      <c r="L45" s="58" t="s">
        <v>922</v>
      </c>
      <c r="M45" s="58" t="s">
        <v>286</v>
      </c>
      <c r="O45" s="58"/>
      <c r="P45" s="58"/>
      <c r="Q45" s="58"/>
      <c r="R45" s="58"/>
      <c r="S45" s="58"/>
    </row>
    <row r="46" spans="2:19" x14ac:dyDescent="0.2">
      <c r="B46" s="58">
        <v>5</v>
      </c>
      <c r="C46" s="58">
        <v>2006</v>
      </c>
      <c r="D46" s="58" t="s">
        <v>287</v>
      </c>
      <c r="E46" s="58" t="s">
        <v>480</v>
      </c>
      <c r="F46" s="58" t="s">
        <v>286</v>
      </c>
      <c r="I46" s="58">
        <v>352</v>
      </c>
      <c r="J46" s="58">
        <v>2007</v>
      </c>
      <c r="K46" s="58" t="s">
        <v>225</v>
      </c>
      <c r="L46" s="58" t="s">
        <v>923</v>
      </c>
      <c r="M46" s="58" t="s">
        <v>980</v>
      </c>
      <c r="O46" s="58"/>
      <c r="P46" s="58"/>
      <c r="Q46" s="58"/>
      <c r="R46" s="58"/>
      <c r="S46" s="58"/>
    </row>
    <row r="47" spans="2:19" x14ac:dyDescent="0.2">
      <c r="B47" s="58">
        <v>336</v>
      </c>
      <c r="C47" s="58">
        <v>2006</v>
      </c>
      <c r="D47" s="58" t="s">
        <v>287</v>
      </c>
      <c r="E47" s="58" t="s">
        <v>929</v>
      </c>
      <c r="F47" s="58" t="s">
        <v>980</v>
      </c>
      <c r="I47" s="58" t="s">
        <v>1126</v>
      </c>
      <c r="J47" s="58">
        <v>2008</v>
      </c>
      <c r="K47" s="58" t="s">
        <v>225</v>
      </c>
      <c r="L47" s="58" t="s">
        <v>923</v>
      </c>
      <c r="M47" s="58" t="s">
        <v>286</v>
      </c>
      <c r="O47" s="58"/>
      <c r="P47" s="58"/>
      <c r="Q47" s="58"/>
      <c r="R47" s="58"/>
      <c r="S47" s="58"/>
    </row>
    <row r="48" spans="2:19" x14ac:dyDescent="0.2">
      <c r="B48" s="58" t="s">
        <v>919</v>
      </c>
      <c r="C48" s="58">
        <v>2006</v>
      </c>
      <c r="D48" s="58" t="s">
        <v>287</v>
      </c>
      <c r="E48" s="58" t="s">
        <v>922</v>
      </c>
      <c r="F48" s="58" t="s">
        <v>1216</v>
      </c>
      <c r="I48" s="58" t="s">
        <v>17</v>
      </c>
      <c r="J48" s="58">
        <v>2009</v>
      </c>
      <c r="K48" s="58" t="s">
        <v>225</v>
      </c>
      <c r="L48" s="58" t="s">
        <v>923</v>
      </c>
      <c r="M48" s="58" t="s">
        <v>286</v>
      </c>
      <c r="O48" s="58"/>
      <c r="P48" s="58"/>
      <c r="Q48" s="58"/>
      <c r="R48" s="58"/>
      <c r="S48" s="58"/>
    </row>
    <row r="49" spans="2:19" x14ac:dyDescent="0.2">
      <c r="B49" s="58" t="s">
        <v>920</v>
      </c>
      <c r="C49" s="58">
        <v>2006</v>
      </c>
      <c r="D49" s="58" t="s">
        <v>287</v>
      </c>
      <c r="E49" s="58" t="s">
        <v>922</v>
      </c>
      <c r="F49" s="58" t="s">
        <v>1216</v>
      </c>
      <c r="I49" s="58" t="s">
        <v>18</v>
      </c>
      <c r="J49" s="58">
        <v>2009</v>
      </c>
      <c r="K49" s="58" t="s">
        <v>225</v>
      </c>
      <c r="L49" s="58" t="s">
        <v>923</v>
      </c>
      <c r="M49" s="88" t="s">
        <v>286</v>
      </c>
      <c r="O49" s="58"/>
      <c r="P49" s="58"/>
      <c r="Q49" s="58"/>
      <c r="R49" s="58"/>
      <c r="S49" s="58"/>
    </row>
    <row r="50" spans="2:19" x14ac:dyDescent="0.2">
      <c r="B50" s="58" t="s">
        <v>936</v>
      </c>
      <c r="C50" s="58">
        <v>2006</v>
      </c>
      <c r="D50" s="58" t="s">
        <v>287</v>
      </c>
      <c r="E50" s="58" t="s">
        <v>922</v>
      </c>
      <c r="F50" s="58" t="s">
        <v>1109</v>
      </c>
      <c r="I50" s="58">
        <v>8</v>
      </c>
      <c r="J50" s="58">
        <v>2010</v>
      </c>
      <c r="K50" s="58" t="s">
        <v>225</v>
      </c>
      <c r="L50" s="58" t="s">
        <v>922</v>
      </c>
      <c r="M50" s="58" t="s">
        <v>286</v>
      </c>
      <c r="O50" s="58"/>
      <c r="P50" s="58"/>
      <c r="Q50" s="58"/>
      <c r="R50" s="58"/>
      <c r="S50" s="58"/>
    </row>
    <row r="51" spans="2:19" x14ac:dyDescent="0.2">
      <c r="B51" s="58" t="s">
        <v>289</v>
      </c>
      <c r="C51" s="58">
        <v>2006</v>
      </c>
      <c r="D51" s="58" t="s">
        <v>287</v>
      </c>
      <c r="E51" s="58" t="s">
        <v>922</v>
      </c>
      <c r="F51" s="58" t="s">
        <v>1109</v>
      </c>
      <c r="I51" s="58">
        <v>104</v>
      </c>
      <c r="J51" s="58">
        <v>2010</v>
      </c>
      <c r="K51" s="58" t="s">
        <v>225</v>
      </c>
      <c r="L51" s="58" t="s">
        <v>922</v>
      </c>
      <c r="M51" s="58" t="s">
        <v>286</v>
      </c>
      <c r="O51" s="58"/>
      <c r="P51" s="58"/>
      <c r="Q51" s="58"/>
      <c r="R51" s="58"/>
      <c r="S51" s="58"/>
    </row>
    <row r="52" spans="2:19" x14ac:dyDescent="0.2">
      <c r="B52" s="58">
        <v>17</v>
      </c>
      <c r="C52" s="58">
        <v>2006</v>
      </c>
      <c r="D52" s="58" t="s">
        <v>287</v>
      </c>
      <c r="E52" s="58" t="s">
        <v>922</v>
      </c>
      <c r="F52" s="58" t="s">
        <v>286</v>
      </c>
      <c r="I52" s="58">
        <v>69</v>
      </c>
      <c r="J52" s="58">
        <v>2010</v>
      </c>
      <c r="K52" s="58" t="s">
        <v>225</v>
      </c>
      <c r="L52" s="58" t="s">
        <v>922</v>
      </c>
      <c r="M52" s="58" t="s">
        <v>286</v>
      </c>
      <c r="O52" s="58"/>
      <c r="P52" s="58"/>
      <c r="Q52" s="58"/>
      <c r="R52" s="58"/>
      <c r="S52" s="58"/>
    </row>
    <row r="53" spans="2:19" x14ac:dyDescent="0.2">
      <c r="B53" s="58">
        <v>303</v>
      </c>
      <c r="C53" s="58">
        <v>2007</v>
      </c>
      <c r="D53" s="58" t="s">
        <v>287</v>
      </c>
      <c r="E53" s="58" t="s">
        <v>480</v>
      </c>
      <c r="F53" s="58" t="s">
        <v>286</v>
      </c>
      <c r="I53" s="54">
        <v>107</v>
      </c>
      <c r="J53" s="54">
        <v>2010</v>
      </c>
      <c r="K53" s="54" t="s">
        <v>225</v>
      </c>
      <c r="L53" s="54" t="s">
        <v>929</v>
      </c>
      <c r="M53" s="54" t="s">
        <v>980</v>
      </c>
      <c r="O53" s="54"/>
      <c r="P53" s="54"/>
      <c r="Q53" s="54"/>
      <c r="R53" s="54"/>
      <c r="S53" s="54"/>
    </row>
    <row r="54" spans="2:19" x14ac:dyDescent="0.2">
      <c r="B54" s="58">
        <v>328</v>
      </c>
      <c r="C54" s="58">
        <v>2008</v>
      </c>
      <c r="D54" s="58" t="s">
        <v>287</v>
      </c>
      <c r="E54" s="58" t="s">
        <v>922</v>
      </c>
      <c r="F54" s="58" t="s">
        <v>286</v>
      </c>
      <c r="I54" s="54">
        <v>68</v>
      </c>
      <c r="J54" s="54">
        <v>2011</v>
      </c>
      <c r="K54" s="54" t="s">
        <v>225</v>
      </c>
      <c r="L54" s="54" t="s">
        <v>923</v>
      </c>
      <c r="M54" s="54" t="s">
        <v>286</v>
      </c>
      <c r="O54" s="54"/>
      <c r="P54" s="54"/>
      <c r="Q54" s="54"/>
      <c r="R54" s="54"/>
      <c r="S54" s="54"/>
    </row>
    <row r="55" spans="2:19" x14ac:dyDescent="0.2">
      <c r="B55" s="58">
        <v>337</v>
      </c>
      <c r="C55" s="58">
        <v>2009</v>
      </c>
      <c r="D55" s="58" t="s">
        <v>287</v>
      </c>
      <c r="E55" s="58" t="s">
        <v>929</v>
      </c>
      <c r="F55" s="58" t="s">
        <v>980</v>
      </c>
      <c r="I55" s="54"/>
      <c r="J55" s="54"/>
      <c r="K55" s="54"/>
      <c r="L55" s="54"/>
      <c r="M55" s="54"/>
      <c r="O55" s="54"/>
      <c r="P55" s="54"/>
      <c r="Q55" s="54"/>
      <c r="R55" s="54"/>
      <c r="S55" s="54"/>
    </row>
    <row r="56" spans="2:19" x14ac:dyDescent="0.2">
      <c r="B56" s="58">
        <v>326</v>
      </c>
      <c r="C56" s="58">
        <v>2010</v>
      </c>
      <c r="D56" s="58" t="s">
        <v>287</v>
      </c>
      <c r="E56" s="58" t="s">
        <v>922</v>
      </c>
      <c r="F56" s="58" t="s">
        <v>1109</v>
      </c>
      <c r="I56" s="54"/>
      <c r="J56" s="54"/>
      <c r="K56" s="54"/>
      <c r="L56" s="54"/>
      <c r="M56" s="54"/>
      <c r="O56" s="54"/>
      <c r="P56" s="54"/>
      <c r="Q56" s="54"/>
      <c r="R56" s="54"/>
      <c r="S56" s="54"/>
    </row>
    <row r="57" spans="2:19" x14ac:dyDescent="0.2">
      <c r="B57" s="58">
        <v>10</v>
      </c>
      <c r="C57" s="58">
        <v>2011</v>
      </c>
      <c r="D57" s="58" t="s">
        <v>287</v>
      </c>
      <c r="E57" s="58" t="s">
        <v>923</v>
      </c>
      <c r="F57" s="58" t="s">
        <v>286</v>
      </c>
      <c r="I57" s="54"/>
      <c r="J57" s="54"/>
      <c r="K57" s="54"/>
      <c r="L57" s="54"/>
      <c r="M57" s="54"/>
      <c r="O57" s="54"/>
      <c r="P57" s="54"/>
      <c r="Q57" s="54"/>
      <c r="R57" s="54"/>
      <c r="S57" s="54"/>
    </row>
    <row r="58" spans="2:19" x14ac:dyDescent="0.2">
      <c r="B58" s="58">
        <v>310</v>
      </c>
      <c r="C58" s="58">
        <v>2011</v>
      </c>
      <c r="D58" s="58" t="s">
        <v>287</v>
      </c>
      <c r="E58" s="58" t="s">
        <v>929</v>
      </c>
      <c r="F58" s="58" t="s">
        <v>980</v>
      </c>
      <c r="I58" s="54"/>
      <c r="J58" s="54"/>
      <c r="K58" s="54"/>
      <c r="L58" s="54"/>
      <c r="M58" s="54"/>
      <c r="O58" s="54"/>
      <c r="P58" s="54"/>
      <c r="Q58" s="54"/>
      <c r="R58" s="54"/>
      <c r="S58" s="54"/>
    </row>
  </sheetData>
  <autoFilter ref="B5:S58" xr:uid="{1078BF62-EC46-4FE0-AFCA-74AFDF68F73C}"/>
  <sortState xmlns:xlrd2="http://schemas.microsoft.com/office/spreadsheetml/2017/richdata2" ref="B7:E54">
    <sortCondition ref="B7:B54"/>
    <sortCondition ref="C7:C5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B751-4DB4-4C82-814B-B5B0DD9D23FA}">
  <dimension ref="B8:AB13"/>
  <sheetViews>
    <sheetView topLeftCell="D1" workbookViewId="0">
      <selection activeCell="N16" sqref="N16"/>
    </sheetView>
  </sheetViews>
  <sheetFormatPr baseColWidth="10" defaultRowHeight="12.75" x14ac:dyDescent="0.2"/>
  <sheetData>
    <row r="8" spans="2:28" x14ac:dyDescent="0.2">
      <c r="M8" t="s">
        <v>4</v>
      </c>
      <c r="N8" t="s">
        <v>1202</v>
      </c>
      <c r="O8" t="s">
        <v>1222</v>
      </c>
      <c r="P8" t="s">
        <v>1204</v>
      </c>
      <c r="Q8" t="s">
        <v>4</v>
      </c>
      <c r="R8" t="s">
        <v>1202</v>
      </c>
      <c r="S8" t="s">
        <v>1222</v>
      </c>
      <c r="T8" t="s">
        <v>1204</v>
      </c>
    </row>
    <row r="10" spans="2:28" x14ac:dyDescent="0.2">
      <c r="B10">
        <v>7</v>
      </c>
      <c r="C10">
        <v>1</v>
      </c>
      <c r="D10">
        <v>2419</v>
      </c>
      <c r="E10" t="s">
        <v>287</v>
      </c>
      <c r="F10" t="s">
        <v>929</v>
      </c>
      <c r="G10" t="s">
        <v>286</v>
      </c>
      <c r="H10" t="s">
        <v>1896</v>
      </c>
      <c r="I10" t="s">
        <v>825</v>
      </c>
      <c r="J10">
        <v>11</v>
      </c>
      <c r="K10">
        <v>1.2222222222222223</v>
      </c>
      <c r="L10">
        <v>50</v>
      </c>
      <c r="M10" s="268" t="s">
        <v>913</v>
      </c>
      <c r="N10" s="268">
        <v>264</v>
      </c>
      <c r="O10" s="268">
        <v>550</v>
      </c>
      <c r="P10">
        <v>50</v>
      </c>
      <c r="Q10" s="268" t="s">
        <v>725</v>
      </c>
      <c r="R10" s="268">
        <v>275</v>
      </c>
      <c r="S10" s="268">
        <v>550</v>
      </c>
      <c r="T10">
        <v>50</v>
      </c>
      <c r="U10">
        <v>0</v>
      </c>
      <c r="V10">
        <v>0</v>
      </c>
      <c r="W10">
        <v>550</v>
      </c>
      <c r="X10">
        <v>50</v>
      </c>
      <c r="Y10">
        <v>0</v>
      </c>
      <c r="Z10">
        <v>0</v>
      </c>
      <c r="AA10">
        <v>550</v>
      </c>
      <c r="AB10">
        <v>50</v>
      </c>
    </row>
    <row r="11" spans="2:28" x14ac:dyDescent="0.2">
      <c r="C11">
        <v>1</v>
      </c>
      <c r="D11">
        <v>2419</v>
      </c>
      <c r="E11" t="s">
        <v>287</v>
      </c>
      <c r="F11" t="s">
        <v>929</v>
      </c>
      <c r="G11" t="s">
        <v>286</v>
      </c>
      <c r="H11" t="s">
        <v>1896</v>
      </c>
      <c r="I11" t="s">
        <v>825</v>
      </c>
      <c r="J11">
        <v>40.276500000000006</v>
      </c>
      <c r="K11">
        <v>4.4751666666666674</v>
      </c>
      <c r="L11">
        <v>50</v>
      </c>
      <c r="M11" s="268" t="s">
        <v>913</v>
      </c>
      <c r="N11" s="268">
        <v>964.8</v>
      </c>
      <c r="O11" s="268">
        <v>2010</v>
      </c>
      <c r="P11">
        <v>50</v>
      </c>
      <c r="Q11" s="268" t="s">
        <v>725</v>
      </c>
      <c r="R11" s="268">
        <v>1005</v>
      </c>
      <c r="S11" s="268">
        <v>2010</v>
      </c>
      <c r="T11">
        <v>50</v>
      </c>
      <c r="U11">
        <v>0</v>
      </c>
      <c r="V11">
        <v>0</v>
      </c>
      <c r="W11">
        <v>2010</v>
      </c>
      <c r="X11">
        <v>50</v>
      </c>
      <c r="Y11">
        <v>0</v>
      </c>
      <c r="Z11">
        <v>0</v>
      </c>
      <c r="AA11">
        <v>2010</v>
      </c>
      <c r="AB11">
        <v>50</v>
      </c>
    </row>
    <row r="13" spans="2:28" x14ac:dyDescent="0.2">
      <c r="N13" s="269">
        <f>+N11-N10</f>
        <v>700.8</v>
      </c>
      <c r="R13" s="269">
        <f>+R11-R10</f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</vt:i4>
      </vt:variant>
    </vt:vector>
  </HeadingPairs>
  <TitlesOfParts>
    <vt:vector size="14" baseType="lpstr">
      <vt:lpstr>PGR Drench 2045 Frio 14-42</vt:lpstr>
      <vt:lpstr>1643 Cal y Alcaplant</vt:lpstr>
      <vt:lpstr>Fusarium Nematodos 2008</vt:lpstr>
      <vt:lpstr>Programa Drench</vt:lpstr>
      <vt:lpstr>PROGRAMA DRENCH PASO 1</vt:lpstr>
      <vt:lpstr>CALCULO DRENCH EGRESO PASO 2</vt:lpstr>
      <vt:lpstr>RESUMEN DRENCH BODEGA 3</vt:lpstr>
      <vt:lpstr>CODIGOS D</vt:lpstr>
      <vt:lpstr>Inf Bloques</vt:lpstr>
      <vt:lpstr>CODIGOS no usamos</vt:lpstr>
      <vt:lpstr>Hoja1</vt:lpstr>
      <vt:lpstr>Hoja3</vt:lpstr>
      <vt:lpstr>'Fusarium Nematodos 2008'!Área_de_impresión</vt:lpstr>
      <vt:lpstr>'PROGRAMA DRENCH PASO 1'!Área_de_impresión</vt:lpstr>
    </vt:vector>
  </TitlesOfParts>
  <Company>Plantaciones Malima Cia.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Auxprod6</dc:creator>
  <cp:lastModifiedBy>Cuentas Office 6</cp:lastModifiedBy>
  <cp:lastPrinted>2024-06-04T20:34:45Z</cp:lastPrinted>
  <dcterms:created xsi:type="dcterms:W3CDTF">2011-07-22T17:36:19Z</dcterms:created>
  <dcterms:modified xsi:type="dcterms:W3CDTF">2026-04-27T17:08:05Z</dcterms:modified>
</cp:coreProperties>
</file>